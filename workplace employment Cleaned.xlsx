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orkplace Employment Sector London Borough\"/>
    </mc:Choice>
  </mc:AlternateContent>
  <xr:revisionPtr revIDLastSave="0" documentId="13_ncr:1_{A772EB57-93AD-4ABB-A41A-73A7B971EBF0}" xr6:coauthVersionLast="47" xr6:coauthVersionMax="47" xr10:uidLastSave="{00000000-0000-0000-0000-000000000000}"/>
  <bookViews>
    <workbookView xWindow="-108" yWindow="-108" windowWidth="23256" windowHeight="12456" tabRatio="603" firstSheet="1" activeTab="2" xr2:uid="{07E8AD77-5B7F-4FAD-B01D-54126FAF0B13}"/>
  </bookViews>
  <sheets>
    <sheet name="readme" sheetId="3" r:id="rId1"/>
    <sheet name="workplace" sheetId="1" r:id="rId2"/>
    <sheet name="summary" sheetId="2" r:id="rId3"/>
    <sheet name="Validation" sheetId="7" r:id="rId4"/>
    <sheet name="Pivot sheet" sheetId="8" r:id="rId5"/>
  </sheets>
  <definedNames>
    <definedName name="Connection1" localSheetId="1">workplace!$A$1:$O$531</definedName>
  </definedNames>
  <calcPr calcId="191029"/>
  <pivotCaches>
    <pivotCache cacheId="0" r:id="rId6"/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N6" i="2"/>
  <c r="N7" i="2"/>
  <c r="N8" i="2"/>
  <c r="C8" i="7" s="1"/>
  <c r="N9" i="2"/>
  <c r="N10" i="2"/>
  <c r="C10" i="7" s="1"/>
  <c r="N11" i="2"/>
  <c r="C11" i="7" s="1"/>
  <c r="N12" i="2"/>
  <c r="C12" i="7" s="1"/>
  <c r="N13" i="2"/>
  <c r="C13" i="7" s="1"/>
  <c r="N14" i="2"/>
  <c r="C14" i="7" s="1"/>
  <c r="N15" i="2"/>
  <c r="C15" i="7" s="1"/>
  <c r="N16" i="2"/>
  <c r="C16" i="7" s="1"/>
  <c r="N17" i="2"/>
  <c r="N18" i="2"/>
  <c r="N19" i="2"/>
  <c r="N20" i="2"/>
  <c r="N21" i="2"/>
  <c r="C21" i="7" s="1"/>
  <c r="N22" i="2"/>
  <c r="N23" i="2"/>
  <c r="C23" i="7" s="1"/>
  <c r="N24" i="2"/>
  <c r="C24" i="7" s="1"/>
  <c r="N25" i="2"/>
  <c r="C25" i="7" s="1"/>
  <c r="N26" i="2"/>
  <c r="C26" i="7" s="1"/>
  <c r="N27" i="2"/>
  <c r="C27" i="7" s="1"/>
  <c r="N28" i="2"/>
  <c r="C28" i="7" s="1"/>
  <c r="N29" i="2"/>
  <c r="N30" i="2"/>
  <c r="N31" i="2"/>
  <c r="N32" i="2"/>
  <c r="N33" i="2"/>
  <c r="N34" i="2"/>
  <c r="N35" i="2"/>
  <c r="N36" i="2"/>
  <c r="N37" i="2"/>
  <c r="N38" i="2"/>
  <c r="N39" i="2"/>
  <c r="N40" i="2"/>
  <c r="C40" i="7" s="1"/>
  <c r="N41" i="2"/>
  <c r="N42" i="2"/>
  <c r="N43" i="2"/>
  <c r="N44" i="2"/>
  <c r="C44" i="7" s="1"/>
  <c r="N45" i="2"/>
  <c r="C45" i="7" s="1"/>
  <c r="N46" i="2"/>
  <c r="C46" i="7" s="1"/>
  <c r="N47" i="2"/>
  <c r="C47" i="7" s="1"/>
  <c r="N48" i="2"/>
  <c r="C48" i="7" s="1"/>
  <c r="N49" i="2"/>
  <c r="C49" i="7" s="1"/>
  <c r="N50" i="2"/>
  <c r="C50" i="7" s="1"/>
  <c r="N51" i="2"/>
  <c r="C51" i="7" s="1"/>
  <c r="N52" i="2"/>
  <c r="C52" i="7" s="1"/>
  <c r="N53" i="2"/>
  <c r="N54" i="2"/>
  <c r="N55" i="2"/>
  <c r="N56" i="2"/>
  <c r="N57" i="2"/>
  <c r="N58" i="2"/>
  <c r="N59" i="2"/>
  <c r="N60" i="2"/>
  <c r="C60" i="7" s="1"/>
  <c r="N61" i="2"/>
  <c r="N62" i="2"/>
  <c r="C62" i="7" s="1"/>
  <c r="N63" i="2"/>
  <c r="C63" i="7" s="1"/>
  <c r="N64" i="2"/>
  <c r="C64" i="7" s="1"/>
  <c r="N65" i="2"/>
  <c r="N66" i="2"/>
  <c r="N67" i="2"/>
  <c r="N68" i="2"/>
  <c r="N69" i="2"/>
  <c r="N70" i="2"/>
  <c r="C70" i="7" s="1"/>
  <c r="N71" i="2"/>
  <c r="C71" i="7" s="1"/>
  <c r="N72" i="2"/>
  <c r="N73" i="2"/>
  <c r="C73" i="7" s="1"/>
  <c r="N74" i="2"/>
  <c r="C74" i="7" s="1"/>
  <c r="N75" i="2"/>
  <c r="C75" i="7" s="1"/>
  <c r="N76" i="2"/>
  <c r="C76" i="7" s="1"/>
  <c r="N77" i="2"/>
  <c r="N78" i="2"/>
  <c r="N79" i="2"/>
  <c r="N80" i="2"/>
  <c r="N81" i="2"/>
  <c r="C81" i="7" s="1"/>
  <c r="N82" i="2"/>
  <c r="N83" i="2"/>
  <c r="C83" i="7" s="1"/>
  <c r="N84" i="2"/>
  <c r="C84" i="7" s="1"/>
  <c r="N85" i="2"/>
  <c r="C85" i="7" s="1"/>
  <c r="N86" i="2"/>
  <c r="C86" i="7" s="1"/>
  <c r="N87" i="2"/>
  <c r="C87" i="7" s="1"/>
  <c r="N88" i="2"/>
  <c r="C88" i="7" s="1"/>
  <c r="N89" i="2"/>
  <c r="N90" i="2"/>
  <c r="N91" i="2"/>
  <c r="N92" i="2"/>
  <c r="N93" i="2"/>
  <c r="N94" i="2"/>
  <c r="N95" i="2"/>
  <c r="N96" i="2"/>
  <c r="N97" i="2"/>
  <c r="N98" i="2"/>
  <c r="N99" i="2"/>
  <c r="N100" i="2"/>
  <c r="C100" i="7" s="1"/>
  <c r="N101" i="2"/>
  <c r="N102" i="2"/>
  <c r="N103" i="2"/>
  <c r="N104" i="2"/>
  <c r="C104" i="7" s="1"/>
  <c r="N105" i="2"/>
  <c r="C105" i="7" s="1"/>
  <c r="N106" i="2"/>
  <c r="C106" i="7" s="1"/>
  <c r="N107" i="2"/>
  <c r="C107" i="7" s="1"/>
  <c r="N108" i="2"/>
  <c r="C108" i="7" s="1"/>
  <c r="N109" i="2"/>
  <c r="C109" i="7" s="1"/>
  <c r="N110" i="2"/>
  <c r="C110" i="7" s="1"/>
  <c r="N111" i="2"/>
  <c r="C111" i="7" s="1"/>
  <c r="N112" i="2"/>
  <c r="C112" i="7" s="1"/>
  <c r="N113" i="2"/>
  <c r="N114" i="2"/>
  <c r="N115" i="2"/>
  <c r="N116" i="2"/>
  <c r="N117" i="2"/>
  <c r="N118" i="2"/>
  <c r="N119" i="2"/>
  <c r="N120" i="2"/>
  <c r="N121" i="2"/>
  <c r="C121" i="7" s="1"/>
  <c r="N122" i="2"/>
  <c r="C122" i="7" s="1"/>
  <c r="N123" i="2"/>
  <c r="C123" i="7" s="1"/>
  <c r="N124" i="2"/>
  <c r="C124" i="7" s="1"/>
  <c r="N125" i="2"/>
  <c r="N126" i="2"/>
  <c r="N127" i="2"/>
  <c r="N128" i="2"/>
  <c r="N129" i="2"/>
  <c r="N130" i="2"/>
  <c r="N131" i="2"/>
  <c r="N132" i="2"/>
  <c r="N133" i="2"/>
  <c r="C133" i="7" s="1"/>
  <c r="N134" i="2"/>
  <c r="C134" i="7" s="1"/>
  <c r="N135" i="2"/>
  <c r="C135" i="7" s="1"/>
  <c r="N136" i="2"/>
  <c r="C136" i="7" s="1"/>
  <c r="N137" i="2"/>
  <c r="N138" i="2"/>
  <c r="N139" i="2"/>
  <c r="N140" i="2"/>
  <c r="N141" i="2"/>
  <c r="C141" i="7" s="1"/>
  <c r="N142" i="2"/>
  <c r="C142" i="7" s="1"/>
  <c r="N143" i="2"/>
  <c r="C143" i="7" s="1"/>
  <c r="N144" i="2"/>
  <c r="C144" i="7" s="1"/>
  <c r="N145" i="2"/>
  <c r="C145" i="7" s="1"/>
  <c r="N146" i="2"/>
  <c r="C146" i="7" s="1"/>
  <c r="N147" i="2"/>
  <c r="C147" i="7" s="1"/>
  <c r="N148" i="2"/>
  <c r="C148" i="7" s="1"/>
  <c r="N149" i="2"/>
  <c r="N150" i="2"/>
  <c r="N151" i="2"/>
  <c r="N152" i="2"/>
  <c r="N153" i="2"/>
  <c r="N154" i="2"/>
  <c r="N155" i="2"/>
  <c r="N156" i="2"/>
  <c r="N157" i="2"/>
  <c r="N158" i="2"/>
  <c r="N159" i="2"/>
  <c r="C159" i="7" s="1"/>
  <c r="N160" i="2"/>
  <c r="C160" i="7" s="1"/>
  <c r="N161" i="2"/>
  <c r="N162" i="2"/>
  <c r="N163" i="2"/>
  <c r="N164" i="2"/>
  <c r="C164" i="7" s="1"/>
  <c r="N165" i="2"/>
  <c r="N166" i="2"/>
  <c r="C166" i="7" s="1"/>
  <c r="N167" i="2"/>
  <c r="C167" i="7" s="1"/>
  <c r="N168" i="2"/>
  <c r="C168" i="7" s="1"/>
  <c r="N169" i="2"/>
  <c r="C169" i="7" s="1"/>
  <c r="N170" i="2"/>
  <c r="C170" i="7" s="1"/>
  <c r="N171" i="2"/>
  <c r="C171" i="7" s="1"/>
  <c r="N172" i="2"/>
  <c r="C172" i="7" s="1"/>
  <c r="N173" i="2"/>
  <c r="N174" i="2"/>
  <c r="N175" i="2"/>
  <c r="N176" i="2"/>
  <c r="N177" i="2"/>
  <c r="N178" i="2"/>
  <c r="N179" i="2"/>
  <c r="N180" i="2"/>
  <c r="C180" i="7" s="1"/>
  <c r="N181" i="2"/>
  <c r="C181" i="7" s="1"/>
  <c r="N182" i="2"/>
  <c r="C182" i="7" s="1"/>
  <c r="N183" i="2"/>
  <c r="C183" i="7" s="1"/>
  <c r="N184" i="2"/>
  <c r="C184" i="7" s="1"/>
  <c r="N185" i="2"/>
  <c r="N186" i="2"/>
  <c r="N187" i="2"/>
  <c r="N188" i="2"/>
  <c r="N189" i="2"/>
  <c r="N190" i="2"/>
  <c r="N191" i="2"/>
  <c r="N192" i="2"/>
  <c r="N193" i="2"/>
  <c r="N194" i="2"/>
  <c r="N195" i="2"/>
  <c r="N196" i="2"/>
  <c r="C196" i="7" s="1"/>
  <c r="N197" i="2"/>
  <c r="N198" i="2"/>
  <c r="N199" i="2"/>
  <c r="N200" i="2"/>
  <c r="C200" i="7" s="1"/>
  <c r="N201" i="2"/>
  <c r="C201" i="7" s="1"/>
  <c r="N202" i="2"/>
  <c r="C202" i="7" s="1"/>
  <c r="N203" i="2"/>
  <c r="C203" i="7" s="1"/>
  <c r="N204" i="2"/>
  <c r="C204" i="7" s="1"/>
  <c r="N205" i="2"/>
  <c r="C205" i="7" s="1"/>
  <c r="N206" i="2"/>
  <c r="C206" i="7" s="1"/>
  <c r="N207" i="2"/>
  <c r="C207" i="7" s="1"/>
  <c r="N208" i="2"/>
  <c r="C208" i="7" s="1"/>
  <c r="N209" i="2"/>
  <c r="N210" i="2"/>
  <c r="N211" i="2"/>
  <c r="N212" i="2"/>
  <c r="N213" i="2"/>
  <c r="N214" i="2"/>
  <c r="N215" i="2"/>
  <c r="N216" i="2"/>
  <c r="N217" i="2"/>
  <c r="N218" i="2"/>
  <c r="N219" i="2"/>
  <c r="C219" i="7" s="1"/>
  <c r="N220" i="2"/>
  <c r="C220" i="7" s="1"/>
  <c r="N221" i="2"/>
  <c r="N222" i="2"/>
  <c r="N223" i="2"/>
  <c r="N224" i="2"/>
  <c r="C224" i="7" s="1"/>
  <c r="N225" i="2"/>
  <c r="N226" i="2"/>
  <c r="C226" i="7" s="1"/>
  <c r="N227" i="2"/>
  <c r="C227" i="7" s="1"/>
  <c r="N228" i="2"/>
  <c r="C228" i="7" s="1"/>
  <c r="N229" i="2"/>
  <c r="C229" i="7" s="1"/>
  <c r="N230" i="2"/>
  <c r="C230" i="7" s="1"/>
  <c r="N231" i="2"/>
  <c r="C231" i="7" s="1"/>
  <c r="N232" i="2"/>
  <c r="C232" i="7" s="1"/>
  <c r="N233" i="2"/>
  <c r="N234" i="2"/>
  <c r="N235" i="2"/>
  <c r="N236" i="2"/>
  <c r="N237" i="2"/>
  <c r="C237" i="7" s="1"/>
  <c r="N238" i="2"/>
  <c r="N239" i="2"/>
  <c r="C239" i="7" s="1"/>
  <c r="N240" i="2"/>
  <c r="C240" i="7" s="1"/>
  <c r="N241" i="2"/>
  <c r="C241" i="7" s="1"/>
  <c r="N242" i="2"/>
  <c r="C242" i="7" s="1"/>
  <c r="N243" i="2"/>
  <c r="C243" i="7" s="1"/>
  <c r="N244" i="2"/>
  <c r="C244" i="7" s="1"/>
  <c r="N245" i="2"/>
  <c r="N246" i="2"/>
  <c r="N247" i="2"/>
  <c r="N248" i="2"/>
  <c r="N249" i="2"/>
  <c r="N250" i="2"/>
  <c r="N251" i="2"/>
  <c r="N252" i="2"/>
  <c r="N253" i="2"/>
  <c r="N254" i="2"/>
  <c r="N255" i="2"/>
  <c r="N256" i="2"/>
  <c r="C256" i="7" s="1"/>
  <c r="N257" i="2"/>
  <c r="N258" i="2"/>
  <c r="N259" i="2"/>
  <c r="N260" i="2"/>
  <c r="C260" i="7" s="1"/>
  <c r="N261" i="2"/>
  <c r="C261" i="7" s="1"/>
  <c r="N262" i="2"/>
  <c r="C262" i="7" s="1"/>
  <c r="N263" i="2"/>
  <c r="C263" i="7" s="1"/>
  <c r="N264" i="2"/>
  <c r="C264" i="7" s="1"/>
  <c r="N265" i="2"/>
  <c r="C265" i="7" s="1"/>
  <c r="N266" i="2"/>
  <c r="C266" i="7" s="1"/>
  <c r="N267" i="2"/>
  <c r="C267" i="7" s="1"/>
  <c r="N268" i="2"/>
  <c r="C268" i="7" s="1"/>
  <c r="N269" i="2"/>
  <c r="N270" i="2"/>
  <c r="N271" i="2"/>
  <c r="N272" i="2"/>
  <c r="N273" i="2"/>
  <c r="N274" i="2"/>
  <c r="N275" i="2"/>
  <c r="N276" i="2"/>
  <c r="C276" i="7" s="1"/>
  <c r="N277" i="2"/>
  <c r="N278" i="2"/>
  <c r="C278" i="7" s="1"/>
  <c r="N279" i="2"/>
  <c r="C279" i="7" s="1"/>
  <c r="N280" i="2"/>
  <c r="C280" i="7" s="1"/>
  <c r="N281" i="2"/>
  <c r="N282" i="2"/>
  <c r="N283" i="2"/>
  <c r="N284" i="2"/>
  <c r="N285" i="2"/>
  <c r="N286" i="2"/>
  <c r="C286" i="7" s="1"/>
  <c r="N287" i="2"/>
  <c r="C287" i="7" s="1"/>
  <c r="N288" i="2"/>
  <c r="N289" i="2"/>
  <c r="C289" i="7" s="1"/>
  <c r="N290" i="2"/>
  <c r="C290" i="7" s="1"/>
  <c r="N291" i="2"/>
  <c r="C291" i="7" s="1"/>
  <c r="N292" i="2"/>
  <c r="C292" i="7" s="1"/>
  <c r="N293" i="2"/>
  <c r="N294" i="2"/>
  <c r="N295" i="2"/>
  <c r="N296" i="2"/>
  <c r="N297" i="2"/>
  <c r="C297" i="7" s="1"/>
  <c r="N298" i="2"/>
  <c r="N299" i="2"/>
  <c r="C299" i="7" s="1"/>
  <c r="N300" i="2"/>
  <c r="C300" i="7" s="1"/>
  <c r="N301" i="2"/>
  <c r="C301" i="7" s="1"/>
  <c r="N302" i="2"/>
  <c r="C302" i="7" s="1"/>
  <c r="N303" i="2"/>
  <c r="C303" i="7" s="1"/>
  <c r="N304" i="2"/>
  <c r="C304" i="7" s="1"/>
  <c r="N305" i="2"/>
  <c r="N306" i="2"/>
  <c r="N307" i="2"/>
  <c r="N308" i="2"/>
  <c r="N309" i="2"/>
  <c r="N310" i="2"/>
  <c r="N311" i="2"/>
  <c r="N312" i="2"/>
  <c r="N313" i="2"/>
  <c r="N314" i="2"/>
  <c r="N315" i="2"/>
  <c r="N316" i="2"/>
  <c r="C316" i="7" s="1"/>
  <c r="N317" i="2"/>
  <c r="N318" i="2"/>
  <c r="N319" i="2"/>
  <c r="N320" i="2"/>
  <c r="C320" i="7" s="1"/>
  <c r="N321" i="2"/>
  <c r="C321" i="7" s="1"/>
  <c r="N322" i="2"/>
  <c r="C322" i="7" s="1"/>
  <c r="N323" i="2"/>
  <c r="C323" i="7" s="1"/>
  <c r="N324" i="2"/>
  <c r="C324" i="7" s="1"/>
  <c r="N325" i="2"/>
  <c r="C325" i="7" s="1"/>
  <c r="N326" i="2"/>
  <c r="C326" i="7" s="1"/>
  <c r="N327" i="2"/>
  <c r="C327" i="7" s="1"/>
  <c r="N328" i="2"/>
  <c r="C328" i="7" s="1"/>
  <c r="N329" i="2"/>
  <c r="N330" i="2"/>
  <c r="N331" i="2"/>
  <c r="N332" i="2"/>
  <c r="N333" i="2"/>
  <c r="N334" i="2"/>
  <c r="N335" i="2"/>
  <c r="N336" i="2"/>
  <c r="N337" i="2"/>
  <c r="C337" i="7" s="1"/>
  <c r="N338" i="2"/>
  <c r="C338" i="7" s="1"/>
  <c r="N339" i="2"/>
  <c r="C339" i="7" s="1"/>
  <c r="N340" i="2"/>
  <c r="C340" i="7" s="1"/>
  <c r="N341" i="2"/>
  <c r="N342" i="2"/>
  <c r="N343" i="2"/>
  <c r="N344" i="2"/>
  <c r="N345" i="2"/>
  <c r="N346" i="2"/>
  <c r="N347" i="2"/>
  <c r="N348" i="2"/>
  <c r="N349" i="2"/>
  <c r="C349" i="7" s="1"/>
  <c r="N350" i="2"/>
  <c r="C350" i="7" s="1"/>
  <c r="N351" i="2"/>
  <c r="C351" i="7" s="1"/>
  <c r="N352" i="2"/>
  <c r="N353" i="2"/>
  <c r="N354" i="2"/>
  <c r="N355" i="2"/>
  <c r="N356" i="2"/>
  <c r="N357" i="2"/>
  <c r="C357" i="7" s="1"/>
  <c r="N358" i="2"/>
  <c r="C358" i="7" s="1"/>
  <c r="N359" i="2"/>
  <c r="C359" i="7" s="1"/>
  <c r="N360" i="2"/>
  <c r="C360" i="7" s="1"/>
  <c r="N361" i="2"/>
  <c r="C361" i="7" s="1"/>
  <c r="N362" i="2"/>
  <c r="C362" i="7" s="1"/>
  <c r="N363" i="2"/>
  <c r="C363" i="7" s="1"/>
  <c r="N364" i="2"/>
  <c r="C364" i="7" s="1"/>
  <c r="N365" i="2"/>
  <c r="N366" i="2"/>
  <c r="N367" i="2"/>
  <c r="N368" i="2"/>
  <c r="N369" i="2"/>
  <c r="N370" i="2"/>
  <c r="N371" i="2"/>
  <c r="N372" i="2"/>
  <c r="N373" i="2"/>
  <c r="N374" i="2"/>
  <c r="N375" i="2"/>
  <c r="C375" i="7" s="1"/>
  <c r="N376" i="2"/>
  <c r="C376" i="7" s="1"/>
  <c r="N377" i="2"/>
  <c r="N378" i="2"/>
  <c r="N379" i="2"/>
  <c r="N380" i="2"/>
  <c r="C380" i="7" s="1"/>
  <c r="N381" i="2"/>
  <c r="N382" i="2"/>
  <c r="C382" i="7" s="1"/>
  <c r="N383" i="2"/>
  <c r="C383" i="7" s="1"/>
  <c r="N384" i="2"/>
  <c r="C384" i="7" s="1"/>
  <c r="N385" i="2"/>
  <c r="C385" i="7" s="1"/>
  <c r="N386" i="2"/>
  <c r="C386" i="7" s="1"/>
  <c r="N387" i="2"/>
  <c r="C387" i="7" s="1"/>
  <c r="N388" i="2"/>
  <c r="C388" i="7" s="1"/>
  <c r="N389" i="2"/>
  <c r="N390" i="2"/>
  <c r="N391" i="2"/>
  <c r="N392" i="2"/>
  <c r="N393" i="2"/>
  <c r="N394" i="2"/>
  <c r="N395" i="2"/>
  <c r="N396" i="2"/>
  <c r="C396" i="7" s="1"/>
  <c r="N397" i="2"/>
  <c r="C397" i="7" s="1"/>
  <c r="N398" i="2"/>
  <c r="C398" i="7" s="1"/>
  <c r="N399" i="2"/>
  <c r="C399" i="7" s="1"/>
  <c r="N400" i="2"/>
  <c r="C400" i="7" s="1"/>
  <c r="N401" i="2"/>
  <c r="N402" i="2"/>
  <c r="N403" i="2"/>
  <c r="N404" i="2"/>
  <c r="N405" i="2"/>
  <c r="N406" i="2"/>
  <c r="N407" i="2"/>
  <c r="N408" i="2"/>
  <c r="N409" i="2"/>
  <c r="N410" i="2"/>
  <c r="N411" i="2"/>
  <c r="N412" i="2"/>
  <c r="C412" i="7" s="1"/>
  <c r="N413" i="2"/>
  <c r="N414" i="2"/>
  <c r="N415" i="2"/>
  <c r="N416" i="2"/>
  <c r="C416" i="7" s="1"/>
  <c r="N417" i="2"/>
  <c r="C417" i="7" s="1"/>
  <c r="N418" i="2"/>
  <c r="C418" i="7" s="1"/>
  <c r="N419" i="2"/>
  <c r="C419" i="7" s="1"/>
  <c r="N420" i="2"/>
  <c r="C420" i="7" s="1"/>
  <c r="N421" i="2"/>
  <c r="C421" i="7" s="1"/>
  <c r="N422" i="2"/>
  <c r="C422" i="7" s="1"/>
  <c r="N423" i="2"/>
  <c r="C423" i="7" s="1"/>
  <c r="N424" i="2"/>
  <c r="C424" i="7" s="1"/>
  <c r="N425" i="2"/>
  <c r="N426" i="2"/>
  <c r="N427" i="2"/>
  <c r="N428" i="2"/>
  <c r="N429" i="2"/>
  <c r="N430" i="2"/>
  <c r="N431" i="2"/>
  <c r="N432" i="2"/>
  <c r="N433" i="2"/>
  <c r="N434" i="2"/>
  <c r="N435" i="2"/>
  <c r="C435" i="7" s="1"/>
  <c r="N436" i="2"/>
  <c r="C436" i="7" s="1"/>
  <c r="N437" i="2"/>
  <c r="N438" i="2"/>
  <c r="N439" i="2"/>
  <c r="N440" i="2"/>
  <c r="C440" i="7" s="1"/>
  <c r="N441" i="2"/>
  <c r="N442" i="2"/>
  <c r="C442" i="7" s="1"/>
  <c r="N443" i="2"/>
  <c r="C443" i="7" s="1"/>
  <c r="N444" i="2"/>
  <c r="C444" i="7" s="1"/>
  <c r="N445" i="2"/>
  <c r="C445" i="7" s="1"/>
  <c r="N446" i="2"/>
  <c r="C446" i="7" s="1"/>
  <c r="N447" i="2"/>
  <c r="C447" i="7" s="1"/>
  <c r="N448" i="2"/>
  <c r="C448" i="7" s="1"/>
  <c r="N449" i="2"/>
  <c r="N450" i="2"/>
  <c r="N451" i="2"/>
  <c r="N452" i="2"/>
  <c r="N453" i="2"/>
  <c r="C453" i="7" s="1"/>
  <c r="N454" i="2"/>
  <c r="N455" i="2"/>
  <c r="C455" i="7" s="1"/>
  <c r="N456" i="2"/>
  <c r="C456" i="7" s="1"/>
  <c r="N457" i="2"/>
  <c r="C457" i="7" s="1"/>
  <c r="N458" i="2"/>
  <c r="C458" i="7" s="1"/>
  <c r="N459" i="2"/>
  <c r="C459" i="7" s="1"/>
  <c r="N460" i="2"/>
  <c r="C460" i="7" s="1"/>
  <c r="N461" i="2"/>
  <c r="N462" i="2"/>
  <c r="N463" i="2"/>
  <c r="N464" i="2"/>
  <c r="N465" i="2"/>
  <c r="N466" i="2"/>
  <c r="N467" i="2"/>
  <c r="N468" i="2"/>
  <c r="N469" i="2"/>
  <c r="N470" i="2"/>
  <c r="N471" i="2"/>
  <c r="N472" i="2"/>
  <c r="C472" i="7" s="1"/>
  <c r="N473" i="2"/>
  <c r="N474" i="2"/>
  <c r="N475" i="2"/>
  <c r="N476" i="2"/>
  <c r="C476" i="7" s="1"/>
  <c r="N477" i="2"/>
  <c r="C477" i="7" s="1"/>
  <c r="N478" i="2"/>
  <c r="C478" i="7" s="1"/>
  <c r="N479" i="2"/>
  <c r="C479" i="7" s="1"/>
  <c r="N480" i="2"/>
  <c r="C480" i="7" s="1"/>
  <c r="N481" i="2"/>
  <c r="C481" i="7" s="1"/>
  <c r="N482" i="2"/>
  <c r="C482" i="7" s="1"/>
  <c r="N483" i="2"/>
  <c r="C483" i="7" s="1"/>
  <c r="N484" i="2"/>
  <c r="C484" i="7" s="1"/>
  <c r="N485" i="2"/>
  <c r="N486" i="2"/>
  <c r="N487" i="2"/>
  <c r="N488" i="2"/>
  <c r="N489" i="2"/>
  <c r="N490" i="2"/>
  <c r="N491" i="2"/>
  <c r="N492" i="2"/>
  <c r="C492" i="7" s="1"/>
  <c r="N493" i="2"/>
  <c r="N494" i="2"/>
  <c r="C494" i="7" s="1"/>
  <c r="N495" i="2"/>
  <c r="C495" i="7" s="1"/>
  <c r="N496" i="2"/>
  <c r="C496" i="7" s="1"/>
  <c r="N497" i="2"/>
  <c r="N498" i="2"/>
  <c r="N499" i="2"/>
  <c r="N500" i="2"/>
  <c r="N501" i="2"/>
  <c r="N502" i="2"/>
  <c r="C502" i="7" s="1"/>
  <c r="N503" i="2"/>
  <c r="N504" i="2"/>
  <c r="C504" i="7" s="1"/>
  <c r="N505" i="2"/>
  <c r="C505" i="7" s="1"/>
  <c r="N506" i="2"/>
  <c r="C506" i="7" s="1"/>
  <c r="N507" i="2"/>
  <c r="C507" i="7" s="1"/>
  <c r="N508" i="2"/>
  <c r="C508" i="7" s="1"/>
  <c r="N509" i="2"/>
  <c r="N510" i="2"/>
  <c r="N511" i="2"/>
  <c r="N512" i="2"/>
  <c r="N513" i="2"/>
  <c r="N514" i="2"/>
  <c r="N515" i="2"/>
  <c r="N516" i="2"/>
  <c r="N517" i="2"/>
  <c r="N518" i="2"/>
  <c r="N519" i="2"/>
  <c r="C519" i="7" s="1"/>
  <c r="N520" i="2"/>
  <c r="C520" i="7" s="1"/>
  <c r="N521" i="2"/>
  <c r="N522" i="2"/>
  <c r="N523" i="2"/>
  <c r="N524" i="2"/>
  <c r="C524" i="7" s="1"/>
  <c r="N525" i="2"/>
  <c r="N526" i="2"/>
  <c r="C526" i="7" s="1"/>
  <c r="N527" i="2"/>
  <c r="C527" i="7" s="1"/>
  <c r="N528" i="2"/>
  <c r="C528" i="7" s="1"/>
  <c r="N529" i="2"/>
  <c r="C529" i="7" s="1"/>
  <c r="N530" i="2"/>
  <c r="C530" i="7" s="1"/>
  <c r="N531" i="2"/>
  <c r="C531" i="7" s="1"/>
  <c r="AA4" i="1"/>
  <c r="N4" i="2"/>
  <c r="C7" i="7"/>
  <c r="C19" i="7"/>
  <c r="C20" i="7"/>
  <c r="C22" i="7"/>
  <c r="C31" i="7"/>
  <c r="C32" i="7"/>
  <c r="C34" i="7"/>
  <c r="C35" i="7"/>
  <c r="C37" i="7"/>
  <c r="C38" i="7"/>
  <c r="C39" i="7"/>
  <c r="C43" i="7"/>
  <c r="C55" i="7"/>
  <c r="C56" i="7"/>
  <c r="C58" i="7"/>
  <c r="C59" i="7"/>
  <c r="C61" i="7"/>
  <c r="C67" i="7"/>
  <c r="C68" i="7"/>
  <c r="C79" i="7"/>
  <c r="C80" i="7"/>
  <c r="C82" i="7"/>
  <c r="C91" i="7"/>
  <c r="C92" i="7"/>
  <c r="C94" i="7"/>
  <c r="C95" i="7"/>
  <c r="C97" i="7"/>
  <c r="C98" i="7"/>
  <c r="C99" i="7"/>
  <c r="C103" i="7"/>
  <c r="C115" i="7"/>
  <c r="C116" i="7"/>
  <c r="C118" i="7"/>
  <c r="C119" i="7"/>
  <c r="C120" i="7"/>
  <c r="C127" i="7"/>
  <c r="C128" i="7"/>
  <c r="C130" i="7"/>
  <c r="C131" i="7"/>
  <c r="C139" i="7"/>
  <c r="C140" i="7"/>
  <c r="C151" i="7"/>
  <c r="C152" i="7"/>
  <c r="C154" i="7"/>
  <c r="C155" i="7"/>
  <c r="C156" i="7"/>
  <c r="C157" i="7"/>
  <c r="C158" i="7"/>
  <c r="C163" i="7"/>
  <c r="C175" i="7"/>
  <c r="C176" i="7"/>
  <c r="C178" i="7"/>
  <c r="C179" i="7"/>
  <c r="C187" i="7"/>
  <c r="C188" i="7"/>
  <c r="C190" i="7"/>
  <c r="C191" i="7"/>
  <c r="C192" i="7"/>
  <c r="C193" i="7"/>
  <c r="C194" i="7"/>
  <c r="C195" i="7"/>
  <c r="C199" i="7"/>
  <c r="C211" i="7"/>
  <c r="C212" i="7"/>
  <c r="C214" i="7"/>
  <c r="C215" i="7"/>
  <c r="C217" i="7"/>
  <c r="C218" i="7"/>
  <c r="C223" i="7"/>
  <c r="C235" i="7"/>
  <c r="C236" i="7"/>
  <c r="C238" i="7"/>
  <c r="C247" i="7"/>
  <c r="C248" i="7"/>
  <c r="C250" i="7"/>
  <c r="C251" i="7"/>
  <c r="C253" i="7"/>
  <c r="C254" i="7"/>
  <c r="C255" i="7"/>
  <c r="C259" i="7"/>
  <c r="C271" i="7"/>
  <c r="C272" i="7"/>
  <c r="C274" i="7"/>
  <c r="C275" i="7"/>
  <c r="C277" i="7"/>
  <c r="C283" i="7"/>
  <c r="C284" i="7"/>
  <c r="C295" i="7"/>
  <c r="C296" i="7"/>
  <c r="C298" i="7"/>
  <c r="C307" i="7"/>
  <c r="C308" i="7"/>
  <c r="C310" i="7"/>
  <c r="C311" i="7"/>
  <c r="C313" i="7"/>
  <c r="C314" i="7"/>
  <c r="C315" i="7"/>
  <c r="C319" i="7"/>
  <c r="C331" i="7"/>
  <c r="C332" i="7"/>
  <c r="C334" i="7"/>
  <c r="C335" i="7"/>
  <c r="C336" i="7"/>
  <c r="C343" i="7"/>
  <c r="C344" i="7"/>
  <c r="C346" i="7"/>
  <c r="C347" i="7"/>
  <c r="C355" i="7"/>
  <c r="C356" i="7"/>
  <c r="C367" i="7"/>
  <c r="C368" i="7"/>
  <c r="C370" i="7"/>
  <c r="C371" i="7"/>
  <c r="C372" i="7"/>
  <c r="C373" i="7"/>
  <c r="C374" i="7"/>
  <c r="C379" i="7"/>
  <c r="C391" i="7"/>
  <c r="C392" i="7"/>
  <c r="C394" i="7"/>
  <c r="C395" i="7"/>
  <c r="C403" i="7"/>
  <c r="C404" i="7"/>
  <c r="C406" i="7"/>
  <c r="C407" i="7"/>
  <c r="C408" i="7"/>
  <c r="C409" i="7"/>
  <c r="C410" i="7"/>
  <c r="C411" i="7"/>
  <c r="C415" i="7"/>
  <c r="C427" i="7"/>
  <c r="C428" i="7"/>
  <c r="C430" i="7"/>
  <c r="C431" i="7"/>
  <c r="C433" i="7"/>
  <c r="C434" i="7"/>
  <c r="C439" i="7"/>
  <c r="C451" i="7"/>
  <c r="C452" i="7"/>
  <c r="C454" i="7"/>
  <c r="C463" i="7"/>
  <c r="C464" i="7"/>
  <c r="C466" i="7"/>
  <c r="C467" i="7"/>
  <c r="C469" i="7"/>
  <c r="C470" i="7"/>
  <c r="C471" i="7"/>
  <c r="C475" i="7"/>
  <c r="C487" i="7"/>
  <c r="C488" i="7"/>
  <c r="C490" i="7"/>
  <c r="C491" i="7"/>
  <c r="C493" i="7"/>
  <c r="C499" i="7"/>
  <c r="C500" i="7"/>
  <c r="C511" i="7"/>
  <c r="C512" i="7"/>
  <c r="C514" i="7"/>
  <c r="C515" i="7"/>
  <c r="C516" i="7"/>
  <c r="C517" i="7"/>
  <c r="C518" i="7"/>
  <c r="C523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4" i="7"/>
  <c r="C5" i="7"/>
  <c r="C6" i="7"/>
  <c r="C9" i="7"/>
  <c r="C17" i="7"/>
  <c r="C18" i="7"/>
  <c r="C29" i="7"/>
  <c r="C30" i="7"/>
  <c r="C33" i="7"/>
  <c r="C36" i="7"/>
  <c r="C41" i="7"/>
  <c r="C42" i="7"/>
  <c r="C53" i="7"/>
  <c r="C54" i="7"/>
  <c r="C57" i="7"/>
  <c r="C65" i="7"/>
  <c r="C66" i="7"/>
  <c r="C69" i="7"/>
  <c r="C72" i="7"/>
  <c r="C77" i="7"/>
  <c r="C78" i="7"/>
  <c r="C89" i="7"/>
  <c r="C90" i="7"/>
  <c r="C93" i="7"/>
  <c r="C96" i="7"/>
  <c r="C101" i="7"/>
  <c r="C102" i="7"/>
  <c r="C113" i="7"/>
  <c r="C114" i="7"/>
  <c r="C117" i="7"/>
  <c r="C125" i="7"/>
  <c r="C126" i="7"/>
  <c r="C129" i="7"/>
  <c r="C132" i="7"/>
  <c r="C137" i="7"/>
  <c r="C138" i="7"/>
  <c r="C149" i="7"/>
  <c r="C150" i="7"/>
  <c r="C153" i="7"/>
  <c r="C161" i="7"/>
  <c r="C162" i="7"/>
  <c r="C165" i="7"/>
  <c r="C173" i="7"/>
  <c r="C174" i="7"/>
  <c r="C177" i="7"/>
  <c r="C185" i="7"/>
  <c r="C186" i="7"/>
  <c r="C189" i="7"/>
  <c r="C197" i="7"/>
  <c r="C198" i="7"/>
  <c r="C209" i="7"/>
  <c r="C210" i="7"/>
  <c r="C213" i="7"/>
  <c r="C216" i="7"/>
  <c r="C221" i="7"/>
  <c r="C222" i="7"/>
  <c r="C225" i="7"/>
  <c r="C233" i="7"/>
  <c r="C234" i="7"/>
  <c r="C245" i="7"/>
  <c r="C246" i="7"/>
  <c r="C249" i="7"/>
  <c r="C252" i="7"/>
  <c r="C257" i="7"/>
  <c r="C258" i="7"/>
  <c r="C269" i="7"/>
  <c r="C270" i="7"/>
  <c r="C273" i="7"/>
  <c r="C281" i="7"/>
  <c r="C282" i="7"/>
  <c r="C285" i="7"/>
  <c r="C288" i="7"/>
  <c r="C293" i="7"/>
  <c r="C294" i="7"/>
  <c r="C305" i="7"/>
  <c r="C306" i="7"/>
  <c r="C309" i="7"/>
  <c r="C312" i="7"/>
  <c r="C317" i="7"/>
  <c r="C318" i="7"/>
  <c r="C329" i="7"/>
  <c r="C330" i="7"/>
  <c r="C333" i="7"/>
  <c r="C341" i="7"/>
  <c r="C342" i="7"/>
  <c r="C345" i="7"/>
  <c r="C348" i="7"/>
  <c r="C352" i="7"/>
  <c r="C353" i="7"/>
  <c r="C354" i="7"/>
  <c r="C365" i="7"/>
  <c r="C366" i="7"/>
  <c r="C369" i="7"/>
  <c r="C377" i="7"/>
  <c r="C378" i="7"/>
  <c r="C381" i="7"/>
  <c r="C389" i="7"/>
  <c r="C390" i="7"/>
  <c r="C393" i="7"/>
  <c r="C401" i="7"/>
  <c r="C402" i="7"/>
  <c r="C405" i="7"/>
  <c r="C413" i="7"/>
  <c r="C414" i="7"/>
  <c r="C425" i="7"/>
  <c r="C426" i="7"/>
  <c r="C429" i="7"/>
  <c r="C432" i="7"/>
  <c r="C437" i="7"/>
  <c r="C438" i="7"/>
  <c r="C441" i="7"/>
  <c r="C449" i="7"/>
  <c r="C450" i="7"/>
  <c r="C461" i="7"/>
  <c r="C462" i="7"/>
  <c r="C465" i="7"/>
  <c r="C468" i="7"/>
  <c r="C473" i="7"/>
  <c r="C474" i="7"/>
  <c r="C485" i="7"/>
  <c r="C486" i="7"/>
  <c r="C489" i="7"/>
  <c r="C497" i="7"/>
  <c r="C498" i="7"/>
  <c r="C501" i="7"/>
  <c r="C503" i="7"/>
  <c r="C509" i="7"/>
  <c r="C510" i="7"/>
  <c r="C513" i="7"/>
  <c r="C521" i="7"/>
  <c r="C522" i="7"/>
  <c r="C525" i="7"/>
  <c r="C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4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" i="7"/>
  <c r="A6" i="7"/>
  <c r="A7" i="7"/>
  <c r="A8" i="7"/>
  <c r="A4" i="7"/>
  <c r="H4" i="7" s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4" i="2"/>
  <c r="U13" i="2"/>
  <c r="U14" i="2"/>
  <c r="U15" i="2"/>
  <c r="U16" i="2"/>
  <c r="U17" i="2"/>
  <c r="U18" i="2"/>
  <c r="U19" i="2"/>
  <c r="U20" i="2"/>
  <c r="U21" i="2"/>
  <c r="U22" i="2"/>
  <c r="U23" i="2"/>
  <c r="U12" i="2"/>
  <c r="T13" i="2"/>
  <c r="T14" i="2"/>
  <c r="T15" i="2"/>
  <c r="T16" i="2"/>
  <c r="T17" i="2"/>
  <c r="T18" i="2"/>
  <c r="T19" i="2"/>
  <c r="T20" i="2"/>
  <c r="T21" i="2"/>
  <c r="T22" i="2"/>
  <c r="T23" i="2"/>
  <c r="T12" i="2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6" i="1"/>
  <c r="T276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7" i="1"/>
  <c r="T287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S350" i="1"/>
  <c r="T350" i="1"/>
  <c r="S351" i="1"/>
  <c r="T351" i="1"/>
  <c r="S352" i="1"/>
  <c r="T352" i="1"/>
  <c r="S353" i="1"/>
  <c r="T353" i="1"/>
  <c r="S354" i="1"/>
  <c r="T354" i="1"/>
  <c r="S355" i="1"/>
  <c r="T355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4" i="1"/>
  <c r="T364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S373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381" i="1"/>
  <c r="T381" i="1"/>
  <c r="S382" i="1"/>
  <c r="T382" i="1"/>
  <c r="S383" i="1"/>
  <c r="T383" i="1"/>
  <c r="S384" i="1"/>
  <c r="T384" i="1"/>
  <c r="S385" i="1"/>
  <c r="T385" i="1"/>
  <c r="S386" i="1"/>
  <c r="T386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394" i="1"/>
  <c r="T394" i="1"/>
  <c r="S395" i="1"/>
  <c r="T395" i="1"/>
  <c r="S396" i="1"/>
  <c r="T396" i="1"/>
  <c r="S397" i="1"/>
  <c r="T397" i="1"/>
  <c r="S398" i="1"/>
  <c r="T398" i="1"/>
  <c r="S399" i="1"/>
  <c r="T399" i="1"/>
  <c r="S400" i="1"/>
  <c r="T400" i="1"/>
  <c r="S401" i="1"/>
  <c r="T401" i="1"/>
  <c r="S402" i="1"/>
  <c r="T402" i="1"/>
  <c r="S403" i="1"/>
  <c r="T403" i="1"/>
  <c r="S404" i="1"/>
  <c r="T404" i="1"/>
  <c r="S405" i="1"/>
  <c r="T405" i="1"/>
  <c r="S406" i="1"/>
  <c r="T406" i="1"/>
  <c r="S407" i="1"/>
  <c r="T407" i="1"/>
  <c r="S408" i="1"/>
  <c r="T408" i="1"/>
  <c r="S409" i="1"/>
  <c r="T409" i="1"/>
  <c r="S410" i="1"/>
  <c r="T410" i="1"/>
  <c r="S411" i="1"/>
  <c r="T411" i="1"/>
  <c r="S412" i="1"/>
  <c r="T412" i="1"/>
  <c r="S413" i="1"/>
  <c r="T413" i="1"/>
  <c r="S414" i="1"/>
  <c r="T414" i="1"/>
  <c r="S415" i="1"/>
  <c r="T415" i="1"/>
  <c r="S416" i="1"/>
  <c r="T416" i="1"/>
  <c r="S417" i="1"/>
  <c r="T417" i="1"/>
  <c r="S418" i="1"/>
  <c r="T418" i="1"/>
  <c r="S419" i="1"/>
  <c r="T419" i="1"/>
  <c r="S420" i="1"/>
  <c r="T420" i="1"/>
  <c r="S421" i="1"/>
  <c r="T421" i="1"/>
  <c r="S422" i="1"/>
  <c r="T422" i="1"/>
  <c r="S423" i="1"/>
  <c r="T423" i="1"/>
  <c r="S424" i="1"/>
  <c r="T424" i="1"/>
  <c r="S425" i="1"/>
  <c r="T425" i="1"/>
  <c r="S426" i="1"/>
  <c r="T426" i="1"/>
  <c r="S427" i="1"/>
  <c r="T427" i="1"/>
  <c r="S428" i="1"/>
  <c r="T428" i="1"/>
  <c r="S429" i="1"/>
  <c r="T429" i="1"/>
  <c r="S430" i="1"/>
  <c r="T430" i="1"/>
  <c r="S431" i="1"/>
  <c r="T431" i="1"/>
  <c r="S432" i="1"/>
  <c r="T432" i="1"/>
  <c r="S433" i="1"/>
  <c r="T433" i="1"/>
  <c r="S434" i="1"/>
  <c r="T434" i="1"/>
  <c r="S435" i="1"/>
  <c r="T435" i="1"/>
  <c r="S436" i="1"/>
  <c r="T436" i="1"/>
  <c r="S437" i="1"/>
  <c r="T437" i="1"/>
  <c r="S438" i="1"/>
  <c r="T438" i="1"/>
  <c r="S439" i="1"/>
  <c r="T439" i="1"/>
  <c r="S440" i="1"/>
  <c r="T440" i="1"/>
  <c r="S441" i="1"/>
  <c r="T441" i="1"/>
  <c r="S442" i="1"/>
  <c r="T442" i="1"/>
  <c r="S443" i="1"/>
  <c r="T443" i="1"/>
  <c r="S444" i="1"/>
  <c r="T444" i="1"/>
  <c r="S445" i="1"/>
  <c r="T445" i="1"/>
  <c r="S446" i="1"/>
  <c r="T446" i="1"/>
  <c r="S447" i="1"/>
  <c r="T447" i="1"/>
  <c r="S448" i="1"/>
  <c r="T448" i="1"/>
  <c r="S449" i="1"/>
  <c r="T449" i="1"/>
  <c r="S450" i="1"/>
  <c r="T450" i="1"/>
  <c r="S451" i="1"/>
  <c r="T451" i="1"/>
  <c r="S452" i="1"/>
  <c r="T452" i="1"/>
  <c r="S453" i="1"/>
  <c r="T453" i="1"/>
  <c r="S454" i="1"/>
  <c r="T454" i="1"/>
  <c r="S455" i="1"/>
  <c r="T455" i="1"/>
  <c r="S456" i="1"/>
  <c r="T456" i="1"/>
  <c r="S457" i="1"/>
  <c r="T457" i="1"/>
  <c r="S458" i="1"/>
  <c r="T458" i="1"/>
  <c r="S459" i="1"/>
  <c r="T459" i="1"/>
  <c r="S460" i="1"/>
  <c r="T460" i="1"/>
  <c r="S461" i="1"/>
  <c r="T461" i="1"/>
  <c r="S462" i="1"/>
  <c r="T462" i="1"/>
  <c r="S463" i="1"/>
  <c r="T463" i="1"/>
  <c r="S464" i="1"/>
  <c r="T464" i="1"/>
  <c r="S465" i="1"/>
  <c r="T465" i="1"/>
  <c r="S466" i="1"/>
  <c r="T466" i="1"/>
  <c r="S467" i="1"/>
  <c r="T467" i="1"/>
  <c r="S468" i="1"/>
  <c r="T468" i="1"/>
  <c r="S469" i="1"/>
  <c r="T469" i="1"/>
  <c r="S470" i="1"/>
  <c r="T470" i="1"/>
  <c r="S471" i="1"/>
  <c r="T471" i="1"/>
  <c r="S472" i="1"/>
  <c r="T472" i="1"/>
  <c r="S473" i="1"/>
  <c r="T473" i="1"/>
  <c r="S474" i="1"/>
  <c r="T474" i="1"/>
  <c r="S475" i="1"/>
  <c r="T475" i="1"/>
  <c r="S476" i="1"/>
  <c r="T476" i="1"/>
  <c r="S477" i="1"/>
  <c r="T477" i="1"/>
  <c r="S478" i="1"/>
  <c r="T478" i="1"/>
  <c r="S479" i="1"/>
  <c r="T479" i="1"/>
  <c r="S480" i="1"/>
  <c r="T480" i="1"/>
  <c r="S481" i="1"/>
  <c r="T481" i="1"/>
  <c r="S482" i="1"/>
  <c r="T482" i="1"/>
  <c r="S483" i="1"/>
  <c r="T483" i="1"/>
  <c r="S484" i="1"/>
  <c r="T484" i="1"/>
  <c r="S485" i="1"/>
  <c r="T485" i="1"/>
  <c r="S486" i="1"/>
  <c r="T486" i="1"/>
  <c r="S487" i="1"/>
  <c r="T487" i="1"/>
  <c r="S488" i="1"/>
  <c r="T488" i="1"/>
  <c r="S489" i="1"/>
  <c r="T489" i="1"/>
  <c r="S490" i="1"/>
  <c r="T490" i="1"/>
  <c r="S491" i="1"/>
  <c r="T491" i="1"/>
  <c r="S492" i="1"/>
  <c r="T492" i="1"/>
  <c r="S493" i="1"/>
  <c r="T493" i="1"/>
  <c r="S494" i="1"/>
  <c r="T494" i="1"/>
  <c r="S495" i="1"/>
  <c r="T495" i="1"/>
  <c r="S496" i="1"/>
  <c r="T496" i="1"/>
  <c r="S497" i="1"/>
  <c r="T497" i="1"/>
  <c r="S498" i="1"/>
  <c r="T498" i="1"/>
  <c r="S499" i="1"/>
  <c r="T499" i="1"/>
  <c r="S500" i="1"/>
  <c r="T500" i="1"/>
  <c r="S501" i="1"/>
  <c r="T501" i="1"/>
  <c r="S502" i="1"/>
  <c r="T502" i="1"/>
  <c r="S503" i="1"/>
  <c r="T503" i="1"/>
  <c r="S504" i="1"/>
  <c r="T504" i="1"/>
  <c r="S505" i="1"/>
  <c r="T505" i="1"/>
  <c r="S506" i="1"/>
  <c r="T506" i="1"/>
  <c r="S507" i="1"/>
  <c r="T507" i="1"/>
  <c r="S508" i="1"/>
  <c r="T508" i="1"/>
  <c r="S509" i="1"/>
  <c r="T509" i="1"/>
  <c r="S510" i="1"/>
  <c r="T510" i="1"/>
  <c r="S511" i="1"/>
  <c r="T511" i="1"/>
  <c r="S512" i="1"/>
  <c r="T512" i="1"/>
  <c r="S513" i="1"/>
  <c r="T513" i="1"/>
  <c r="S514" i="1"/>
  <c r="T514" i="1"/>
  <c r="S515" i="1"/>
  <c r="T515" i="1"/>
  <c r="S516" i="1"/>
  <c r="T516" i="1"/>
  <c r="S517" i="1"/>
  <c r="T517" i="1"/>
  <c r="S518" i="1"/>
  <c r="T518" i="1"/>
  <c r="S519" i="1"/>
  <c r="T519" i="1"/>
  <c r="S520" i="1"/>
  <c r="T520" i="1"/>
  <c r="S521" i="1"/>
  <c r="T521" i="1"/>
  <c r="S522" i="1"/>
  <c r="T522" i="1"/>
  <c r="S523" i="1"/>
  <c r="T523" i="1"/>
  <c r="S524" i="1"/>
  <c r="T524" i="1"/>
  <c r="S525" i="1"/>
  <c r="T525" i="1"/>
  <c r="S526" i="1"/>
  <c r="T526" i="1"/>
  <c r="S527" i="1"/>
  <c r="T527" i="1"/>
  <c r="S528" i="1"/>
  <c r="T528" i="1"/>
  <c r="S529" i="1"/>
  <c r="T529" i="1"/>
  <c r="S530" i="1"/>
  <c r="T530" i="1"/>
  <c r="S531" i="1"/>
  <c r="T531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4" i="1"/>
  <c r="Q4" i="1"/>
  <c r="Q6" i="1"/>
  <c r="Q5" i="1"/>
  <c r="U5" i="1"/>
  <c r="V5" i="1"/>
  <c r="W5" i="1"/>
  <c r="X5" i="1"/>
  <c r="Z5" i="1"/>
  <c r="AA5" i="1"/>
  <c r="AB5" i="1"/>
  <c r="U6" i="1"/>
  <c r="V6" i="1"/>
  <c r="W6" i="1"/>
  <c r="X6" i="1"/>
  <c r="Z6" i="1"/>
  <c r="AA6" i="1"/>
  <c r="AB6" i="1"/>
  <c r="Q7" i="1"/>
  <c r="U7" i="1"/>
  <c r="V7" i="1"/>
  <c r="W7" i="1"/>
  <c r="X7" i="1"/>
  <c r="Z7" i="1"/>
  <c r="AA7" i="1"/>
  <c r="AB7" i="1"/>
  <c r="Q8" i="1"/>
  <c r="U8" i="1"/>
  <c r="V8" i="1"/>
  <c r="W8" i="1"/>
  <c r="X8" i="1"/>
  <c r="Z8" i="1"/>
  <c r="AA8" i="1"/>
  <c r="AB8" i="1"/>
  <c r="Q9" i="1"/>
  <c r="U9" i="1"/>
  <c r="V9" i="1"/>
  <c r="W9" i="1"/>
  <c r="X9" i="1"/>
  <c r="Z9" i="1"/>
  <c r="AA9" i="1"/>
  <c r="AB9" i="1"/>
  <c r="Q10" i="1"/>
  <c r="U10" i="1"/>
  <c r="V10" i="1"/>
  <c r="W10" i="1"/>
  <c r="X10" i="1"/>
  <c r="Z10" i="1"/>
  <c r="AA10" i="1"/>
  <c r="AB10" i="1"/>
  <c r="Q11" i="1"/>
  <c r="U11" i="1"/>
  <c r="V11" i="1"/>
  <c r="W11" i="1"/>
  <c r="X11" i="1"/>
  <c r="Z11" i="1"/>
  <c r="AA11" i="1"/>
  <c r="AB11" i="1"/>
  <c r="Q12" i="1"/>
  <c r="U12" i="1"/>
  <c r="V12" i="1"/>
  <c r="W12" i="1"/>
  <c r="X12" i="1"/>
  <c r="Z12" i="1"/>
  <c r="AA12" i="1"/>
  <c r="AB12" i="1"/>
  <c r="Q13" i="1"/>
  <c r="U13" i="1"/>
  <c r="V13" i="1"/>
  <c r="W13" i="1"/>
  <c r="X13" i="1"/>
  <c r="Z13" i="1"/>
  <c r="AA13" i="1"/>
  <c r="AB13" i="1"/>
  <c r="Q14" i="1"/>
  <c r="U14" i="1"/>
  <c r="V14" i="1"/>
  <c r="W14" i="1"/>
  <c r="X14" i="1"/>
  <c r="Z14" i="1"/>
  <c r="AA14" i="1"/>
  <c r="AB14" i="1"/>
  <c r="Q15" i="1"/>
  <c r="U15" i="1"/>
  <c r="V15" i="1"/>
  <c r="W15" i="1"/>
  <c r="X15" i="1"/>
  <c r="Z15" i="1"/>
  <c r="AA15" i="1"/>
  <c r="AB15" i="1"/>
  <c r="Q16" i="1"/>
  <c r="U16" i="1"/>
  <c r="V16" i="1"/>
  <c r="W16" i="1"/>
  <c r="X16" i="1"/>
  <c r="Z16" i="1"/>
  <c r="AA16" i="1"/>
  <c r="AB16" i="1"/>
  <c r="Q17" i="1"/>
  <c r="U17" i="1"/>
  <c r="V17" i="1"/>
  <c r="W17" i="1"/>
  <c r="X17" i="1"/>
  <c r="Z17" i="1"/>
  <c r="AA17" i="1"/>
  <c r="AB17" i="1"/>
  <c r="Q18" i="1"/>
  <c r="U18" i="1"/>
  <c r="V18" i="1"/>
  <c r="W18" i="1"/>
  <c r="X18" i="1"/>
  <c r="Z18" i="1"/>
  <c r="AA18" i="1"/>
  <c r="AB18" i="1"/>
  <c r="Q19" i="1"/>
  <c r="U19" i="1"/>
  <c r="V19" i="1"/>
  <c r="W19" i="1"/>
  <c r="X19" i="1"/>
  <c r="Z19" i="1"/>
  <c r="AA19" i="1"/>
  <c r="AB19" i="1"/>
  <c r="Q20" i="1"/>
  <c r="U20" i="1"/>
  <c r="V20" i="1"/>
  <c r="W20" i="1"/>
  <c r="X20" i="1"/>
  <c r="Z20" i="1"/>
  <c r="AA20" i="1"/>
  <c r="AB20" i="1"/>
  <c r="Q21" i="1"/>
  <c r="U21" i="1"/>
  <c r="V21" i="1"/>
  <c r="W21" i="1"/>
  <c r="X21" i="1"/>
  <c r="Z21" i="1"/>
  <c r="AA21" i="1"/>
  <c r="AB21" i="1"/>
  <c r="Q22" i="1"/>
  <c r="U22" i="1"/>
  <c r="V22" i="1"/>
  <c r="W22" i="1"/>
  <c r="X22" i="1"/>
  <c r="Z22" i="1"/>
  <c r="AA22" i="1"/>
  <c r="AB22" i="1"/>
  <c r="Q23" i="1"/>
  <c r="U23" i="1"/>
  <c r="V23" i="1"/>
  <c r="W23" i="1"/>
  <c r="X23" i="1"/>
  <c r="Z23" i="1"/>
  <c r="AA23" i="1"/>
  <c r="AB23" i="1"/>
  <c r="Q24" i="1"/>
  <c r="U24" i="1"/>
  <c r="V24" i="1"/>
  <c r="W24" i="1"/>
  <c r="X24" i="1"/>
  <c r="Z24" i="1"/>
  <c r="AA24" i="1"/>
  <c r="AB24" i="1"/>
  <c r="Q25" i="1"/>
  <c r="U25" i="1"/>
  <c r="V25" i="1"/>
  <c r="W25" i="1"/>
  <c r="X25" i="1"/>
  <c r="Z25" i="1"/>
  <c r="AA25" i="1"/>
  <c r="AB25" i="1"/>
  <c r="Q26" i="1"/>
  <c r="U26" i="1"/>
  <c r="V26" i="1"/>
  <c r="W26" i="1"/>
  <c r="X26" i="1"/>
  <c r="Z26" i="1"/>
  <c r="AA26" i="1"/>
  <c r="AB26" i="1"/>
  <c r="Q27" i="1"/>
  <c r="U27" i="1"/>
  <c r="V27" i="1"/>
  <c r="W27" i="1"/>
  <c r="X27" i="1"/>
  <c r="Z27" i="1"/>
  <c r="AA27" i="1"/>
  <c r="AB27" i="1"/>
  <c r="Q28" i="1"/>
  <c r="U28" i="1"/>
  <c r="V28" i="1"/>
  <c r="W28" i="1"/>
  <c r="X28" i="1"/>
  <c r="Z28" i="1"/>
  <c r="AA28" i="1"/>
  <c r="AB28" i="1"/>
  <c r="Q29" i="1"/>
  <c r="U29" i="1"/>
  <c r="V29" i="1"/>
  <c r="W29" i="1"/>
  <c r="X29" i="1"/>
  <c r="Z29" i="1"/>
  <c r="AA29" i="1"/>
  <c r="AB29" i="1"/>
  <c r="Q30" i="1"/>
  <c r="U30" i="1"/>
  <c r="V30" i="1"/>
  <c r="W30" i="1"/>
  <c r="X30" i="1"/>
  <c r="Z30" i="1"/>
  <c r="AA30" i="1"/>
  <c r="AB30" i="1"/>
  <c r="Q31" i="1"/>
  <c r="U31" i="1"/>
  <c r="V31" i="1"/>
  <c r="W31" i="1"/>
  <c r="X31" i="1"/>
  <c r="Z31" i="1"/>
  <c r="AA31" i="1"/>
  <c r="AB31" i="1"/>
  <c r="Q32" i="1"/>
  <c r="U32" i="1"/>
  <c r="V32" i="1"/>
  <c r="W32" i="1"/>
  <c r="X32" i="1"/>
  <c r="Z32" i="1"/>
  <c r="AA32" i="1"/>
  <c r="AB32" i="1"/>
  <c r="Q33" i="1"/>
  <c r="U33" i="1"/>
  <c r="V33" i="1"/>
  <c r="W33" i="1"/>
  <c r="X33" i="1"/>
  <c r="Z33" i="1"/>
  <c r="AA33" i="1"/>
  <c r="AB33" i="1"/>
  <c r="Q34" i="1"/>
  <c r="U34" i="1"/>
  <c r="V34" i="1"/>
  <c r="W34" i="1"/>
  <c r="X34" i="1"/>
  <c r="Z34" i="1"/>
  <c r="AA34" i="1"/>
  <c r="AB34" i="1"/>
  <c r="Q35" i="1"/>
  <c r="U35" i="1"/>
  <c r="V35" i="1"/>
  <c r="W35" i="1"/>
  <c r="X35" i="1"/>
  <c r="Z35" i="1"/>
  <c r="AA35" i="1"/>
  <c r="AB35" i="1"/>
  <c r="Q36" i="1"/>
  <c r="U36" i="1"/>
  <c r="V36" i="1"/>
  <c r="W36" i="1"/>
  <c r="X36" i="1"/>
  <c r="Z36" i="1"/>
  <c r="AA36" i="1"/>
  <c r="AB36" i="1"/>
  <c r="Q37" i="1"/>
  <c r="U37" i="1"/>
  <c r="V37" i="1"/>
  <c r="W37" i="1"/>
  <c r="X37" i="1"/>
  <c r="Z37" i="1"/>
  <c r="AA37" i="1"/>
  <c r="AB37" i="1"/>
  <c r="Q38" i="1"/>
  <c r="U38" i="1"/>
  <c r="V38" i="1"/>
  <c r="W38" i="1"/>
  <c r="X38" i="1"/>
  <c r="Z38" i="1"/>
  <c r="AA38" i="1"/>
  <c r="AB38" i="1"/>
  <c r="Q39" i="1"/>
  <c r="U39" i="1"/>
  <c r="V39" i="1"/>
  <c r="W39" i="1"/>
  <c r="X39" i="1"/>
  <c r="Z39" i="1"/>
  <c r="AA39" i="1"/>
  <c r="AB39" i="1"/>
  <c r="Q40" i="1"/>
  <c r="U40" i="1"/>
  <c r="V40" i="1"/>
  <c r="W40" i="1"/>
  <c r="X40" i="1"/>
  <c r="Z40" i="1"/>
  <c r="AA40" i="1"/>
  <c r="AB40" i="1"/>
  <c r="Q41" i="1"/>
  <c r="U41" i="1"/>
  <c r="V41" i="1"/>
  <c r="W41" i="1"/>
  <c r="X41" i="1"/>
  <c r="Z41" i="1"/>
  <c r="AA41" i="1"/>
  <c r="AB41" i="1"/>
  <c r="Q42" i="1"/>
  <c r="U42" i="1"/>
  <c r="V42" i="1"/>
  <c r="W42" i="1"/>
  <c r="X42" i="1"/>
  <c r="Z42" i="1"/>
  <c r="AA42" i="1"/>
  <c r="AB42" i="1"/>
  <c r="Q43" i="1"/>
  <c r="U43" i="1"/>
  <c r="V43" i="1"/>
  <c r="W43" i="1"/>
  <c r="X43" i="1"/>
  <c r="Z43" i="1"/>
  <c r="AA43" i="1"/>
  <c r="AB43" i="1"/>
  <c r="Q44" i="1"/>
  <c r="U44" i="1"/>
  <c r="V44" i="1"/>
  <c r="W44" i="1"/>
  <c r="X44" i="1"/>
  <c r="Z44" i="1"/>
  <c r="AA44" i="1"/>
  <c r="AB44" i="1"/>
  <c r="Q45" i="1"/>
  <c r="U45" i="1"/>
  <c r="V45" i="1"/>
  <c r="W45" i="1"/>
  <c r="X45" i="1"/>
  <c r="Z45" i="1"/>
  <c r="AA45" i="1"/>
  <c r="AB45" i="1"/>
  <c r="Q46" i="1"/>
  <c r="U46" i="1"/>
  <c r="V46" i="1"/>
  <c r="W46" i="1"/>
  <c r="X46" i="1"/>
  <c r="Z46" i="1"/>
  <c r="AA46" i="1"/>
  <c r="AB46" i="1"/>
  <c r="Q47" i="1"/>
  <c r="U47" i="1"/>
  <c r="V47" i="1"/>
  <c r="W47" i="1"/>
  <c r="X47" i="1"/>
  <c r="Z47" i="1"/>
  <c r="AA47" i="1"/>
  <c r="AB47" i="1"/>
  <c r="Q48" i="1"/>
  <c r="U48" i="1"/>
  <c r="V48" i="1"/>
  <c r="W48" i="1"/>
  <c r="X48" i="1"/>
  <c r="Z48" i="1"/>
  <c r="AA48" i="1"/>
  <c r="AB48" i="1"/>
  <c r="Q49" i="1"/>
  <c r="U49" i="1"/>
  <c r="V49" i="1"/>
  <c r="W49" i="1"/>
  <c r="X49" i="1"/>
  <c r="Z49" i="1"/>
  <c r="AA49" i="1"/>
  <c r="AB49" i="1"/>
  <c r="Q50" i="1"/>
  <c r="U50" i="1"/>
  <c r="V50" i="1"/>
  <c r="W50" i="1"/>
  <c r="X50" i="1"/>
  <c r="Z50" i="1"/>
  <c r="AA50" i="1"/>
  <c r="AB50" i="1"/>
  <c r="Q51" i="1"/>
  <c r="U51" i="1"/>
  <c r="V51" i="1"/>
  <c r="W51" i="1"/>
  <c r="X51" i="1"/>
  <c r="Z51" i="1"/>
  <c r="AA51" i="1"/>
  <c r="AB51" i="1"/>
  <c r="Q52" i="1"/>
  <c r="U52" i="1"/>
  <c r="V52" i="1"/>
  <c r="W52" i="1"/>
  <c r="X52" i="1"/>
  <c r="Z52" i="1"/>
  <c r="AA52" i="1"/>
  <c r="AB52" i="1"/>
  <c r="Q53" i="1"/>
  <c r="U53" i="1"/>
  <c r="V53" i="1"/>
  <c r="W53" i="1"/>
  <c r="X53" i="1"/>
  <c r="Z53" i="1"/>
  <c r="AA53" i="1"/>
  <c r="AB53" i="1"/>
  <c r="Q54" i="1"/>
  <c r="U54" i="1"/>
  <c r="V54" i="1"/>
  <c r="W54" i="1"/>
  <c r="X54" i="1"/>
  <c r="Z54" i="1"/>
  <c r="AA54" i="1"/>
  <c r="AB54" i="1"/>
  <c r="Q55" i="1"/>
  <c r="U55" i="1"/>
  <c r="V55" i="1"/>
  <c r="W55" i="1"/>
  <c r="X55" i="1"/>
  <c r="Z55" i="1"/>
  <c r="AA55" i="1"/>
  <c r="AB55" i="1"/>
  <c r="Q56" i="1"/>
  <c r="U56" i="1"/>
  <c r="V56" i="1"/>
  <c r="W56" i="1"/>
  <c r="X56" i="1"/>
  <c r="Z56" i="1"/>
  <c r="AA56" i="1"/>
  <c r="AB56" i="1"/>
  <c r="Q57" i="1"/>
  <c r="U57" i="1"/>
  <c r="V57" i="1"/>
  <c r="W57" i="1"/>
  <c r="X57" i="1"/>
  <c r="Z57" i="1"/>
  <c r="AA57" i="1"/>
  <c r="AB57" i="1"/>
  <c r="Q58" i="1"/>
  <c r="U58" i="1"/>
  <c r="V58" i="1"/>
  <c r="W58" i="1"/>
  <c r="X58" i="1"/>
  <c r="Z58" i="1"/>
  <c r="AA58" i="1"/>
  <c r="AB58" i="1"/>
  <c r="Q59" i="1"/>
  <c r="U59" i="1"/>
  <c r="V59" i="1"/>
  <c r="W59" i="1"/>
  <c r="X59" i="1"/>
  <c r="Z59" i="1"/>
  <c r="AA59" i="1"/>
  <c r="AB59" i="1"/>
  <c r="Q60" i="1"/>
  <c r="U60" i="1"/>
  <c r="V60" i="1"/>
  <c r="W60" i="1"/>
  <c r="X60" i="1"/>
  <c r="Z60" i="1"/>
  <c r="AA60" i="1"/>
  <c r="AB60" i="1"/>
  <c r="Q61" i="1"/>
  <c r="U61" i="1"/>
  <c r="V61" i="1"/>
  <c r="W61" i="1"/>
  <c r="X61" i="1"/>
  <c r="Z61" i="1"/>
  <c r="AA61" i="1"/>
  <c r="AB61" i="1"/>
  <c r="Q62" i="1"/>
  <c r="U62" i="1"/>
  <c r="V62" i="1"/>
  <c r="W62" i="1"/>
  <c r="X62" i="1"/>
  <c r="Z62" i="1"/>
  <c r="AA62" i="1"/>
  <c r="AB62" i="1"/>
  <c r="Q63" i="1"/>
  <c r="U63" i="1"/>
  <c r="V63" i="1"/>
  <c r="W63" i="1"/>
  <c r="X63" i="1"/>
  <c r="Z63" i="1"/>
  <c r="AA63" i="1"/>
  <c r="AB63" i="1"/>
  <c r="Q64" i="1"/>
  <c r="U64" i="1"/>
  <c r="V64" i="1"/>
  <c r="W64" i="1"/>
  <c r="X64" i="1"/>
  <c r="Z64" i="1"/>
  <c r="AA64" i="1"/>
  <c r="AB64" i="1"/>
  <c r="Q65" i="1"/>
  <c r="U65" i="1"/>
  <c r="V65" i="1"/>
  <c r="W65" i="1"/>
  <c r="X65" i="1"/>
  <c r="Z65" i="1"/>
  <c r="AA65" i="1"/>
  <c r="AB65" i="1"/>
  <c r="Q66" i="1"/>
  <c r="U66" i="1"/>
  <c r="V66" i="1"/>
  <c r="W66" i="1"/>
  <c r="X66" i="1"/>
  <c r="Z66" i="1"/>
  <c r="AA66" i="1"/>
  <c r="AB66" i="1"/>
  <c r="Q67" i="1"/>
  <c r="U67" i="1"/>
  <c r="V67" i="1"/>
  <c r="W67" i="1"/>
  <c r="X67" i="1"/>
  <c r="Z67" i="1"/>
  <c r="AA67" i="1"/>
  <c r="AB67" i="1"/>
  <c r="Q68" i="1"/>
  <c r="U68" i="1"/>
  <c r="V68" i="1"/>
  <c r="W68" i="1"/>
  <c r="X68" i="1"/>
  <c r="Z68" i="1"/>
  <c r="AA68" i="1"/>
  <c r="AB68" i="1"/>
  <c r="Q69" i="1"/>
  <c r="U69" i="1"/>
  <c r="V69" i="1"/>
  <c r="W69" i="1"/>
  <c r="X69" i="1"/>
  <c r="Z69" i="1"/>
  <c r="AA69" i="1"/>
  <c r="AB69" i="1"/>
  <c r="Q70" i="1"/>
  <c r="U70" i="1"/>
  <c r="V70" i="1"/>
  <c r="W70" i="1"/>
  <c r="X70" i="1"/>
  <c r="Z70" i="1"/>
  <c r="AA70" i="1"/>
  <c r="AB70" i="1"/>
  <c r="Q71" i="1"/>
  <c r="U71" i="1"/>
  <c r="V71" i="1"/>
  <c r="W71" i="1"/>
  <c r="X71" i="1"/>
  <c r="Z71" i="1"/>
  <c r="AA71" i="1"/>
  <c r="AB71" i="1"/>
  <c r="Q72" i="1"/>
  <c r="U72" i="1"/>
  <c r="V72" i="1"/>
  <c r="W72" i="1"/>
  <c r="X72" i="1"/>
  <c r="Z72" i="1"/>
  <c r="AA72" i="1"/>
  <c r="AB72" i="1"/>
  <c r="Q73" i="1"/>
  <c r="U73" i="1"/>
  <c r="V73" i="1"/>
  <c r="W73" i="1"/>
  <c r="X73" i="1"/>
  <c r="Z73" i="1"/>
  <c r="AA73" i="1"/>
  <c r="AB73" i="1"/>
  <c r="Q74" i="1"/>
  <c r="U74" i="1"/>
  <c r="V74" i="1"/>
  <c r="W74" i="1"/>
  <c r="X74" i="1"/>
  <c r="Z74" i="1"/>
  <c r="AA74" i="1"/>
  <c r="AB74" i="1"/>
  <c r="Q75" i="1"/>
  <c r="U75" i="1"/>
  <c r="V75" i="1"/>
  <c r="W75" i="1"/>
  <c r="X75" i="1"/>
  <c r="Z75" i="1"/>
  <c r="AA75" i="1"/>
  <c r="AB75" i="1"/>
  <c r="Q76" i="1"/>
  <c r="U76" i="1"/>
  <c r="V76" i="1"/>
  <c r="W76" i="1"/>
  <c r="X76" i="1"/>
  <c r="Z76" i="1"/>
  <c r="AA76" i="1"/>
  <c r="AB76" i="1"/>
  <c r="Q77" i="1"/>
  <c r="U77" i="1"/>
  <c r="V77" i="1"/>
  <c r="W77" i="1"/>
  <c r="X77" i="1"/>
  <c r="Z77" i="1"/>
  <c r="AA77" i="1"/>
  <c r="AB77" i="1"/>
  <c r="Q78" i="1"/>
  <c r="U78" i="1"/>
  <c r="V78" i="1"/>
  <c r="W78" i="1"/>
  <c r="X78" i="1"/>
  <c r="Z78" i="1"/>
  <c r="AA78" i="1"/>
  <c r="AB78" i="1"/>
  <c r="Q79" i="1"/>
  <c r="U79" i="1"/>
  <c r="V79" i="1"/>
  <c r="W79" i="1"/>
  <c r="X79" i="1"/>
  <c r="Z79" i="1"/>
  <c r="AA79" i="1"/>
  <c r="AB79" i="1"/>
  <c r="Q80" i="1"/>
  <c r="U80" i="1"/>
  <c r="V80" i="1"/>
  <c r="W80" i="1"/>
  <c r="X80" i="1"/>
  <c r="Z80" i="1"/>
  <c r="AA80" i="1"/>
  <c r="AB80" i="1"/>
  <c r="Q81" i="1"/>
  <c r="U81" i="1"/>
  <c r="V81" i="1"/>
  <c r="W81" i="1"/>
  <c r="X81" i="1"/>
  <c r="Z81" i="1"/>
  <c r="AA81" i="1"/>
  <c r="AB81" i="1"/>
  <c r="Q82" i="1"/>
  <c r="U82" i="1"/>
  <c r="V82" i="1"/>
  <c r="W82" i="1"/>
  <c r="X82" i="1"/>
  <c r="Z82" i="1"/>
  <c r="AA82" i="1"/>
  <c r="AB82" i="1"/>
  <c r="Q83" i="1"/>
  <c r="U83" i="1"/>
  <c r="V83" i="1"/>
  <c r="W83" i="1"/>
  <c r="X83" i="1"/>
  <c r="Z83" i="1"/>
  <c r="AA83" i="1"/>
  <c r="AB83" i="1"/>
  <c r="Q84" i="1"/>
  <c r="U84" i="1"/>
  <c r="V84" i="1"/>
  <c r="W84" i="1"/>
  <c r="X84" i="1"/>
  <c r="Z84" i="1"/>
  <c r="AA84" i="1"/>
  <c r="AB84" i="1"/>
  <c r="Q85" i="1"/>
  <c r="U85" i="1"/>
  <c r="V85" i="1"/>
  <c r="W85" i="1"/>
  <c r="X85" i="1"/>
  <c r="Z85" i="1"/>
  <c r="AA85" i="1"/>
  <c r="AB85" i="1"/>
  <c r="Q86" i="1"/>
  <c r="U86" i="1"/>
  <c r="V86" i="1"/>
  <c r="W86" i="1"/>
  <c r="X86" i="1"/>
  <c r="Z86" i="1"/>
  <c r="AA86" i="1"/>
  <c r="AB86" i="1"/>
  <c r="Q87" i="1"/>
  <c r="U87" i="1"/>
  <c r="V87" i="1"/>
  <c r="W87" i="1"/>
  <c r="X87" i="1"/>
  <c r="Z87" i="1"/>
  <c r="AA87" i="1"/>
  <c r="AB87" i="1"/>
  <c r="Q88" i="1"/>
  <c r="U88" i="1"/>
  <c r="V88" i="1"/>
  <c r="W88" i="1"/>
  <c r="X88" i="1"/>
  <c r="Z88" i="1"/>
  <c r="AA88" i="1"/>
  <c r="AB88" i="1"/>
  <c r="Q89" i="1"/>
  <c r="U89" i="1"/>
  <c r="V89" i="1"/>
  <c r="W89" i="1"/>
  <c r="X89" i="1"/>
  <c r="Z89" i="1"/>
  <c r="AA89" i="1"/>
  <c r="AB89" i="1"/>
  <c r="Q90" i="1"/>
  <c r="U90" i="1"/>
  <c r="V90" i="1"/>
  <c r="W90" i="1"/>
  <c r="X90" i="1"/>
  <c r="Z90" i="1"/>
  <c r="AA90" i="1"/>
  <c r="AB90" i="1"/>
  <c r="Q91" i="1"/>
  <c r="U91" i="1"/>
  <c r="V91" i="1"/>
  <c r="W91" i="1"/>
  <c r="X91" i="1"/>
  <c r="Z91" i="1"/>
  <c r="AA91" i="1"/>
  <c r="AB91" i="1"/>
  <c r="Q92" i="1"/>
  <c r="U92" i="1"/>
  <c r="V92" i="1"/>
  <c r="W92" i="1"/>
  <c r="X92" i="1"/>
  <c r="Z92" i="1"/>
  <c r="AA92" i="1"/>
  <c r="AB92" i="1"/>
  <c r="Q93" i="1"/>
  <c r="U93" i="1"/>
  <c r="V93" i="1"/>
  <c r="W93" i="1"/>
  <c r="X93" i="1"/>
  <c r="Z93" i="1"/>
  <c r="AA93" i="1"/>
  <c r="AB93" i="1"/>
  <c r="Q94" i="1"/>
  <c r="U94" i="1"/>
  <c r="V94" i="1"/>
  <c r="W94" i="1"/>
  <c r="X94" i="1"/>
  <c r="Z94" i="1"/>
  <c r="AA94" i="1"/>
  <c r="AB94" i="1"/>
  <c r="Q95" i="1"/>
  <c r="U95" i="1"/>
  <c r="V95" i="1"/>
  <c r="W95" i="1"/>
  <c r="X95" i="1"/>
  <c r="Z95" i="1"/>
  <c r="AA95" i="1"/>
  <c r="AB95" i="1"/>
  <c r="Q96" i="1"/>
  <c r="U96" i="1"/>
  <c r="V96" i="1"/>
  <c r="W96" i="1"/>
  <c r="X96" i="1"/>
  <c r="Z96" i="1"/>
  <c r="AA96" i="1"/>
  <c r="AB96" i="1"/>
  <c r="Q97" i="1"/>
  <c r="U97" i="1"/>
  <c r="V97" i="1"/>
  <c r="W97" i="1"/>
  <c r="X97" i="1"/>
  <c r="Z97" i="1"/>
  <c r="AA97" i="1"/>
  <c r="AB97" i="1"/>
  <c r="Q98" i="1"/>
  <c r="U98" i="1"/>
  <c r="V98" i="1"/>
  <c r="W98" i="1"/>
  <c r="X98" i="1"/>
  <c r="Z98" i="1"/>
  <c r="AA98" i="1"/>
  <c r="AB98" i="1"/>
  <c r="Q99" i="1"/>
  <c r="U99" i="1"/>
  <c r="V99" i="1"/>
  <c r="W99" i="1"/>
  <c r="X99" i="1"/>
  <c r="Z99" i="1"/>
  <c r="AA99" i="1"/>
  <c r="AB99" i="1"/>
  <c r="Q100" i="1"/>
  <c r="U100" i="1"/>
  <c r="V100" i="1"/>
  <c r="W100" i="1"/>
  <c r="X100" i="1"/>
  <c r="Z100" i="1"/>
  <c r="AA100" i="1"/>
  <c r="AB100" i="1"/>
  <c r="Q101" i="1"/>
  <c r="U101" i="1"/>
  <c r="V101" i="1"/>
  <c r="W101" i="1"/>
  <c r="X101" i="1"/>
  <c r="Z101" i="1"/>
  <c r="AA101" i="1"/>
  <c r="AB101" i="1"/>
  <c r="Q102" i="1"/>
  <c r="U102" i="1"/>
  <c r="V102" i="1"/>
  <c r="W102" i="1"/>
  <c r="X102" i="1"/>
  <c r="Z102" i="1"/>
  <c r="AA102" i="1"/>
  <c r="AB102" i="1"/>
  <c r="Q103" i="1"/>
  <c r="U103" i="1"/>
  <c r="V103" i="1"/>
  <c r="W103" i="1"/>
  <c r="X103" i="1"/>
  <c r="Z103" i="1"/>
  <c r="AA103" i="1"/>
  <c r="AB103" i="1"/>
  <c r="Q104" i="1"/>
  <c r="U104" i="1"/>
  <c r="V104" i="1"/>
  <c r="W104" i="1"/>
  <c r="X104" i="1"/>
  <c r="Z104" i="1"/>
  <c r="AA104" i="1"/>
  <c r="AB104" i="1"/>
  <c r="Q105" i="1"/>
  <c r="U105" i="1"/>
  <c r="V105" i="1"/>
  <c r="W105" i="1"/>
  <c r="X105" i="1"/>
  <c r="Z105" i="1"/>
  <c r="AA105" i="1"/>
  <c r="AB105" i="1"/>
  <c r="Q106" i="1"/>
  <c r="U106" i="1"/>
  <c r="V106" i="1"/>
  <c r="W106" i="1"/>
  <c r="X106" i="1"/>
  <c r="Z106" i="1"/>
  <c r="AA106" i="1"/>
  <c r="AB106" i="1"/>
  <c r="Q107" i="1"/>
  <c r="U107" i="1"/>
  <c r="V107" i="1"/>
  <c r="W107" i="1"/>
  <c r="X107" i="1"/>
  <c r="Z107" i="1"/>
  <c r="AA107" i="1"/>
  <c r="AB107" i="1"/>
  <c r="Q108" i="1"/>
  <c r="U108" i="1"/>
  <c r="V108" i="1"/>
  <c r="W108" i="1"/>
  <c r="X108" i="1"/>
  <c r="Z108" i="1"/>
  <c r="AA108" i="1"/>
  <c r="AB108" i="1"/>
  <c r="Q109" i="1"/>
  <c r="U109" i="1"/>
  <c r="V109" i="1"/>
  <c r="W109" i="1"/>
  <c r="X109" i="1"/>
  <c r="Z109" i="1"/>
  <c r="AA109" i="1"/>
  <c r="AB109" i="1"/>
  <c r="Q110" i="1"/>
  <c r="U110" i="1"/>
  <c r="V110" i="1"/>
  <c r="W110" i="1"/>
  <c r="X110" i="1"/>
  <c r="Z110" i="1"/>
  <c r="AA110" i="1"/>
  <c r="AB110" i="1"/>
  <c r="Q111" i="1"/>
  <c r="U111" i="1"/>
  <c r="V111" i="1"/>
  <c r="W111" i="1"/>
  <c r="X111" i="1"/>
  <c r="Z111" i="1"/>
  <c r="AA111" i="1"/>
  <c r="AB111" i="1"/>
  <c r="Q112" i="1"/>
  <c r="U112" i="1"/>
  <c r="V112" i="1"/>
  <c r="W112" i="1"/>
  <c r="X112" i="1"/>
  <c r="Z112" i="1"/>
  <c r="AA112" i="1"/>
  <c r="AB112" i="1"/>
  <c r="Q113" i="1"/>
  <c r="U113" i="1"/>
  <c r="V113" i="1"/>
  <c r="W113" i="1"/>
  <c r="X113" i="1"/>
  <c r="Z113" i="1"/>
  <c r="AA113" i="1"/>
  <c r="AB113" i="1"/>
  <c r="Q114" i="1"/>
  <c r="U114" i="1"/>
  <c r="V114" i="1"/>
  <c r="W114" i="1"/>
  <c r="X114" i="1"/>
  <c r="Z114" i="1"/>
  <c r="AA114" i="1"/>
  <c r="AB114" i="1"/>
  <c r="Q115" i="1"/>
  <c r="U115" i="1"/>
  <c r="V115" i="1"/>
  <c r="W115" i="1"/>
  <c r="X115" i="1"/>
  <c r="Z115" i="1"/>
  <c r="AA115" i="1"/>
  <c r="AB115" i="1"/>
  <c r="Q116" i="1"/>
  <c r="U116" i="1"/>
  <c r="V116" i="1"/>
  <c r="W116" i="1"/>
  <c r="X116" i="1"/>
  <c r="Z116" i="1"/>
  <c r="AA116" i="1"/>
  <c r="AB116" i="1"/>
  <c r="Q117" i="1"/>
  <c r="U117" i="1"/>
  <c r="V117" i="1"/>
  <c r="W117" i="1"/>
  <c r="X117" i="1"/>
  <c r="Z117" i="1"/>
  <c r="AA117" i="1"/>
  <c r="AB117" i="1"/>
  <c r="Q118" i="1"/>
  <c r="U118" i="1"/>
  <c r="V118" i="1"/>
  <c r="W118" i="1"/>
  <c r="X118" i="1"/>
  <c r="Z118" i="1"/>
  <c r="AA118" i="1"/>
  <c r="AB118" i="1"/>
  <c r="Q119" i="1"/>
  <c r="U119" i="1"/>
  <c r="V119" i="1"/>
  <c r="W119" i="1"/>
  <c r="X119" i="1"/>
  <c r="Z119" i="1"/>
  <c r="AA119" i="1"/>
  <c r="AB119" i="1"/>
  <c r="Q120" i="1"/>
  <c r="U120" i="1"/>
  <c r="V120" i="1"/>
  <c r="W120" i="1"/>
  <c r="X120" i="1"/>
  <c r="Z120" i="1"/>
  <c r="AA120" i="1"/>
  <c r="AB120" i="1"/>
  <c r="Q121" i="1"/>
  <c r="U121" i="1"/>
  <c r="V121" i="1"/>
  <c r="W121" i="1"/>
  <c r="X121" i="1"/>
  <c r="Z121" i="1"/>
  <c r="AA121" i="1"/>
  <c r="AB121" i="1"/>
  <c r="Q122" i="1"/>
  <c r="U122" i="1"/>
  <c r="V122" i="1"/>
  <c r="W122" i="1"/>
  <c r="X122" i="1"/>
  <c r="Z122" i="1"/>
  <c r="AA122" i="1"/>
  <c r="AB122" i="1"/>
  <c r="Q123" i="1"/>
  <c r="U123" i="1"/>
  <c r="V123" i="1"/>
  <c r="W123" i="1"/>
  <c r="X123" i="1"/>
  <c r="Z123" i="1"/>
  <c r="AA123" i="1"/>
  <c r="AB123" i="1"/>
  <c r="Q124" i="1"/>
  <c r="U124" i="1"/>
  <c r="V124" i="1"/>
  <c r="W124" i="1"/>
  <c r="X124" i="1"/>
  <c r="Z124" i="1"/>
  <c r="AA124" i="1"/>
  <c r="AB124" i="1"/>
  <c r="Q125" i="1"/>
  <c r="U125" i="1"/>
  <c r="V125" i="1"/>
  <c r="W125" i="1"/>
  <c r="X125" i="1"/>
  <c r="Z125" i="1"/>
  <c r="AA125" i="1"/>
  <c r="AB125" i="1"/>
  <c r="Q126" i="1"/>
  <c r="U126" i="1"/>
  <c r="V126" i="1"/>
  <c r="W126" i="1"/>
  <c r="X126" i="1"/>
  <c r="Z126" i="1"/>
  <c r="AA126" i="1"/>
  <c r="AB126" i="1"/>
  <c r="Q127" i="1"/>
  <c r="U127" i="1"/>
  <c r="V127" i="1"/>
  <c r="W127" i="1"/>
  <c r="X127" i="1"/>
  <c r="Z127" i="1"/>
  <c r="AA127" i="1"/>
  <c r="AB127" i="1"/>
  <c r="Q128" i="1"/>
  <c r="U128" i="1"/>
  <c r="V128" i="1"/>
  <c r="W128" i="1"/>
  <c r="X128" i="1"/>
  <c r="Z128" i="1"/>
  <c r="AA128" i="1"/>
  <c r="AB128" i="1"/>
  <c r="Q129" i="1"/>
  <c r="U129" i="1"/>
  <c r="V129" i="1"/>
  <c r="W129" i="1"/>
  <c r="X129" i="1"/>
  <c r="Z129" i="1"/>
  <c r="AA129" i="1"/>
  <c r="AB129" i="1"/>
  <c r="Q130" i="1"/>
  <c r="U130" i="1"/>
  <c r="V130" i="1"/>
  <c r="W130" i="1"/>
  <c r="X130" i="1"/>
  <c r="Z130" i="1"/>
  <c r="AA130" i="1"/>
  <c r="AB130" i="1"/>
  <c r="Q131" i="1"/>
  <c r="U131" i="1"/>
  <c r="V131" i="1"/>
  <c r="W131" i="1"/>
  <c r="X131" i="1"/>
  <c r="Z131" i="1"/>
  <c r="AA131" i="1"/>
  <c r="AB131" i="1"/>
  <c r="Q132" i="1"/>
  <c r="U132" i="1"/>
  <c r="V132" i="1"/>
  <c r="W132" i="1"/>
  <c r="X132" i="1"/>
  <c r="Z132" i="1"/>
  <c r="AA132" i="1"/>
  <c r="AB132" i="1"/>
  <c r="Q133" i="1"/>
  <c r="U133" i="1"/>
  <c r="V133" i="1"/>
  <c r="W133" i="1"/>
  <c r="X133" i="1"/>
  <c r="Z133" i="1"/>
  <c r="AA133" i="1"/>
  <c r="AB133" i="1"/>
  <c r="Q134" i="1"/>
  <c r="U134" i="1"/>
  <c r="V134" i="1"/>
  <c r="W134" i="1"/>
  <c r="X134" i="1"/>
  <c r="Z134" i="1"/>
  <c r="AA134" i="1"/>
  <c r="AB134" i="1"/>
  <c r="Q135" i="1"/>
  <c r="U135" i="1"/>
  <c r="V135" i="1"/>
  <c r="W135" i="1"/>
  <c r="X135" i="1"/>
  <c r="Z135" i="1"/>
  <c r="AA135" i="1"/>
  <c r="AB135" i="1"/>
  <c r="Q136" i="1"/>
  <c r="U136" i="1"/>
  <c r="V136" i="1"/>
  <c r="W136" i="1"/>
  <c r="X136" i="1"/>
  <c r="Z136" i="1"/>
  <c r="AA136" i="1"/>
  <c r="AB136" i="1"/>
  <c r="Q137" i="1"/>
  <c r="U137" i="1"/>
  <c r="V137" i="1"/>
  <c r="W137" i="1"/>
  <c r="X137" i="1"/>
  <c r="Z137" i="1"/>
  <c r="AA137" i="1"/>
  <c r="AB137" i="1"/>
  <c r="Q138" i="1"/>
  <c r="U138" i="1"/>
  <c r="V138" i="1"/>
  <c r="W138" i="1"/>
  <c r="X138" i="1"/>
  <c r="Z138" i="1"/>
  <c r="AA138" i="1"/>
  <c r="AB138" i="1"/>
  <c r="Q139" i="1"/>
  <c r="U139" i="1"/>
  <c r="V139" i="1"/>
  <c r="W139" i="1"/>
  <c r="X139" i="1"/>
  <c r="Z139" i="1"/>
  <c r="AA139" i="1"/>
  <c r="AB139" i="1"/>
  <c r="Q140" i="1"/>
  <c r="U140" i="1"/>
  <c r="V140" i="1"/>
  <c r="W140" i="1"/>
  <c r="X140" i="1"/>
  <c r="Z140" i="1"/>
  <c r="AA140" i="1"/>
  <c r="AB140" i="1"/>
  <c r="Q141" i="1"/>
  <c r="U141" i="1"/>
  <c r="V141" i="1"/>
  <c r="W141" i="1"/>
  <c r="X141" i="1"/>
  <c r="Z141" i="1"/>
  <c r="AA141" i="1"/>
  <c r="AB141" i="1"/>
  <c r="Q142" i="1"/>
  <c r="U142" i="1"/>
  <c r="V142" i="1"/>
  <c r="W142" i="1"/>
  <c r="X142" i="1"/>
  <c r="Z142" i="1"/>
  <c r="AA142" i="1"/>
  <c r="AB142" i="1"/>
  <c r="Q143" i="1"/>
  <c r="U143" i="1"/>
  <c r="V143" i="1"/>
  <c r="W143" i="1"/>
  <c r="X143" i="1"/>
  <c r="Z143" i="1"/>
  <c r="AA143" i="1"/>
  <c r="AB143" i="1"/>
  <c r="Q144" i="1"/>
  <c r="U144" i="1"/>
  <c r="V144" i="1"/>
  <c r="W144" i="1"/>
  <c r="X144" i="1"/>
  <c r="Z144" i="1"/>
  <c r="AA144" i="1"/>
  <c r="AB144" i="1"/>
  <c r="Q145" i="1"/>
  <c r="U145" i="1"/>
  <c r="V145" i="1"/>
  <c r="W145" i="1"/>
  <c r="X145" i="1"/>
  <c r="Z145" i="1"/>
  <c r="AA145" i="1"/>
  <c r="AB145" i="1"/>
  <c r="Q146" i="1"/>
  <c r="U146" i="1"/>
  <c r="V146" i="1"/>
  <c r="W146" i="1"/>
  <c r="X146" i="1"/>
  <c r="Z146" i="1"/>
  <c r="AA146" i="1"/>
  <c r="AB146" i="1"/>
  <c r="Q147" i="1"/>
  <c r="U147" i="1"/>
  <c r="V147" i="1"/>
  <c r="W147" i="1"/>
  <c r="X147" i="1"/>
  <c r="Z147" i="1"/>
  <c r="AA147" i="1"/>
  <c r="AB147" i="1"/>
  <c r="Q148" i="1"/>
  <c r="U148" i="1"/>
  <c r="V148" i="1"/>
  <c r="W148" i="1"/>
  <c r="X148" i="1"/>
  <c r="Z148" i="1"/>
  <c r="AA148" i="1"/>
  <c r="AB148" i="1"/>
  <c r="Q149" i="1"/>
  <c r="U149" i="1"/>
  <c r="V149" i="1"/>
  <c r="W149" i="1"/>
  <c r="X149" i="1"/>
  <c r="Z149" i="1"/>
  <c r="AA149" i="1"/>
  <c r="AB149" i="1"/>
  <c r="Q150" i="1"/>
  <c r="U150" i="1"/>
  <c r="V150" i="1"/>
  <c r="W150" i="1"/>
  <c r="X150" i="1"/>
  <c r="Z150" i="1"/>
  <c r="AA150" i="1"/>
  <c r="AB150" i="1"/>
  <c r="Q151" i="1"/>
  <c r="U151" i="1"/>
  <c r="V151" i="1"/>
  <c r="W151" i="1"/>
  <c r="X151" i="1"/>
  <c r="Z151" i="1"/>
  <c r="AA151" i="1"/>
  <c r="AB151" i="1"/>
  <c r="Q152" i="1"/>
  <c r="U152" i="1"/>
  <c r="V152" i="1"/>
  <c r="W152" i="1"/>
  <c r="X152" i="1"/>
  <c r="Z152" i="1"/>
  <c r="AA152" i="1"/>
  <c r="AB152" i="1"/>
  <c r="Q153" i="1"/>
  <c r="U153" i="1"/>
  <c r="V153" i="1"/>
  <c r="W153" i="1"/>
  <c r="X153" i="1"/>
  <c r="Z153" i="1"/>
  <c r="AA153" i="1"/>
  <c r="AB153" i="1"/>
  <c r="Q154" i="1"/>
  <c r="U154" i="1"/>
  <c r="V154" i="1"/>
  <c r="W154" i="1"/>
  <c r="X154" i="1"/>
  <c r="Z154" i="1"/>
  <c r="AA154" i="1"/>
  <c r="AB154" i="1"/>
  <c r="Q155" i="1"/>
  <c r="U155" i="1"/>
  <c r="V155" i="1"/>
  <c r="W155" i="1"/>
  <c r="X155" i="1"/>
  <c r="Z155" i="1"/>
  <c r="AA155" i="1"/>
  <c r="AB155" i="1"/>
  <c r="Q156" i="1"/>
  <c r="U156" i="1"/>
  <c r="V156" i="1"/>
  <c r="W156" i="1"/>
  <c r="X156" i="1"/>
  <c r="Z156" i="1"/>
  <c r="AA156" i="1"/>
  <c r="AB156" i="1"/>
  <c r="Q157" i="1"/>
  <c r="U157" i="1"/>
  <c r="V157" i="1"/>
  <c r="W157" i="1"/>
  <c r="X157" i="1"/>
  <c r="Z157" i="1"/>
  <c r="AA157" i="1"/>
  <c r="AB157" i="1"/>
  <c r="Q158" i="1"/>
  <c r="U158" i="1"/>
  <c r="V158" i="1"/>
  <c r="W158" i="1"/>
  <c r="X158" i="1"/>
  <c r="Z158" i="1"/>
  <c r="AA158" i="1"/>
  <c r="AB158" i="1"/>
  <c r="Q159" i="1"/>
  <c r="U159" i="1"/>
  <c r="V159" i="1"/>
  <c r="W159" i="1"/>
  <c r="X159" i="1"/>
  <c r="Z159" i="1"/>
  <c r="AA159" i="1"/>
  <c r="AB159" i="1"/>
  <c r="Q160" i="1"/>
  <c r="U160" i="1"/>
  <c r="V160" i="1"/>
  <c r="W160" i="1"/>
  <c r="X160" i="1"/>
  <c r="Z160" i="1"/>
  <c r="AA160" i="1"/>
  <c r="AB160" i="1"/>
  <c r="Q161" i="1"/>
  <c r="U161" i="1"/>
  <c r="V161" i="1"/>
  <c r="W161" i="1"/>
  <c r="X161" i="1"/>
  <c r="Z161" i="1"/>
  <c r="AA161" i="1"/>
  <c r="AB161" i="1"/>
  <c r="Q162" i="1"/>
  <c r="U162" i="1"/>
  <c r="V162" i="1"/>
  <c r="W162" i="1"/>
  <c r="X162" i="1"/>
  <c r="Z162" i="1"/>
  <c r="AA162" i="1"/>
  <c r="AB162" i="1"/>
  <c r="Q163" i="1"/>
  <c r="U163" i="1"/>
  <c r="V163" i="1"/>
  <c r="W163" i="1"/>
  <c r="X163" i="1"/>
  <c r="Z163" i="1"/>
  <c r="AA163" i="1"/>
  <c r="AB163" i="1"/>
  <c r="Q164" i="1"/>
  <c r="U164" i="1"/>
  <c r="V164" i="1"/>
  <c r="W164" i="1"/>
  <c r="X164" i="1"/>
  <c r="Z164" i="1"/>
  <c r="AA164" i="1"/>
  <c r="AB164" i="1"/>
  <c r="Q165" i="1"/>
  <c r="U165" i="1"/>
  <c r="V165" i="1"/>
  <c r="W165" i="1"/>
  <c r="X165" i="1"/>
  <c r="Z165" i="1"/>
  <c r="AA165" i="1"/>
  <c r="AB165" i="1"/>
  <c r="Q166" i="1"/>
  <c r="U166" i="1"/>
  <c r="V166" i="1"/>
  <c r="W166" i="1"/>
  <c r="X166" i="1"/>
  <c r="Z166" i="1"/>
  <c r="AA166" i="1"/>
  <c r="AB166" i="1"/>
  <c r="Q167" i="1"/>
  <c r="U167" i="1"/>
  <c r="V167" i="1"/>
  <c r="W167" i="1"/>
  <c r="X167" i="1"/>
  <c r="Z167" i="1"/>
  <c r="AA167" i="1"/>
  <c r="AB167" i="1"/>
  <c r="Q168" i="1"/>
  <c r="U168" i="1"/>
  <c r="V168" i="1"/>
  <c r="W168" i="1"/>
  <c r="X168" i="1"/>
  <c r="Z168" i="1"/>
  <c r="AA168" i="1"/>
  <c r="AB168" i="1"/>
  <c r="Q169" i="1"/>
  <c r="U169" i="1"/>
  <c r="V169" i="1"/>
  <c r="W169" i="1"/>
  <c r="X169" i="1"/>
  <c r="Z169" i="1"/>
  <c r="AA169" i="1"/>
  <c r="AB169" i="1"/>
  <c r="Q170" i="1"/>
  <c r="U170" i="1"/>
  <c r="V170" i="1"/>
  <c r="W170" i="1"/>
  <c r="X170" i="1"/>
  <c r="Z170" i="1"/>
  <c r="AA170" i="1"/>
  <c r="AB170" i="1"/>
  <c r="Q171" i="1"/>
  <c r="U171" i="1"/>
  <c r="V171" i="1"/>
  <c r="W171" i="1"/>
  <c r="X171" i="1"/>
  <c r="Z171" i="1"/>
  <c r="AA171" i="1"/>
  <c r="AB171" i="1"/>
  <c r="Q172" i="1"/>
  <c r="U172" i="1"/>
  <c r="V172" i="1"/>
  <c r="W172" i="1"/>
  <c r="X172" i="1"/>
  <c r="Z172" i="1"/>
  <c r="AA172" i="1"/>
  <c r="AB172" i="1"/>
  <c r="Q173" i="1"/>
  <c r="U173" i="1"/>
  <c r="V173" i="1"/>
  <c r="W173" i="1"/>
  <c r="X173" i="1"/>
  <c r="Z173" i="1"/>
  <c r="AA173" i="1"/>
  <c r="AB173" i="1"/>
  <c r="Q174" i="1"/>
  <c r="U174" i="1"/>
  <c r="V174" i="1"/>
  <c r="W174" i="1"/>
  <c r="X174" i="1"/>
  <c r="Z174" i="1"/>
  <c r="AA174" i="1"/>
  <c r="AB174" i="1"/>
  <c r="Q175" i="1"/>
  <c r="U175" i="1"/>
  <c r="V175" i="1"/>
  <c r="W175" i="1"/>
  <c r="X175" i="1"/>
  <c r="Z175" i="1"/>
  <c r="AA175" i="1"/>
  <c r="AB175" i="1"/>
  <c r="Q176" i="1"/>
  <c r="U176" i="1"/>
  <c r="V176" i="1"/>
  <c r="W176" i="1"/>
  <c r="X176" i="1"/>
  <c r="Z176" i="1"/>
  <c r="AA176" i="1"/>
  <c r="AB176" i="1"/>
  <c r="Q177" i="1"/>
  <c r="U177" i="1"/>
  <c r="V177" i="1"/>
  <c r="W177" i="1"/>
  <c r="X177" i="1"/>
  <c r="Z177" i="1"/>
  <c r="AA177" i="1"/>
  <c r="AB177" i="1"/>
  <c r="Q178" i="1"/>
  <c r="U178" i="1"/>
  <c r="V178" i="1"/>
  <c r="W178" i="1"/>
  <c r="X178" i="1"/>
  <c r="Z178" i="1"/>
  <c r="AA178" i="1"/>
  <c r="AB178" i="1"/>
  <c r="Q179" i="1"/>
  <c r="U179" i="1"/>
  <c r="V179" i="1"/>
  <c r="W179" i="1"/>
  <c r="X179" i="1"/>
  <c r="Z179" i="1"/>
  <c r="AA179" i="1"/>
  <c r="AB179" i="1"/>
  <c r="Q180" i="1"/>
  <c r="U180" i="1"/>
  <c r="V180" i="1"/>
  <c r="W180" i="1"/>
  <c r="X180" i="1"/>
  <c r="Z180" i="1"/>
  <c r="AA180" i="1"/>
  <c r="AB180" i="1"/>
  <c r="Q181" i="1"/>
  <c r="U181" i="1"/>
  <c r="V181" i="1"/>
  <c r="W181" i="1"/>
  <c r="X181" i="1"/>
  <c r="Z181" i="1"/>
  <c r="AA181" i="1"/>
  <c r="AB181" i="1"/>
  <c r="Q182" i="1"/>
  <c r="U182" i="1"/>
  <c r="V182" i="1"/>
  <c r="W182" i="1"/>
  <c r="X182" i="1"/>
  <c r="Z182" i="1"/>
  <c r="AA182" i="1"/>
  <c r="AB182" i="1"/>
  <c r="Q183" i="1"/>
  <c r="U183" i="1"/>
  <c r="V183" i="1"/>
  <c r="W183" i="1"/>
  <c r="X183" i="1"/>
  <c r="Z183" i="1"/>
  <c r="AA183" i="1"/>
  <c r="AB183" i="1"/>
  <c r="Q184" i="1"/>
  <c r="U184" i="1"/>
  <c r="V184" i="1"/>
  <c r="W184" i="1"/>
  <c r="X184" i="1"/>
  <c r="Z184" i="1"/>
  <c r="AA184" i="1"/>
  <c r="AB184" i="1"/>
  <c r="Q185" i="1"/>
  <c r="U185" i="1"/>
  <c r="V185" i="1"/>
  <c r="W185" i="1"/>
  <c r="X185" i="1"/>
  <c r="Z185" i="1"/>
  <c r="AA185" i="1"/>
  <c r="AB185" i="1"/>
  <c r="Q186" i="1"/>
  <c r="U186" i="1"/>
  <c r="V186" i="1"/>
  <c r="W186" i="1"/>
  <c r="X186" i="1"/>
  <c r="Z186" i="1"/>
  <c r="AA186" i="1"/>
  <c r="AB186" i="1"/>
  <c r="Q187" i="1"/>
  <c r="U187" i="1"/>
  <c r="V187" i="1"/>
  <c r="W187" i="1"/>
  <c r="X187" i="1"/>
  <c r="Z187" i="1"/>
  <c r="AA187" i="1"/>
  <c r="AB187" i="1"/>
  <c r="Q188" i="1"/>
  <c r="U188" i="1"/>
  <c r="V188" i="1"/>
  <c r="W188" i="1"/>
  <c r="X188" i="1"/>
  <c r="Z188" i="1"/>
  <c r="AA188" i="1"/>
  <c r="AB188" i="1"/>
  <c r="Q189" i="1"/>
  <c r="U189" i="1"/>
  <c r="V189" i="1"/>
  <c r="W189" i="1"/>
  <c r="X189" i="1"/>
  <c r="Z189" i="1"/>
  <c r="AA189" i="1"/>
  <c r="AB189" i="1"/>
  <c r="Q190" i="1"/>
  <c r="U190" i="1"/>
  <c r="V190" i="1"/>
  <c r="W190" i="1"/>
  <c r="X190" i="1"/>
  <c r="Z190" i="1"/>
  <c r="AA190" i="1"/>
  <c r="AB190" i="1"/>
  <c r="Q191" i="1"/>
  <c r="U191" i="1"/>
  <c r="V191" i="1"/>
  <c r="W191" i="1"/>
  <c r="X191" i="1"/>
  <c r="Z191" i="1"/>
  <c r="AA191" i="1"/>
  <c r="AB191" i="1"/>
  <c r="Q192" i="1"/>
  <c r="U192" i="1"/>
  <c r="V192" i="1"/>
  <c r="W192" i="1"/>
  <c r="X192" i="1"/>
  <c r="Z192" i="1"/>
  <c r="AA192" i="1"/>
  <c r="AB192" i="1"/>
  <c r="Q193" i="1"/>
  <c r="U193" i="1"/>
  <c r="V193" i="1"/>
  <c r="W193" i="1"/>
  <c r="X193" i="1"/>
  <c r="Z193" i="1"/>
  <c r="AA193" i="1"/>
  <c r="AB193" i="1"/>
  <c r="Q194" i="1"/>
  <c r="U194" i="1"/>
  <c r="V194" i="1"/>
  <c r="W194" i="1"/>
  <c r="X194" i="1"/>
  <c r="Z194" i="1"/>
  <c r="AA194" i="1"/>
  <c r="AB194" i="1"/>
  <c r="Q195" i="1"/>
  <c r="U195" i="1"/>
  <c r="V195" i="1"/>
  <c r="W195" i="1"/>
  <c r="X195" i="1"/>
  <c r="Z195" i="1"/>
  <c r="AA195" i="1"/>
  <c r="AB195" i="1"/>
  <c r="Q196" i="1"/>
  <c r="U196" i="1"/>
  <c r="V196" i="1"/>
  <c r="W196" i="1"/>
  <c r="X196" i="1"/>
  <c r="Z196" i="1"/>
  <c r="AA196" i="1"/>
  <c r="AB196" i="1"/>
  <c r="Q197" i="1"/>
  <c r="U197" i="1"/>
  <c r="V197" i="1"/>
  <c r="W197" i="1"/>
  <c r="X197" i="1"/>
  <c r="Z197" i="1"/>
  <c r="AA197" i="1"/>
  <c r="AB197" i="1"/>
  <c r="Q198" i="1"/>
  <c r="U198" i="1"/>
  <c r="V198" i="1"/>
  <c r="W198" i="1"/>
  <c r="X198" i="1"/>
  <c r="Z198" i="1"/>
  <c r="AA198" i="1"/>
  <c r="AB198" i="1"/>
  <c r="Q199" i="1"/>
  <c r="U199" i="1"/>
  <c r="V199" i="1"/>
  <c r="W199" i="1"/>
  <c r="X199" i="1"/>
  <c r="Z199" i="1"/>
  <c r="AA199" i="1"/>
  <c r="AB199" i="1"/>
  <c r="Q200" i="1"/>
  <c r="U200" i="1"/>
  <c r="V200" i="1"/>
  <c r="W200" i="1"/>
  <c r="X200" i="1"/>
  <c r="Z200" i="1"/>
  <c r="AA200" i="1"/>
  <c r="AB200" i="1"/>
  <c r="Q201" i="1"/>
  <c r="U201" i="1"/>
  <c r="V201" i="1"/>
  <c r="W201" i="1"/>
  <c r="X201" i="1"/>
  <c r="Z201" i="1"/>
  <c r="AA201" i="1"/>
  <c r="AB201" i="1"/>
  <c r="Q202" i="1"/>
  <c r="U202" i="1"/>
  <c r="V202" i="1"/>
  <c r="W202" i="1"/>
  <c r="X202" i="1"/>
  <c r="Z202" i="1"/>
  <c r="AA202" i="1"/>
  <c r="AB202" i="1"/>
  <c r="Q203" i="1"/>
  <c r="U203" i="1"/>
  <c r="V203" i="1"/>
  <c r="W203" i="1"/>
  <c r="X203" i="1"/>
  <c r="Z203" i="1"/>
  <c r="AA203" i="1"/>
  <c r="AB203" i="1"/>
  <c r="Q204" i="1"/>
  <c r="U204" i="1"/>
  <c r="V204" i="1"/>
  <c r="W204" i="1"/>
  <c r="X204" i="1"/>
  <c r="Z204" i="1"/>
  <c r="AA204" i="1"/>
  <c r="AB204" i="1"/>
  <c r="Q205" i="1"/>
  <c r="U205" i="1"/>
  <c r="V205" i="1"/>
  <c r="W205" i="1"/>
  <c r="X205" i="1"/>
  <c r="Z205" i="1"/>
  <c r="AA205" i="1"/>
  <c r="AB205" i="1"/>
  <c r="Q206" i="1"/>
  <c r="U206" i="1"/>
  <c r="V206" i="1"/>
  <c r="W206" i="1"/>
  <c r="X206" i="1"/>
  <c r="Z206" i="1"/>
  <c r="AA206" i="1"/>
  <c r="AB206" i="1"/>
  <c r="Q207" i="1"/>
  <c r="U207" i="1"/>
  <c r="V207" i="1"/>
  <c r="W207" i="1"/>
  <c r="X207" i="1"/>
  <c r="Z207" i="1"/>
  <c r="AA207" i="1"/>
  <c r="AB207" i="1"/>
  <c r="Q208" i="1"/>
  <c r="U208" i="1"/>
  <c r="V208" i="1"/>
  <c r="W208" i="1"/>
  <c r="X208" i="1"/>
  <c r="Z208" i="1"/>
  <c r="AA208" i="1"/>
  <c r="AB208" i="1"/>
  <c r="Q209" i="1"/>
  <c r="U209" i="1"/>
  <c r="V209" i="1"/>
  <c r="W209" i="1"/>
  <c r="X209" i="1"/>
  <c r="Z209" i="1"/>
  <c r="AA209" i="1"/>
  <c r="AB209" i="1"/>
  <c r="Q210" i="1"/>
  <c r="U210" i="1"/>
  <c r="V210" i="1"/>
  <c r="W210" i="1"/>
  <c r="X210" i="1"/>
  <c r="Z210" i="1"/>
  <c r="AA210" i="1"/>
  <c r="AB210" i="1"/>
  <c r="Q211" i="1"/>
  <c r="U211" i="1"/>
  <c r="V211" i="1"/>
  <c r="W211" i="1"/>
  <c r="X211" i="1"/>
  <c r="Z211" i="1"/>
  <c r="AA211" i="1"/>
  <c r="AB211" i="1"/>
  <c r="Q212" i="1"/>
  <c r="U212" i="1"/>
  <c r="V212" i="1"/>
  <c r="W212" i="1"/>
  <c r="X212" i="1"/>
  <c r="Z212" i="1"/>
  <c r="AA212" i="1"/>
  <c r="AB212" i="1"/>
  <c r="Q213" i="1"/>
  <c r="U213" i="1"/>
  <c r="V213" i="1"/>
  <c r="W213" i="1"/>
  <c r="X213" i="1"/>
  <c r="Z213" i="1"/>
  <c r="AA213" i="1"/>
  <c r="AB213" i="1"/>
  <c r="Q214" i="1"/>
  <c r="U214" i="1"/>
  <c r="V214" i="1"/>
  <c r="W214" i="1"/>
  <c r="X214" i="1"/>
  <c r="Z214" i="1"/>
  <c r="AA214" i="1"/>
  <c r="AB214" i="1"/>
  <c r="Q215" i="1"/>
  <c r="U215" i="1"/>
  <c r="V215" i="1"/>
  <c r="W215" i="1"/>
  <c r="X215" i="1"/>
  <c r="Z215" i="1"/>
  <c r="AA215" i="1"/>
  <c r="AB215" i="1"/>
  <c r="Q216" i="1"/>
  <c r="U216" i="1"/>
  <c r="V216" i="1"/>
  <c r="W216" i="1"/>
  <c r="X216" i="1"/>
  <c r="Z216" i="1"/>
  <c r="AA216" i="1"/>
  <c r="AB216" i="1"/>
  <c r="Q217" i="1"/>
  <c r="U217" i="1"/>
  <c r="V217" i="1"/>
  <c r="W217" i="1"/>
  <c r="X217" i="1"/>
  <c r="Z217" i="1"/>
  <c r="AA217" i="1"/>
  <c r="AB217" i="1"/>
  <c r="Q218" i="1"/>
  <c r="U218" i="1"/>
  <c r="V218" i="1"/>
  <c r="W218" i="1"/>
  <c r="X218" i="1"/>
  <c r="Z218" i="1"/>
  <c r="AA218" i="1"/>
  <c r="AB218" i="1"/>
  <c r="Q219" i="1"/>
  <c r="U219" i="1"/>
  <c r="V219" i="1"/>
  <c r="W219" i="1"/>
  <c r="X219" i="1"/>
  <c r="Z219" i="1"/>
  <c r="AA219" i="1"/>
  <c r="AB219" i="1"/>
  <c r="Q220" i="1"/>
  <c r="U220" i="1"/>
  <c r="V220" i="1"/>
  <c r="W220" i="1"/>
  <c r="X220" i="1"/>
  <c r="Z220" i="1"/>
  <c r="AA220" i="1"/>
  <c r="AB220" i="1"/>
  <c r="Q221" i="1"/>
  <c r="U221" i="1"/>
  <c r="V221" i="1"/>
  <c r="W221" i="1"/>
  <c r="X221" i="1"/>
  <c r="Z221" i="1"/>
  <c r="AA221" i="1"/>
  <c r="AB221" i="1"/>
  <c r="Q222" i="1"/>
  <c r="U222" i="1"/>
  <c r="V222" i="1"/>
  <c r="W222" i="1"/>
  <c r="X222" i="1"/>
  <c r="Z222" i="1"/>
  <c r="AA222" i="1"/>
  <c r="AB222" i="1"/>
  <c r="Q223" i="1"/>
  <c r="U223" i="1"/>
  <c r="V223" i="1"/>
  <c r="W223" i="1"/>
  <c r="X223" i="1"/>
  <c r="Z223" i="1"/>
  <c r="AA223" i="1"/>
  <c r="AB223" i="1"/>
  <c r="Q224" i="1"/>
  <c r="U224" i="1"/>
  <c r="V224" i="1"/>
  <c r="W224" i="1"/>
  <c r="X224" i="1"/>
  <c r="Z224" i="1"/>
  <c r="AA224" i="1"/>
  <c r="AB224" i="1"/>
  <c r="Q225" i="1"/>
  <c r="U225" i="1"/>
  <c r="V225" i="1"/>
  <c r="W225" i="1"/>
  <c r="X225" i="1"/>
  <c r="Z225" i="1"/>
  <c r="AA225" i="1"/>
  <c r="AB225" i="1"/>
  <c r="Q226" i="1"/>
  <c r="U226" i="1"/>
  <c r="V226" i="1"/>
  <c r="W226" i="1"/>
  <c r="X226" i="1"/>
  <c r="Z226" i="1"/>
  <c r="AA226" i="1"/>
  <c r="AB226" i="1"/>
  <c r="Q227" i="1"/>
  <c r="U227" i="1"/>
  <c r="V227" i="1"/>
  <c r="W227" i="1"/>
  <c r="X227" i="1"/>
  <c r="Z227" i="1"/>
  <c r="AA227" i="1"/>
  <c r="AB227" i="1"/>
  <c r="Q228" i="1"/>
  <c r="U228" i="1"/>
  <c r="V228" i="1"/>
  <c r="W228" i="1"/>
  <c r="X228" i="1"/>
  <c r="Z228" i="1"/>
  <c r="AA228" i="1"/>
  <c r="AB228" i="1"/>
  <c r="Q229" i="1"/>
  <c r="U229" i="1"/>
  <c r="V229" i="1"/>
  <c r="W229" i="1"/>
  <c r="X229" i="1"/>
  <c r="Z229" i="1"/>
  <c r="AA229" i="1"/>
  <c r="AB229" i="1"/>
  <c r="Q230" i="1"/>
  <c r="U230" i="1"/>
  <c r="V230" i="1"/>
  <c r="W230" i="1"/>
  <c r="X230" i="1"/>
  <c r="Z230" i="1"/>
  <c r="AA230" i="1"/>
  <c r="AB230" i="1"/>
  <c r="Q231" i="1"/>
  <c r="U231" i="1"/>
  <c r="V231" i="1"/>
  <c r="W231" i="1"/>
  <c r="X231" i="1"/>
  <c r="Z231" i="1"/>
  <c r="AA231" i="1"/>
  <c r="AB231" i="1"/>
  <c r="Q232" i="1"/>
  <c r="U232" i="1"/>
  <c r="V232" i="1"/>
  <c r="W232" i="1"/>
  <c r="X232" i="1"/>
  <c r="Z232" i="1"/>
  <c r="AA232" i="1"/>
  <c r="AB232" i="1"/>
  <c r="Q233" i="1"/>
  <c r="U233" i="1"/>
  <c r="V233" i="1"/>
  <c r="W233" i="1"/>
  <c r="X233" i="1"/>
  <c r="Z233" i="1"/>
  <c r="AA233" i="1"/>
  <c r="AB233" i="1"/>
  <c r="Q234" i="1"/>
  <c r="U234" i="1"/>
  <c r="V234" i="1"/>
  <c r="W234" i="1"/>
  <c r="X234" i="1"/>
  <c r="Z234" i="1"/>
  <c r="AA234" i="1"/>
  <c r="AB234" i="1"/>
  <c r="Q235" i="1"/>
  <c r="U235" i="1"/>
  <c r="V235" i="1"/>
  <c r="W235" i="1"/>
  <c r="X235" i="1"/>
  <c r="Z235" i="1"/>
  <c r="AA235" i="1"/>
  <c r="AB235" i="1"/>
  <c r="Q236" i="1"/>
  <c r="U236" i="1"/>
  <c r="V236" i="1"/>
  <c r="W236" i="1"/>
  <c r="X236" i="1"/>
  <c r="Z236" i="1"/>
  <c r="AA236" i="1"/>
  <c r="AB236" i="1"/>
  <c r="Q237" i="1"/>
  <c r="U237" i="1"/>
  <c r="V237" i="1"/>
  <c r="W237" i="1"/>
  <c r="X237" i="1"/>
  <c r="Z237" i="1"/>
  <c r="AA237" i="1"/>
  <c r="AB237" i="1"/>
  <c r="Q238" i="1"/>
  <c r="U238" i="1"/>
  <c r="V238" i="1"/>
  <c r="W238" i="1"/>
  <c r="X238" i="1"/>
  <c r="Z238" i="1"/>
  <c r="AA238" i="1"/>
  <c r="AB238" i="1"/>
  <c r="Q239" i="1"/>
  <c r="U239" i="1"/>
  <c r="V239" i="1"/>
  <c r="W239" i="1"/>
  <c r="X239" i="1"/>
  <c r="Z239" i="1"/>
  <c r="AA239" i="1"/>
  <c r="AB239" i="1"/>
  <c r="Q240" i="1"/>
  <c r="U240" i="1"/>
  <c r="V240" i="1"/>
  <c r="W240" i="1"/>
  <c r="X240" i="1"/>
  <c r="Z240" i="1"/>
  <c r="AA240" i="1"/>
  <c r="AB240" i="1"/>
  <c r="Q241" i="1"/>
  <c r="U241" i="1"/>
  <c r="V241" i="1"/>
  <c r="W241" i="1"/>
  <c r="X241" i="1"/>
  <c r="Z241" i="1"/>
  <c r="AA241" i="1"/>
  <c r="AB241" i="1"/>
  <c r="Q242" i="1"/>
  <c r="U242" i="1"/>
  <c r="V242" i="1"/>
  <c r="W242" i="1"/>
  <c r="X242" i="1"/>
  <c r="Z242" i="1"/>
  <c r="AA242" i="1"/>
  <c r="AB242" i="1"/>
  <c r="Q243" i="1"/>
  <c r="U243" i="1"/>
  <c r="V243" i="1"/>
  <c r="W243" i="1"/>
  <c r="X243" i="1"/>
  <c r="Z243" i="1"/>
  <c r="AA243" i="1"/>
  <c r="AB243" i="1"/>
  <c r="Q244" i="1"/>
  <c r="U244" i="1"/>
  <c r="V244" i="1"/>
  <c r="W244" i="1"/>
  <c r="X244" i="1"/>
  <c r="Z244" i="1"/>
  <c r="AA244" i="1"/>
  <c r="AB244" i="1"/>
  <c r="Q245" i="1"/>
  <c r="U245" i="1"/>
  <c r="V245" i="1"/>
  <c r="W245" i="1"/>
  <c r="X245" i="1"/>
  <c r="Z245" i="1"/>
  <c r="AA245" i="1"/>
  <c r="AB245" i="1"/>
  <c r="Q246" i="1"/>
  <c r="U246" i="1"/>
  <c r="V246" i="1"/>
  <c r="W246" i="1"/>
  <c r="X246" i="1"/>
  <c r="Z246" i="1"/>
  <c r="AA246" i="1"/>
  <c r="AB246" i="1"/>
  <c r="Q247" i="1"/>
  <c r="U247" i="1"/>
  <c r="V247" i="1"/>
  <c r="W247" i="1"/>
  <c r="X247" i="1"/>
  <c r="Z247" i="1"/>
  <c r="AA247" i="1"/>
  <c r="AB247" i="1"/>
  <c r="Q248" i="1"/>
  <c r="U248" i="1"/>
  <c r="V248" i="1"/>
  <c r="W248" i="1"/>
  <c r="X248" i="1"/>
  <c r="Z248" i="1"/>
  <c r="AA248" i="1"/>
  <c r="AB248" i="1"/>
  <c r="Q249" i="1"/>
  <c r="U249" i="1"/>
  <c r="V249" i="1"/>
  <c r="W249" i="1"/>
  <c r="X249" i="1"/>
  <c r="Z249" i="1"/>
  <c r="AA249" i="1"/>
  <c r="AB249" i="1"/>
  <c r="Q250" i="1"/>
  <c r="U250" i="1"/>
  <c r="V250" i="1"/>
  <c r="W250" i="1"/>
  <c r="X250" i="1"/>
  <c r="Z250" i="1"/>
  <c r="AA250" i="1"/>
  <c r="AB250" i="1"/>
  <c r="Q251" i="1"/>
  <c r="U251" i="1"/>
  <c r="V251" i="1"/>
  <c r="W251" i="1"/>
  <c r="X251" i="1"/>
  <c r="Z251" i="1"/>
  <c r="AA251" i="1"/>
  <c r="AB251" i="1"/>
  <c r="Q252" i="1"/>
  <c r="U252" i="1"/>
  <c r="V252" i="1"/>
  <c r="W252" i="1"/>
  <c r="X252" i="1"/>
  <c r="Z252" i="1"/>
  <c r="AA252" i="1"/>
  <c r="AB252" i="1"/>
  <c r="Q253" i="1"/>
  <c r="U253" i="1"/>
  <c r="V253" i="1"/>
  <c r="W253" i="1"/>
  <c r="X253" i="1"/>
  <c r="Z253" i="1"/>
  <c r="AA253" i="1"/>
  <c r="AB253" i="1"/>
  <c r="Q254" i="1"/>
  <c r="U254" i="1"/>
  <c r="V254" i="1"/>
  <c r="W254" i="1"/>
  <c r="X254" i="1"/>
  <c r="Z254" i="1"/>
  <c r="AA254" i="1"/>
  <c r="AB254" i="1"/>
  <c r="Q255" i="1"/>
  <c r="U255" i="1"/>
  <c r="V255" i="1"/>
  <c r="W255" i="1"/>
  <c r="X255" i="1"/>
  <c r="Z255" i="1"/>
  <c r="AA255" i="1"/>
  <c r="AB255" i="1"/>
  <c r="Q256" i="1"/>
  <c r="U256" i="1"/>
  <c r="V256" i="1"/>
  <c r="W256" i="1"/>
  <c r="X256" i="1"/>
  <c r="Z256" i="1"/>
  <c r="AA256" i="1"/>
  <c r="AB256" i="1"/>
  <c r="Q257" i="1"/>
  <c r="U257" i="1"/>
  <c r="V257" i="1"/>
  <c r="W257" i="1"/>
  <c r="X257" i="1"/>
  <c r="Z257" i="1"/>
  <c r="AA257" i="1"/>
  <c r="AB257" i="1"/>
  <c r="Q258" i="1"/>
  <c r="U258" i="1"/>
  <c r="V258" i="1"/>
  <c r="W258" i="1"/>
  <c r="X258" i="1"/>
  <c r="Z258" i="1"/>
  <c r="AA258" i="1"/>
  <c r="AB258" i="1"/>
  <c r="Q259" i="1"/>
  <c r="U259" i="1"/>
  <c r="V259" i="1"/>
  <c r="W259" i="1"/>
  <c r="X259" i="1"/>
  <c r="Z259" i="1"/>
  <c r="AA259" i="1"/>
  <c r="AB259" i="1"/>
  <c r="Q260" i="1"/>
  <c r="U260" i="1"/>
  <c r="V260" i="1"/>
  <c r="W260" i="1"/>
  <c r="X260" i="1"/>
  <c r="Z260" i="1"/>
  <c r="AA260" i="1"/>
  <c r="AB260" i="1"/>
  <c r="Q261" i="1"/>
  <c r="U261" i="1"/>
  <c r="V261" i="1"/>
  <c r="W261" i="1"/>
  <c r="X261" i="1"/>
  <c r="Z261" i="1"/>
  <c r="AA261" i="1"/>
  <c r="AB261" i="1"/>
  <c r="Q262" i="1"/>
  <c r="U262" i="1"/>
  <c r="V262" i="1"/>
  <c r="W262" i="1"/>
  <c r="X262" i="1"/>
  <c r="Z262" i="1"/>
  <c r="AA262" i="1"/>
  <c r="AB262" i="1"/>
  <c r="Q263" i="1"/>
  <c r="U263" i="1"/>
  <c r="V263" i="1"/>
  <c r="W263" i="1"/>
  <c r="X263" i="1"/>
  <c r="Z263" i="1"/>
  <c r="AA263" i="1"/>
  <c r="AB263" i="1"/>
  <c r="Q264" i="1"/>
  <c r="U264" i="1"/>
  <c r="V264" i="1"/>
  <c r="W264" i="1"/>
  <c r="X264" i="1"/>
  <c r="Z264" i="1"/>
  <c r="AA264" i="1"/>
  <c r="AB264" i="1"/>
  <c r="Q265" i="1"/>
  <c r="U265" i="1"/>
  <c r="V265" i="1"/>
  <c r="W265" i="1"/>
  <c r="X265" i="1"/>
  <c r="Z265" i="1"/>
  <c r="AA265" i="1"/>
  <c r="AB265" i="1"/>
  <c r="Q266" i="1"/>
  <c r="U266" i="1"/>
  <c r="V266" i="1"/>
  <c r="W266" i="1"/>
  <c r="X266" i="1"/>
  <c r="Z266" i="1"/>
  <c r="AA266" i="1"/>
  <c r="AB266" i="1"/>
  <c r="Q267" i="1"/>
  <c r="U267" i="1"/>
  <c r="V267" i="1"/>
  <c r="W267" i="1"/>
  <c r="X267" i="1"/>
  <c r="Z267" i="1"/>
  <c r="AA267" i="1"/>
  <c r="AB267" i="1"/>
  <c r="Q268" i="1"/>
  <c r="U268" i="1"/>
  <c r="V268" i="1"/>
  <c r="W268" i="1"/>
  <c r="X268" i="1"/>
  <c r="Z268" i="1"/>
  <c r="AA268" i="1"/>
  <c r="AB268" i="1"/>
  <c r="Q269" i="1"/>
  <c r="U269" i="1"/>
  <c r="V269" i="1"/>
  <c r="W269" i="1"/>
  <c r="X269" i="1"/>
  <c r="Z269" i="1"/>
  <c r="AA269" i="1"/>
  <c r="AB269" i="1"/>
  <c r="Q270" i="1"/>
  <c r="U270" i="1"/>
  <c r="V270" i="1"/>
  <c r="W270" i="1"/>
  <c r="X270" i="1"/>
  <c r="Z270" i="1"/>
  <c r="AA270" i="1"/>
  <c r="AB270" i="1"/>
  <c r="Q271" i="1"/>
  <c r="U271" i="1"/>
  <c r="V271" i="1"/>
  <c r="W271" i="1"/>
  <c r="X271" i="1"/>
  <c r="Z271" i="1"/>
  <c r="AA271" i="1"/>
  <c r="AB271" i="1"/>
  <c r="Q272" i="1"/>
  <c r="U272" i="1"/>
  <c r="V272" i="1"/>
  <c r="W272" i="1"/>
  <c r="X272" i="1"/>
  <c r="Z272" i="1"/>
  <c r="AA272" i="1"/>
  <c r="AB272" i="1"/>
  <c r="Q273" i="1"/>
  <c r="U273" i="1"/>
  <c r="V273" i="1"/>
  <c r="W273" i="1"/>
  <c r="X273" i="1"/>
  <c r="Z273" i="1"/>
  <c r="AA273" i="1"/>
  <c r="AB273" i="1"/>
  <c r="Q274" i="1"/>
  <c r="U274" i="1"/>
  <c r="V274" i="1"/>
  <c r="W274" i="1"/>
  <c r="X274" i="1"/>
  <c r="Z274" i="1"/>
  <c r="AA274" i="1"/>
  <c r="AB274" i="1"/>
  <c r="Q275" i="1"/>
  <c r="U275" i="1"/>
  <c r="V275" i="1"/>
  <c r="W275" i="1"/>
  <c r="X275" i="1"/>
  <c r="Z275" i="1"/>
  <c r="AA275" i="1"/>
  <c r="AB275" i="1"/>
  <c r="Q276" i="1"/>
  <c r="U276" i="1"/>
  <c r="V276" i="1"/>
  <c r="W276" i="1"/>
  <c r="X276" i="1"/>
  <c r="Z276" i="1"/>
  <c r="AA276" i="1"/>
  <c r="AB276" i="1"/>
  <c r="Q277" i="1"/>
  <c r="U277" i="1"/>
  <c r="V277" i="1"/>
  <c r="W277" i="1"/>
  <c r="X277" i="1"/>
  <c r="Z277" i="1"/>
  <c r="AA277" i="1"/>
  <c r="AB277" i="1"/>
  <c r="Q278" i="1"/>
  <c r="U278" i="1"/>
  <c r="V278" i="1"/>
  <c r="W278" i="1"/>
  <c r="X278" i="1"/>
  <c r="Z278" i="1"/>
  <c r="AA278" i="1"/>
  <c r="AB278" i="1"/>
  <c r="Q279" i="1"/>
  <c r="U279" i="1"/>
  <c r="V279" i="1"/>
  <c r="W279" i="1"/>
  <c r="X279" i="1"/>
  <c r="Z279" i="1"/>
  <c r="AA279" i="1"/>
  <c r="AB279" i="1"/>
  <c r="Q280" i="1"/>
  <c r="U280" i="1"/>
  <c r="V280" i="1"/>
  <c r="W280" i="1"/>
  <c r="X280" i="1"/>
  <c r="Z280" i="1"/>
  <c r="AA280" i="1"/>
  <c r="AB280" i="1"/>
  <c r="Q281" i="1"/>
  <c r="U281" i="1"/>
  <c r="V281" i="1"/>
  <c r="W281" i="1"/>
  <c r="X281" i="1"/>
  <c r="Z281" i="1"/>
  <c r="AA281" i="1"/>
  <c r="AB281" i="1"/>
  <c r="Q282" i="1"/>
  <c r="U282" i="1"/>
  <c r="V282" i="1"/>
  <c r="W282" i="1"/>
  <c r="X282" i="1"/>
  <c r="Z282" i="1"/>
  <c r="AA282" i="1"/>
  <c r="AB282" i="1"/>
  <c r="Q283" i="1"/>
  <c r="U283" i="1"/>
  <c r="V283" i="1"/>
  <c r="W283" i="1"/>
  <c r="X283" i="1"/>
  <c r="Z283" i="1"/>
  <c r="AA283" i="1"/>
  <c r="AB283" i="1"/>
  <c r="Q284" i="1"/>
  <c r="U284" i="1"/>
  <c r="V284" i="1"/>
  <c r="W284" i="1"/>
  <c r="X284" i="1"/>
  <c r="Z284" i="1"/>
  <c r="AA284" i="1"/>
  <c r="AB284" i="1"/>
  <c r="Q285" i="1"/>
  <c r="U285" i="1"/>
  <c r="V285" i="1"/>
  <c r="W285" i="1"/>
  <c r="X285" i="1"/>
  <c r="Z285" i="1"/>
  <c r="AA285" i="1"/>
  <c r="AB285" i="1"/>
  <c r="Q286" i="1"/>
  <c r="U286" i="1"/>
  <c r="V286" i="1"/>
  <c r="W286" i="1"/>
  <c r="X286" i="1"/>
  <c r="Z286" i="1"/>
  <c r="AA286" i="1"/>
  <c r="AB286" i="1"/>
  <c r="Q287" i="1"/>
  <c r="U287" i="1"/>
  <c r="V287" i="1"/>
  <c r="W287" i="1"/>
  <c r="X287" i="1"/>
  <c r="Z287" i="1"/>
  <c r="AA287" i="1"/>
  <c r="AB287" i="1"/>
  <c r="Q288" i="1"/>
  <c r="U288" i="1"/>
  <c r="V288" i="1"/>
  <c r="W288" i="1"/>
  <c r="X288" i="1"/>
  <c r="Z288" i="1"/>
  <c r="AA288" i="1"/>
  <c r="AB288" i="1"/>
  <c r="Q289" i="1"/>
  <c r="U289" i="1"/>
  <c r="V289" i="1"/>
  <c r="W289" i="1"/>
  <c r="X289" i="1"/>
  <c r="Z289" i="1"/>
  <c r="AA289" i="1"/>
  <c r="AB289" i="1"/>
  <c r="Q290" i="1"/>
  <c r="U290" i="1"/>
  <c r="V290" i="1"/>
  <c r="W290" i="1"/>
  <c r="X290" i="1"/>
  <c r="Z290" i="1"/>
  <c r="AA290" i="1"/>
  <c r="AB290" i="1"/>
  <c r="Q291" i="1"/>
  <c r="U291" i="1"/>
  <c r="V291" i="1"/>
  <c r="W291" i="1"/>
  <c r="X291" i="1"/>
  <c r="Z291" i="1"/>
  <c r="AA291" i="1"/>
  <c r="AB291" i="1"/>
  <c r="Q292" i="1"/>
  <c r="U292" i="1"/>
  <c r="V292" i="1"/>
  <c r="W292" i="1"/>
  <c r="X292" i="1"/>
  <c r="Z292" i="1"/>
  <c r="AA292" i="1"/>
  <c r="AB292" i="1"/>
  <c r="Q293" i="1"/>
  <c r="U293" i="1"/>
  <c r="V293" i="1"/>
  <c r="W293" i="1"/>
  <c r="X293" i="1"/>
  <c r="Z293" i="1"/>
  <c r="AA293" i="1"/>
  <c r="AB293" i="1"/>
  <c r="Q294" i="1"/>
  <c r="U294" i="1"/>
  <c r="V294" i="1"/>
  <c r="W294" i="1"/>
  <c r="X294" i="1"/>
  <c r="Z294" i="1"/>
  <c r="AA294" i="1"/>
  <c r="AB294" i="1"/>
  <c r="Q295" i="1"/>
  <c r="U295" i="1"/>
  <c r="V295" i="1"/>
  <c r="W295" i="1"/>
  <c r="X295" i="1"/>
  <c r="Z295" i="1"/>
  <c r="AA295" i="1"/>
  <c r="AB295" i="1"/>
  <c r="Q296" i="1"/>
  <c r="U296" i="1"/>
  <c r="V296" i="1"/>
  <c r="W296" i="1"/>
  <c r="X296" i="1"/>
  <c r="Z296" i="1"/>
  <c r="AA296" i="1"/>
  <c r="AB296" i="1"/>
  <c r="Q297" i="1"/>
  <c r="U297" i="1"/>
  <c r="V297" i="1"/>
  <c r="W297" i="1"/>
  <c r="X297" i="1"/>
  <c r="Z297" i="1"/>
  <c r="AA297" i="1"/>
  <c r="AB297" i="1"/>
  <c r="Q298" i="1"/>
  <c r="U298" i="1"/>
  <c r="V298" i="1"/>
  <c r="W298" i="1"/>
  <c r="X298" i="1"/>
  <c r="Z298" i="1"/>
  <c r="AA298" i="1"/>
  <c r="AB298" i="1"/>
  <c r="Q299" i="1"/>
  <c r="U299" i="1"/>
  <c r="V299" i="1"/>
  <c r="W299" i="1"/>
  <c r="X299" i="1"/>
  <c r="Z299" i="1"/>
  <c r="AA299" i="1"/>
  <c r="AB299" i="1"/>
  <c r="Q300" i="1"/>
  <c r="U300" i="1"/>
  <c r="V300" i="1"/>
  <c r="W300" i="1"/>
  <c r="X300" i="1"/>
  <c r="Z300" i="1"/>
  <c r="AA300" i="1"/>
  <c r="AB300" i="1"/>
  <c r="Q301" i="1"/>
  <c r="U301" i="1"/>
  <c r="V301" i="1"/>
  <c r="W301" i="1"/>
  <c r="X301" i="1"/>
  <c r="Z301" i="1"/>
  <c r="AA301" i="1"/>
  <c r="AB301" i="1"/>
  <c r="Q302" i="1"/>
  <c r="U302" i="1"/>
  <c r="V302" i="1"/>
  <c r="W302" i="1"/>
  <c r="X302" i="1"/>
  <c r="Z302" i="1"/>
  <c r="AA302" i="1"/>
  <c r="AB302" i="1"/>
  <c r="Q303" i="1"/>
  <c r="U303" i="1"/>
  <c r="V303" i="1"/>
  <c r="W303" i="1"/>
  <c r="X303" i="1"/>
  <c r="Z303" i="1"/>
  <c r="AA303" i="1"/>
  <c r="AB303" i="1"/>
  <c r="Q304" i="1"/>
  <c r="U304" i="1"/>
  <c r="V304" i="1"/>
  <c r="W304" i="1"/>
  <c r="X304" i="1"/>
  <c r="Z304" i="1"/>
  <c r="AA304" i="1"/>
  <c r="AB304" i="1"/>
  <c r="Q305" i="1"/>
  <c r="U305" i="1"/>
  <c r="V305" i="1"/>
  <c r="W305" i="1"/>
  <c r="X305" i="1"/>
  <c r="Z305" i="1"/>
  <c r="AA305" i="1"/>
  <c r="AB305" i="1"/>
  <c r="Q306" i="1"/>
  <c r="U306" i="1"/>
  <c r="V306" i="1"/>
  <c r="W306" i="1"/>
  <c r="X306" i="1"/>
  <c r="Z306" i="1"/>
  <c r="AA306" i="1"/>
  <c r="AB306" i="1"/>
  <c r="Q307" i="1"/>
  <c r="U307" i="1"/>
  <c r="V307" i="1"/>
  <c r="W307" i="1"/>
  <c r="X307" i="1"/>
  <c r="Z307" i="1"/>
  <c r="AA307" i="1"/>
  <c r="AB307" i="1"/>
  <c r="Q308" i="1"/>
  <c r="U308" i="1"/>
  <c r="V308" i="1"/>
  <c r="W308" i="1"/>
  <c r="X308" i="1"/>
  <c r="Z308" i="1"/>
  <c r="AA308" i="1"/>
  <c r="AB308" i="1"/>
  <c r="Q309" i="1"/>
  <c r="U309" i="1"/>
  <c r="V309" i="1"/>
  <c r="W309" i="1"/>
  <c r="X309" i="1"/>
  <c r="Z309" i="1"/>
  <c r="AA309" i="1"/>
  <c r="AB309" i="1"/>
  <c r="Q310" i="1"/>
  <c r="U310" i="1"/>
  <c r="V310" i="1"/>
  <c r="W310" i="1"/>
  <c r="X310" i="1"/>
  <c r="Z310" i="1"/>
  <c r="AA310" i="1"/>
  <c r="AB310" i="1"/>
  <c r="Q311" i="1"/>
  <c r="U311" i="1"/>
  <c r="V311" i="1"/>
  <c r="W311" i="1"/>
  <c r="X311" i="1"/>
  <c r="Z311" i="1"/>
  <c r="AA311" i="1"/>
  <c r="AB311" i="1"/>
  <c r="Q312" i="1"/>
  <c r="U312" i="1"/>
  <c r="V312" i="1"/>
  <c r="W312" i="1"/>
  <c r="X312" i="1"/>
  <c r="Z312" i="1"/>
  <c r="AA312" i="1"/>
  <c r="AB312" i="1"/>
  <c r="Q313" i="1"/>
  <c r="U313" i="1"/>
  <c r="V313" i="1"/>
  <c r="W313" i="1"/>
  <c r="X313" i="1"/>
  <c r="Z313" i="1"/>
  <c r="AA313" i="1"/>
  <c r="AB313" i="1"/>
  <c r="Q314" i="1"/>
  <c r="U314" i="1"/>
  <c r="V314" i="1"/>
  <c r="W314" i="1"/>
  <c r="X314" i="1"/>
  <c r="Z314" i="1"/>
  <c r="AA314" i="1"/>
  <c r="AB314" i="1"/>
  <c r="Q315" i="1"/>
  <c r="U315" i="1"/>
  <c r="V315" i="1"/>
  <c r="W315" i="1"/>
  <c r="X315" i="1"/>
  <c r="Z315" i="1"/>
  <c r="AA315" i="1"/>
  <c r="AB315" i="1"/>
  <c r="Q316" i="1"/>
  <c r="U316" i="1"/>
  <c r="V316" i="1"/>
  <c r="W316" i="1"/>
  <c r="X316" i="1"/>
  <c r="Z316" i="1"/>
  <c r="AA316" i="1"/>
  <c r="AB316" i="1"/>
  <c r="Q317" i="1"/>
  <c r="U317" i="1"/>
  <c r="V317" i="1"/>
  <c r="W317" i="1"/>
  <c r="X317" i="1"/>
  <c r="Z317" i="1"/>
  <c r="AA317" i="1"/>
  <c r="AB317" i="1"/>
  <c r="Q318" i="1"/>
  <c r="U318" i="1"/>
  <c r="V318" i="1"/>
  <c r="W318" i="1"/>
  <c r="X318" i="1"/>
  <c r="Z318" i="1"/>
  <c r="AA318" i="1"/>
  <c r="AB318" i="1"/>
  <c r="Q319" i="1"/>
  <c r="U319" i="1"/>
  <c r="V319" i="1"/>
  <c r="W319" i="1"/>
  <c r="X319" i="1"/>
  <c r="Z319" i="1"/>
  <c r="AA319" i="1"/>
  <c r="AB319" i="1"/>
  <c r="Q320" i="1"/>
  <c r="U320" i="1"/>
  <c r="V320" i="1"/>
  <c r="W320" i="1"/>
  <c r="X320" i="1"/>
  <c r="Z320" i="1"/>
  <c r="AA320" i="1"/>
  <c r="AB320" i="1"/>
  <c r="Q321" i="1"/>
  <c r="U321" i="1"/>
  <c r="V321" i="1"/>
  <c r="W321" i="1"/>
  <c r="X321" i="1"/>
  <c r="Z321" i="1"/>
  <c r="AA321" i="1"/>
  <c r="AB321" i="1"/>
  <c r="Q322" i="1"/>
  <c r="U322" i="1"/>
  <c r="V322" i="1"/>
  <c r="W322" i="1"/>
  <c r="X322" i="1"/>
  <c r="Z322" i="1"/>
  <c r="AA322" i="1"/>
  <c r="AB322" i="1"/>
  <c r="Q323" i="1"/>
  <c r="U323" i="1"/>
  <c r="V323" i="1"/>
  <c r="W323" i="1"/>
  <c r="X323" i="1"/>
  <c r="Z323" i="1"/>
  <c r="AA323" i="1"/>
  <c r="AB323" i="1"/>
  <c r="Q324" i="1"/>
  <c r="U324" i="1"/>
  <c r="V324" i="1"/>
  <c r="W324" i="1"/>
  <c r="X324" i="1"/>
  <c r="Z324" i="1"/>
  <c r="AA324" i="1"/>
  <c r="AB324" i="1"/>
  <c r="Q325" i="1"/>
  <c r="U325" i="1"/>
  <c r="V325" i="1"/>
  <c r="W325" i="1"/>
  <c r="X325" i="1"/>
  <c r="Z325" i="1"/>
  <c r="AA325" i="1"/>
  <c r="AB325" i="1"/>
  <c r="Q326" i="1"/>
  <c r="U326" i="1"/>
  <c r="V326" i="1"/>
  <c r="W326" i="1"/>
  <c r="X326" i="1"/>
  <c r="Z326" i="1"/>
  <c r="AA326" i="1"/>
  <c r="AB326" i="1"/>
  <c r="Q327" i="1"/>
  <c r="U327" i="1"/>
  <c r="V327" i="1"/>
  <c r="W327" i="1"/>
  <c r="X327" i="1"/>
  <c r="Z327" i="1"/>
  <c r="AA327" i="1"/>
  <c r="AB327" i="1"/>
  <c r="Q328" i="1"/>
  <c r="U328" i="1"/>
  <c r="V328" i="1"/>
  <c r="W328" i="1"/>
  <c r="X328" i="1"/>
  <c r="Z328" i="1"/>
  <c r="AA328" i="1"/>
  <c r="AB328" i="1"/>
  <c r="Q329" i="1"/>
  <c r="U329" i="1"/>
  <c r="V329" i="1"/>
  <c r="W329" i="1"/>
  <c r="X329" i="1"/>
  <c r="Z329" i="1"/>
  <c r="AA329" i="1"/>
  <c r="AB329" i="1"/>
  <c r="Q330" i="1"/>
  <c r="U330" i="1"/>
  <c r="V330" i="1"/>
  <c r="W330" i="1"/>
  <c r="X330" i="1"/>
  <c r="Z330" i="1"/>
  <c r="AA330" i="1"/>
  <c r="AB330" i="1"/>
  <c r="Q331" i="1"/>
  <c r="U331" i="1"/>
  <c r="V331" i="1"/>
  <c r="W331" i="1"/>
  <c r="X331" i="1"/>
  <c r="Z331" i="1"/>
  <c r="AA331" i="1"/>
  <c r="AB331" i="1"/>
  <c r="Q332" i="1"/>
  <c r="U332" i="1"/>
  <c r="V332" i="1"/>
  <c r="W332" i="1"/>
  <c r="X332" i="1"/>
  <c r="Z332" i="1"/>
  <c r="AA332" i="1"/>
  <c r="AB332" i="1"/>
  <c r="Q333" i="1"/>
  <c r="U333" i="1"/>
  <c r="V333" i="1"/>
  <c r="W333" i="1"/>
  <c r="X333" i="1"/>
  <c r="Z333" i="1"/>
  <c r="AA333" i="1"/>
  <c r="AB333" i="1"/>
  <c r="Q334" i="1"/>
  <c r="U334" i="1"/>
  <c r="V334" i="1"/>
  <c r="W334" i="1"/>
  <c r="X334" i="1"/>
  <c r="Z334" i="1"/>
  <c r="AA334" i="1"/>
  <c r="AB334" i="1"/>
  <c r="Q335" i="1"/>
  <c r="U335" i="1"/>
  <c r="V335" i="1"/>
  <c r="W335" i="1"/>
  <c r="X335" i="1"/>
  <c r="Z335" i="1"/>
  <c r="AA335" i="1"/>
  <c r="AB335" i="1"/>
  <c r="Q336" i="1"/>
  <c r="U336" i="1"/>
  <c r="V336" i="1"/>
  <c r="W336" i="1"/>
  <c r="X336" i="1"/>
  <c r="Z336" i="1"/>
  <c r="AA336" i="1"/>
  <c r="AB336" i="1"/>
  <c r="Q337" i="1"/>
  <c r="U337" i="1"/>
  <c r="V337" i="1"/>
  <c r="W337" i="1"/>
  <c r="X337" i="1"/>
  <c r="Z337" i="1"/>
  <c r="AA337" i="1"/>
  <c r="AB337" i="1"/>
  <c r="Q338" i="1"/>
  <c r="U338" i="1"/>
  <c r="V338" i="1"/>
  <c r="W338" i="1"/>
  <c r="X338" i="1"/>
  <c r="Z338" i="1"/>
  <c r="AA338" i="1"/>
  <c r="AB338" i="1"/>
  <c r="Q339" i="1"/>
  <c r="U339" i="1"/>
  <c r="V339" i="1"/>
  <c r="W339" i="1"/>
  <c r="X339" i="1"/>
  <c r="Z339" i="1"/>
  <c r="AA339" i="1"/>
  <c r="AB339" i="1"/>
  <c r="Q340" i="1"/>
  <c r="U340" i="1"/>
  <c r="V340" i="1"/>
  <c r="W340" i="1"/>
  <c r="X340" i="1"/>
  <c r="Z340" i="1"/>
  <c r="AA340" i="1"/>
  <c r="AB340" i="1"/>
  <c r="Q341" i="1"/>
  <c r="U341" i="1"/>
  <c r="V341" i="1"/>
  <c r="W341" i="1"/>
  <c r="X341" i="1"/>
  <c r="Z341" i="1"/>
  <c r="AA341" i="1"/>
  <c r="AB341" i="1"/>
  <c r="Q342" i="1"/>
  <c r="U342" i="1"/>
  <c r="V342" i="1"/>
  <c r="W342" i="1"/>
  <c r="X342" i="1"/>
  <c r="Z342" i="1"/>
  <c r="AA342" i="1"/>
  <c r="AB342" i="1"/>
  <c r="Q343" i="1"/>
  <c r="U343" i="1"/>
  <c r="V343" i="1"/>
  <c r="W343" i="1"/>
  <c r="X343" i="1"/>
  <c r="Z343" i="1"/>
  <c r="AA343" i="1"/>
  <c r="AB343" i="1"/>
  <c r="Q344" i="1"/>
  <c r="U344" i="1"/>
  <c r="V344" i="1"/>
  <c r="W344" i="1"/>
  <c r="X344" i="1"/>
  <c r="Z344" i="1"/>
  <c r="AA344" i="1"/>
  <c r="AB344" i="1"/>
  <c r="Q345" i="1"/>
  <c r="U345" i="1"/>
  <c r="V345" i="1"/>
  <c r="W345" i="1"/>
  <c r="X345" i="1"/>
  <c r="Z345" i="1"/>
  <c r="AA345" i="1"/>
  <c r="AB345" i="1"/>
  <c r="Q346" i="1"/>
  <c r="U346" i="1"/>
  <c r="V346" i="1"/>
  <c r="W346" i="1"/>
  <c r="X346" i="1"/>
  <c r="Z346" i="1"/>
  <c r="AA346" i="1"/>
  <c r="AB346" i="1"/>
  <c r="Q347" i="1"/>
  <c r="U347" i="1"/>
  <c r="V347" i="1"/>
  <c r="W347" i="1"/>
  <c r="X347" i="1"/>
  <c r="Z347" i="1"/>
  <c r="AA347" i="1"/>
  <c r="AB347" i="1"/>
  <c r="Q348" i="1"/>
  <c r="U348" i="1"/>
  <c r="V348" i="1"/>
  <c r="W348" i="1"/>
  <c r="X348" i="1"/>
  <c r="Z348" i="1"/>
  <c r="AA348" i="1"/>
  <c r="AB348" i="1"/>
  <c r="Q349" i="1"/>
  <c r="U349" i="1"/>
  <c r="V349" i="1"/>
  <c r="W349" i="1"/>
  <c r="X349" i="1"/>
  <c r="Z349" i="1"/>
  <c r="AA349" i="1"/>
  <c r="AB349" i="1"/>
  <c r="Q350" i="1"/>
  <c r="U350" i="1"/>
  <c r="V350" i="1"/>
  <c r="W350" i="1"/>
  <c r="X350" i="1"/>
  <c r="Z350" i="1"/>
  <c r="AA350" i="1"/>
  <c r="AB350" i="1"/>
  <c r="Q351" i="1"/>
  <c r="U351" i="1"/>
  <c r="V351" i="1"/>
  <c r="W351" i="1"/>
  <c r="X351" i="1"/>
  <c r="Z351" i="1"/>
  <c r="AA351" i="1"/>
  <c r="AB351" i="1"/>
  <c r="Q352" i="1"/>
  <c r="U352" i="1"/>
  <c r="V352" i="1"/>
  <c r="W352" i="1"/>
  <c r="X352" i="1"/>
  <c r="Z352" i="1"/>
  <c r="AA352" i="1"/>
  <c r="AB352" i="1"/>
  <c r="Q353" i="1"/>
  <c r="U353" i="1"/>
  <c r="V353" i="1"/>
  <c r="W353" i="1"/>
  <c r="X353" i="1"/>
  <c r="Z353" i="1"/>
  <c r="AA353" i="1"/>
  <c r="AB353" i="1"/>
  <c r="Q354" i="1"/>
  <c r="U354" i="1"/>
  <c r="V354" i="1"/>
  <c r="W354" i="1"/>
  <c r="X354" i="1"/>
  <c r="Z354" i="1"/>
  <c r="AA354" i="1"/>
  <c r="AB354" i="1"/>
  <c r="Q355" i="1"/>
  <c r="U355" i="1"/>
  <c r="V355" i="1"/>
  <c r="W355" i="1"/>
  <c r="X355" i="1"/>
  <c r="Z355" i="1"/>
  <c r="AA355" i="1"/>
  <c r="AB355" i="1"/>
  <c r="Q356" i="1"/>
  <c r="U356" i="1"/>
  <c r="V356" i="1"/>
  <c r="W356" i="1"/>
  <c r="X356" i="1"/>
  <c r="Z356" i="1"/>
  <c r="AA356" i="1"/>
  <c r="AB356" i="1"/>
  <c r="Q357" i="1"/>
  <c r="U357" i="1"/>
  <c r="V357" i="1"/>
  <c r="W357" i="1"/>
  <c r="X357" i="1"/>
  <c r="Z357" i="1"/>
  <c r="AA357" i="1"/>
  <c r="AB357" i="1"/>
  <c r="Q358" i="1"/>
  <c r="U358" i="1"/>
  <c r="V358" i="1"/>
  <c r="W358" i="1"/>
  <c r="X358" i="1"/>
  <c r="Z358" i="1"/>
  <c r="AA358" i="1"/>
  <c r="AB358" i="1"/>
  <c r="Q359" i="1"/>
  <c r="U359" i="1"/>
  <c r="V359" i="1"/>
  <c r="W359" i="1"/>
  <c r="X359" i="1"/>
  <c r="Z359" i="1"/>
  <c r="AA359" i="1"/>
  <c r="AB359" i="1"/>
  <c r="Q360" i="1"/>
  <c r="U360" i="1"/>
  <c r="V360" i="1"/>
  <c r="W360" i="1"/>
  <c r="X360" i="1"/>
  <c r="Z360" i="1"/>
  <c r="AA360" i="1"/>
  <c r="AB360" i="1"/>
  <c r="Q361" i="1"/>
  <c r="U361" i="1"/>
  <c r="V361" i="1"/>
  <c r="W361" i="1"/>
  <c r="X361" i="1"/>
  <c r="Z361" i="1"/>
  <c r="AA361" i="1"/>
  <c r="AB361" i="1"/>
  <c r="Q362" i="1"/>
  <c r="U362" i="1"/>
  <c r="V362" i="1"/>
  <c r="W362" i="1"/>
  <c r="X362" i="1"/>
  <c r="Z362" i="1"/>
  <c r="AA362" i="1"/>
  <c r="AB362" i="1"/>
  <c r="Q363" i="1"/>
  <c r="U363" i="1"/>
  <c r="V363" i="1"/>
  <c r="W363" i="1"/>
  <c r="X363" i="1"/>
  <c r="Z363" i="1"/>
  <c r="AA363" i="1"/>
  <c r="AB363" i="1"/>
  <c r="Q364" i="1"/>
  <c r="U364" i="1"/>
  <c r="V364" i="1"/>
  <c r="W364" i="1"/>
  <c r="X364" i="1"/>
  <c r="Z364" i="1"/>
  <c r="AA364" i="1"/>
  <c r="AB364" i="1"/>
  <c r="Q365" i="1"/>
  <c r="U365" i="1"/>
  <c r="V365" i="1"/>
  <c r="W365" i="1"/>
  <c r="X365" i="1"/>
  <c r="Z365" i="1"/>
  <c r="AA365" i="1"/>
  <c r="AB365" i="1"/>
  <c r="Q366" i="1"/>
  <c r="U366" i="1"/>
  <c r="V366" i="1"/>
  <c r="W366" i="1"/>
  <c r="X366" i="1"/>
  <c r="Z366" i="1"/>
  <c r="AA366" i="1"/>
  <c r="AB366" i="1"/>
  <c r="Q367" i="1"/>
  <c r="U367" i="1"/>
  <c r="V367" i="1"/>
  <c r="W367" i="1"/>
  <c r="X367" i="1"/>
  <c r="Z367" i="1"/>
  <c r="AA367" i="1"/>
  <c r="AB367" i="1"/>
  <c r="Q368" i="1"/>
  <c r="U368" i="1"/>
  <c r="V368" i="1"/>
  <c r="W368" i="1"/>
  <c r="X368" i="1"/>
  <c r="Z368" i="1"/>
  <c r="AA368" i="1"/>
  <c r="AB368" i="1"/>
  <c r="Q369" i="1"/>
  <c r="U369" i="1"/>
  <c r="V369" i="1"/>
  <c r="W369" i="1"/>
  <c r="X369" i="1"/>
  <c r="Z369" i="1"/>
  <c r="AA369" i="1"/>
  <c r="AB369" i="1"/>
  <c r="Q370" i="1"/>
  <c r="U370" i="1"/>
  <c r="V370" i="1"/>
  <c r="W370" i="1"/>
  <c r="X370" i="1"/>
  <c r="Z370" i="1"/>
  <c r="AA370" i="1"/>
  <c r="AB370" i="1"/>
  <c r="Q371" i="1"/>
  <c r="U371" i="1"/>
  <c r="V371" i="1"/>
  <c r="W371" i="1"/>
  <c r="X371" i="1"/>
  <c r="Z371" i="1"/>
  <c r="AA371" i="1"/>
  <c r="AB371" i="1"/>
  <c r="Q372" i="1"/>
  <c r="U372" i="1"/>
  <c r="V372" i="1"/>
  <c r="W372" i="1"/>
  <c r="X372" i="1"/>
  <c r="Z372" i="1"/>
  <c r="AA372" i="1"/>
  <c r="AB372" i="1"/>
  <c r="Q373" i="1"/>
  <c r="U373" i="1"/>
  <c r="V373" i="1"/>
  <c r="W373" i="1"/>
  <c r="X373" i="1"/>
  <c r="Z373" i="1"/>
  <c r="AA373" i="1"/>
  <c r="AB373" i="1"/>
  <c r="Q374" i="1"/>
  <c r="U374" i="1"/>
  <c r="V374" i="1"/>
  <c r="W374" i="1"/>
  <c r="X374" i="1"/>
  <c r="Z374" i="1"/>
  <c r="AA374" i="1"/>
  <c r="AB374" i="1"/>
  <c r="Q375" i="1"/>
  <c r="U375" i="1"/>
  <c r="V375" i="1"/>
  <c r="W375" i="1"/>
  <c r="X375" i="1"/>
  <c r="Z375" i="1"/>
  <c r="AA375" i="1"/>
  <c r="AB375" i="1"/>
  <c r="Q376" i="1"/>
  <c r="U376" i="1"/>
  <c r="V376" i="1"/>
  <c r="W376" i="1"/>
  <c r="X376" i="1"/>
  <c r="Z376" i="1"/>
  <c r="AA376" i="1"/>
  <c r="AB376" i="1"/>
  <c r="Q377" i="1"/>
  <c r="U377" i="1"/>
  <c r="V377" i="1"/>
  <c r="W377" i="1"/>
  <c r="X377" i="1"/>
  <c r="Z377" i="1"/>
  <c r="AA377" i="1"/>
  <c r="AB377" i="1"/>
  <c r="Q378" i="1"/>
  <c r="U378" i="1"/>
  <c r="V378" i="1"/>
  <c r="W378" i="1"/>
  <c r="X378" i="1"/>
  <c r="Z378" i="1"/>
  <c r="AA378" i="1"/>
  <c r="AB378" i="1"/>
  <c r="Q379" i="1"/>
  <c r="U379" i="1"/>
  <c r="V379" i="1"/>
  <c r="W379" i="1"/>
  <c r="X379" i="1"/>
  <c r="Z379" i="1"/>
  <c r="AA379" i="1"/>
  <c r="AB379" i="1"/>
  <c r="Q380" i="1"/>
  <c r="U380" i="1"/>
  <c r="V380" i="1"/>
  <c r="W380" i="1"/>
  <c r="X380" i="1"/>
  <c r="Z380" i="1"/>
  <c r="AA380" i="1"/>
  <c r="AB380" i="1"/>
  <c r="Q381" i="1"/>
  <c r="U381" i="1"/>
  <c r="V381" i="1"/>
  <c r="W381" i="1"/>
  <c r="X381" i="1"/>
  <c r="Z381" i="1"/>
  <c r="AA381" i="1"/>
  <c r="AB381" i="1"/>
  <c r="Q382" i="1"/>
  <c r="U382" i="1"/>
  <c r="V382" i="1"/>
  <c r="W382" i="1"/>
  <c r="X382" i="1"/>
  <c r="Z382" i="1"/>
  <c r="AA382" i="1"/>
  <c r="AB382" i="1"/>
  <c r="Q383" i="1"/>
  <c r="U383" i="1"/>
  <c r="V383" i="1"/>
  <c r="W383" i="1"/>
  <c r="X383" i="1"/>
  <c r="Z383" i="1"/>
  <c r="AA383" i="1"/>
  <c r="AB383" i="1"/>
  <c r="Q384" i="1"/>
  <c r="U384" i="1"/>
  <c r="V384" i="1"/>
  <c r="W384" i="1"/>
  <c r="X384" i="1"/>
  <c r="Z384" i="1"/>
  <c r="AA384" i="1"/>
  <c r="AB384" i="1"/>
  <c r="Q385" i="1"/>
  <c r="U385" i="1"/>
  <c r="V385" i="1"/>
  <c r="W385" i="1"/>
  <c r="X385" i="1"/>
  <c r="Z385" i="1"/>
  <c r="AA385" i="1"/>
  <c r="AB385" i="1"/>
  <c r="Q386" i="1"/>
  <c r="U386" i="1"/>
  <c r="V386" i="1"/>
  <c r="W386" i="1"/>
  <c r="X386" i="1"/>
  <c r="Z386" i="1"/>
  <c r="AA386" i="1"/>
  <c r="AB386" i="1"/>
  <c r="Q387" i="1"/>
  <c r="U387" i="1"/>
  <c r="V387" i="1"/>
  <c r="W387" i="1"/>
  <c r="X387" i="1"/>
  <c r="Z387" i="1"/>
  <c r="AA387" i="1"/>
  <c r="AB387" i="1"/>
  <c r="Q388" i="1"/>
  <c r="U388" i="1"/>
  <c r="V388" i="1"/>
  <c r="W388" i="1"/>
  <c r="X388" i="1"/>
  <c r="Z388" i="1"/>
  <c r="AA388" i="1"/>
  <c r="AB388" i="1"/>
  <c r="Q389" i="1"/>
  <c r="U389" i="1"/>
  <c r="V389" i="1"/>
  <c r="W389" i="1"/>
  <c r="X389" i="1"/>
  <c r="Z389" i="1"/>
  <c r="AA389" i="1"/>
  <c r="AB389" i="1"/>
  <c r="Q390" i="1"/>
  <c r="U390" i="1"/>
  <c r="V390" i="1"/>
  <c r="W390" i="1"/>
  <c r="X390" i="1"/>
  <c r="Z390" i="1"/>
  <c r="AA390" i="1"/>
  <c r="AB390" i="1"/>
  <c r="Q391" i="1"/>
  <c r="U391" i="1"/>
  <c r="V391" i="1"/>
  <c r="W391" i="1"/>
  <c r="X391" i="1"/>
  <c r="Z391" i="1"/>
  <c r="AA391" i="1"/>
  <c r="AB391" i="1"/>
  <c r="Q392" i="1"/>
  <c r="U392" i="1"/>
  <c r="V392" i="1"/>
  <c r="W392" i="1"/>
  <c r="X392" i="1"/>
  <c r="Z392" i="1"/>
  <c r="AA392" i="1"/>
  <c r="AB392" i="1"/>
  <c r="Q393" i="1"/>
  <c r="U393" i="1"/>
  <c r="V393" i="1"/>
  <c r="W393" i="1"/>
  <c r="X393" i="1"/>
  <c r="Z393" i="1"/>
  <c r="AA393" i="1"/>
  <c r="AB393" i="1"/>
  <c r="Q394" i="1"/>
  <c r="U394" i="1"/>
  <c r="V394" i="1"/>
  <c r="W394" i="1"/>
  <c r="X394" i="1"/>
  <c r="Z394" i="1"/>
  <c r="AA394" i="1"/>
  <c r="AB394" i="1"/>
  <c r="Q395" i="1"/>
  <c r="U395" i="1"/>
  <c r="V395" i="1"/>
  <c r="W395" i="1"/>
  <c r="X395" i="1"/>
  <c r="Z395" i="1"/>
  <c r="AA395" i="1"/>
  <c r="AB395" i="1"/>
  <c r="Q396" i="1"/>
  <c r="U396" i="1"/>
  <c r="V396" i="1"/>
  <c r="W396" i="1"/>
  <c r="X396" i="1"/>
  <c r="Z396" i="1"/>
  <c r="AA396" i="1"/>
  <c r="AB396" i="1"/>
  <c r="Q397" i="1"/>
  <c r="U397" i="1"/>
  <c r="V397" i="1"/>
  <c r="W397" i="1"/>
  <c r="X397" i="1"/>
  <c r="Z397" i="1"/>
  <c r="AA397" i="1"/>
  <c r="AB397" i="1"/>
  <c r="Q398" i="1"/>
  <c r="U398" i="1"/>
  <c r="V398" i="1"/>
  <c r="W398" i="1"/>
  <c r="X398" i="1"/>
  <c r="Z398" i="1"/>
  <c r="AA398" i="1"/>
  <c r="AB398" i="1"/>
  <c r="Q399" i="1"/>
  <c r="U399" i="1"/>
  <c r="V399" i="1"/>
  <c r="W399" i="1"/>
  <c r="X399" i="1"/>
  <c r="Z399" i="1"/>
  <c r="AA399" i="1"/>
  <c r="AB399" i="1"/>
  <c r="Q400" i="1"/>
  <c r="U400" i="1"/>
  <c r="V400" i="1"/>
  <c r="W400" i="1"/>
  <c r="X400" i="1"/>
  <c r="Z400" i="1"/>
  <c r="AA400" i="1"/>
  <c r="AB400" i="1"/>
  <c r="Q401" i="1"/>
  <c r="U401" i="1"/>
  <c r="V401" i="1"/>
  <c r="W401" i="1"/>
  <c r="X401" i="1"/>
  <c r="Z401" i="1"/>
  <c r="AA401" i="1"/>
  <c r="AB401" i="1"/>
  <c r="Q402" i="1"/>
  <c r="U402" i="1"/>
  <c r="V402" i="1"/>
  <c r="W402" i="1"/>
  <c r="X402" i="1"/>
  <c r="Z402" i="1"/>
  <c r="AA402" i="1"/>
  <c r="AB402" i="1"/>
  <c r="Q403" i="1"/>
  <c r="U403" i="1"/>
  <c r="V403" i="1"/>
  <c r="W403" i="1"/>
  <c r="X403" i="1"/>
  <c r="Z403" i="1"/>
  <c r="AA403" i="1"/>
  <c r="AB403" i="1"/>
  <c r="Q404" i="1"/>
  <c r="U404" i="1"/>
  <c r="V404" i="1"/>
  <c r="W404" i="1"/>
  <c r="X404" i="1"/>
  <c r="Z404" i="1"/>
  <c r="AA404" i="1"/>
  <c r="AB404" i="1"/>
  <c r="Q405" i="1"/>
  <c r="U405" i="1"/>
  <c r="V405" i="1"/>
  <c r="W405" i="1"/>
  <c r="X405" i="1"/>
  <c r="Z405" i="1"/>
  <c r="AA405" i="1"/>
  <c r="AB405" i="1"/>
  <c r="Q406" i="1"/>
  <c r="U406" i="1"/>
  <c r="V406" i="1"/>
  <c r="W406" i="1"/>
  <c r="X406" i="1"/>
  <c r="Z406" i="1"/>
  <c r="AA406" i="1"/>
  <c r="AB406" i="1"/>
  <c r="Q407" i="1"/>
  <c r="U407" i="1"/>
  <c r="V407" i="1"/>
  <c r="W407" i="1"/>
  <c r="X407" i="1"/>
  <c r="Z407" i="1"/>
  <c r="AA407" i="1"/>
  <c r="AB407" i="1"/>
  <c r="Q408" i="1"/>
  <c r="U408" i="1"/>
  <c r="V408" i="1"/>
  <c r="W408" i="1"/>
  <c r="X408" i="1"/>
  <c r="Z408" i="1"/>
  <c r="AA408" i="1"/>
  <c r="AB408" i="1"/>
  <c r="Q409" i="1"/>
  <c r="U409" i="1"/>
  <c r="V409" i="1"/>
  <c r="W409" i="1"/>
  <c r="X409" i="1"/>
  <c r="Z409" i="1"/>
  <c r="AA409" i="1"/>
  <c r="AB409" i="1"/>
  <c r="Q410" i="1"/>
  <c r="U410" i="1"/>
  <c r="V410" i="1"/>
  <c r="W410" i="1"/>
  <c r="X410" i="1"/>
  <c r="Z410" i="1"/>
  <c r="AA410" i="1"/>
  <c r="AB410" i="1"/>
  <c r="Q411" i="1"/>
  <c r="U411" i="1"/>
  <c r="V411" i="1"/>
  <c r="W411" i="1"/>
  <c r="X411" i="1"/>
  <c r="Z411" i="1"/>
  <c r="AA411" i="1"/>
  <c r="AB411" i="1"/>
  <c r="Q412" i="1"/>
  <c r="U412" i="1"/>
  <c r="V412" i="1"/>
  <c r="W412" i="1"/>
  <c r="X412" i="1"/>
  <c r="Z412" i="1"/>
  <c r="AA412" i="1"/>
  <c r="AB412" i="1"/>
  <c r="Q413" i="1"/>
  <c r="U413" i="1"/>
  <c r="V413" i="1"/>
  <c r="W413" i="1"/>
  <c r="X413" i="1"/>
  <c r="Z413" i="1"/>
  <c r="AA413" i="1"/>
  <c r="AB413" i="1"/>
  <c r="Q414" i="1"/>
  <c r="U414" i="1"/>
  <c r="V414" i="1"/>
  <c r="W414" i="1"/>
  <c r="X414" i="1"/>
  <c r="Z414" i="1"/>
  <c r="AA414" i="1"/>
  <c r="AB414" i="1"/>
  <c r="Q415" i="1"/>
  <c r="U415" i="1"/>
  <c r="V415" i="1"/>
  <c r="W415" i="1"/>
  <c r="X415" i="1"/>
  <c r="Z415" i="1"/>
  <c r="AA415" i="1"/>
  <c r="AB415" i="1"/>
  <c r="Q416" i="1"/>
  <c r="U416" i="1"/>
  <c r="V416" i="1"/>
  <c r="W416" i="1"/>
  <c r="X416" i="1"/>
  <c r="Z416" i="1"/>
  <c r="AA416" i="1"/>
  <c r="AB416" i="1"/>
  <c r="Q417" i="1"/>
  <c r="U417" i="1"/>
  <c r="V417" i="1"/>
  <c r="W417" i="1"/>
  <c r="X417" i="1"/>
  <c r="Z417" i="1"/>
  <c r="AA417" i="1"/>
  <c r="AB417" i="1"/>
  <c r="Q418" i="1"/>
  <c r="U418" i="1"/>
  <c r="V418" i="1"/>
  <c r="W418" i="1"/>
  <c r="X418" i="1"/>
  <c r="Z418" i="1"/>
  <c r="AA418" i="1"/>
  <c r="AB418" i="1"/>
  <c r="Q419" i="1"/>
  <c r="U419" i="1"/>
  <c r="V419" i="1"/>
  <c r="W419" i="1"/>
  <c r="X419" i="1"/>
  <c r="Z419" i="1"/>
  <c r="AA419" i="1"/>
  <c r="AB419" i="1"/>
  <c r="Q420" i="1"/>
  <c r="U420" i="1"/>
  <c r="V420" i="1"/>
  <c r="W420" i="1"/>
  <c r="X420" i="1"/>
  <c r="Z420" i="1"/>
  <c r="AA420" i="1"/>
  <c r="AB420" i="1"/>
  <c r="Q421" i="1"/>
  <c r="U421" i="1"/>
  <c r="V421" i="1"/>
  <c r="W421" i="1"/>
  <c r="X421" i="1"/>
  <c r="Z421" i="1"/>
  <c r="AA421" i="1"/>
  <c r="AB421" i="1"/>
  <c r="Q422" i="1"/>
  <c r="U422" i="1"/>
  <c r="V422" i="1"/>
  <c r="W422" i="1"/>
  <c r="X422" i="1"/>
  <c r="Z422" i="1"/>
  <c r="AA422" i="1"/>
  <c r="AB422" i="1"/>
  <c r="Q423" i="1"/>
  <c r="U423" i="1"/>
  <c r="V423" i="1"/>
  <c r="W423" i="1"/>
  <c r="X423" i="1"/>
  <c r="Z423" i="1"/>
  <c r="AA423" i="1"/>
  <c r="AB423" i="1"/>
  <c r="Q424" i="1"/>
  <c r="U424" i="1"/>
  <c r="V424" i="1"/>
  <c r="W424" i="1"/>
  <c r="X424" i="1"/>
  <c r="Z424" i="1"/>
  <c r="AA424" i="1"/>
  <c r="AB424" i="1"/>
  <c r="Q425" i="1"/>
  <c r="U425" i="1"/>
  <c r="V425" i="1"/>
  <c r="W425" i="1"/>
  <c r="X425" i="1"/>
  <c r="Z425" i="1"/>
  <c r="AA425" i="1"/>
  <c r="AB425" i="1"/>
  <c r="Q426" i="1"/>
  <c r="U426" i="1"/>
  <c r="V426" i="1"/>
  <c r="W426" i="1"/>
  <c r="X426" i="1"/>
  <c r="Z426" i="1"/>
  <c r="AA426" i="1"/>
  <c r="AB426" i="1"/>
  <c r="Q427" i="1"/>
  <c r="U427" i="1"/>
  <c r="V427" i="1"/>
  <c r="W427" i="1"/>
  <c r="X427" i="1"/>
  <c r="Z427" i="1"/>
  <c r="AA427" i="1"/>
  <c r="AB427" i="1"/>
  <c r="Q428" i="1"/>
  <c r="U428" i="1"/>
  <c r="V428" i="1"/>
  <c r="W428" i="1"/>
  <c r="X428" i="1"/>
  <c r="Z428" i="1"/>
  <c r="AA428" i="1"/>
  <c r="AB428" i="1"/>
  <c r="Q429" i="1"/>
  <c r="U429" i="1"/>
  <c r="V429" i="1"/>
  <c r="W429" i="1"/>
  <c r="X429" i="1"/>
  <c r="Z429" i="1"/>
  <c r="AA429" i="1"/>
  <c r="AB429" i="1"/>
  <c r="Q430" i="1"/>
  <c r="U430" i="1"/>
  <c r="V430" i="1"/>
  <c r="W430" i="1"/>
  <c r="X430" i="1"/>
  <c r="Z430" i="1"/>
  <c r="AA430" i="1"/>
  <c r="AB430" i="1"/>
  <c r="Q431" i="1"/>
  <c r="U431" i="1"/>
  <c r="V431" i="1"/>
  <c r="W431" i="1"/>
  <c r="X431" i="1"/>
  <c r="Z431" i="1"/>
  <c r="AA431" i="1"/>
  <c r="AB431" i="1"/>
  <c r="Q432" i="1"/>
  <c r="U432" i="1"/>
  <c r="V432" i="1"/>
  <c r="W432" i="1"/>
  <c r="X432" i="1"/>
  <c r="Z432" i="1"/>
  <c r="AA432" i="1"/>
  <c r="AB432" i="1"/>
  <c r="Q433" i="1"/>
  <c r="U433" i="1"/>
  <c r="V433" i="1"/>
  <c r="W433" i="1"/>
  <c r="X433" i="1"/>
  <c r="Z433" i="1"/>
  <c r="AA433" i="1"/>
  <c r="AB433" i="1"/>
  <c r="Q434" i="1"/>
  <c r="U434" i="1"/>
  <c r="V434" i="1"/>
  <c r="W434" i="1"/>
  <c r="X434" i="1"/>
  <c r="Z434" i="1"/>
  <c r="AA434" i="1"/>
  <c r="AB434" i="1"/>
  <c r="Q435" i="1"/>
  <c r="U435" i="1"/>
  <c r="V435" i="1"/>
  <c r="W435" i="1"/>
  <c r="X435" i="1"/>
  <c r="Z435" i="1"/>
  <c r="AA435" i="1"/>
  <c r="AB435" i="1"/>
  <c r="Q436" i="1"/>
  <c r="U436" i="1"/>
  <c r="V436" i="1"/>
  <c r="W436" i="1"/>
  <c r="X436" i="1"/>
  <c r="Z436" i="1"/>
  <c r="AA436" i="1"/>
  <c r="AB436" i="1"/>
  <c r="Q437" i="1"/>
  <c r="U437" i="1"/>
  <c r="V437" i="1"/>
  <c r="W437" i="1"/>
  <c r="X437" i="1"/>
  <c r="Z437" i="1"/>
  <c r="AA437" i="1"/>
  <c r="AB437" i="1"/>
  <c r="Q438" i="1"/>
  <c r="U438" i="1"/>
  <c r="V438" i="1"/>
  <c r="W438" i="1"/>
  <c r="X438" i="1"/>
  <c r="Z438" i="1"/>
  <c r="AA438" i="1"/>
  <c r="AB438" i="1"/>
  <c r="Q439" i="1"/>
  <c r="U439" i="1"/>
  <c r="V439" i="1"/>
  <c r="W439" i="1"/>
  <c r="X439" i="1"/>
  <c r="Z439" i="1"/>
  <c r="AA439" i="1"/>
  <c r="AB439" i="1"/>
  <c r="Q440" i="1"/>
  <c r="U440" i="1"/>
  <c r="V440" i="1"/>
  <c r="W440" i="1"/>
  <c r="X440" i="1"/>
  <c r="Z440" i="1"/>
  <c r="AA440" i="1"/>
  <c r="AB440" i="1"/>
  <c r="Q441" i="1"/>
  <c r="U441" i="1"/>
  <c r="V441" i="1"/>
  <c r="W441" i="1"/>
  <c r="X441" i="1"/>
  <c r="Z441" i="1"/>
  <c r="AA441" i="1"/>
  <c r="AB441" i="1"/>
  <c r="Q442" i="1"/>
  <c r="U442" i="1"/>
  <c r="V442" i="1"/>
  <c r="W442" i="1"/>
  <c r="X442" i="1"/>
  <c r="Z442" i="1"/>
  <c r="AA442" i="1"/>
  <c r="AB442" i="1"/>
  <c r="Q443" i="1"/>
  <c r="U443" i="1"/>
  <c r="V443" i="1"/>
  <c r="W443" i="1"/>
  <c r="X443" i="1"/>
  <c r="Z443" i="1"/>
  <c r="AA443" i="1"/>
  <c r="AB443" i="1"/>
  <c r="Q444" i="1"/>
  <c r="U444" i="1"/>
  <c r="V444" i="1"/>
  <c r="W444" i="1"/>
  <c r="X444" i="1"/>
  <c r="Z444" i="1"/>
  <c r="AA444" i="1"/>
  <c r="AB444" i="1"/>
  <c r="Q445" i="1"/>
  <c r="U445" i="1"/>
  <c r="V445" i="1"/>
  <c r="W445" i="1"/>
  <c r="X445" i="1"/>
  <c r="Z445" i="1"/>
  <c r="AA445" i="1"/>
  <c r="AB445" i="1"/>
  <c r="Q446" i="1"/>
  <c r="U446" i="1"/>
  <c r="V446" i="1"/>
  <c r="W446" i="1"/>
  <c r="X446" i="1"/>
  <c r="Z446" i="1"/>
  <c r="AA446" i="1"/>
  <c r="AB446" i="1"/>
  <c r="Q447" i="1"/>
  <c r="U447" i="1"/>
  <c r="V447" i="1"/>
  <c r="W447" i="1"/>
  <c r="X447" i="1"/>
  <c r="Z447" i="1"/>
  <c r="AA447" i="1"/>
  <c r="AB447" i="1"/>
  <c r="Q448" i="1"/>
  <c r="U448" i="1"/>
  <c r="V448" i="1"/>
  <c r="W448" i="1"/>
  <c r="X448" i="1"/>
  <c r="Z448" i="1"/>
  <c r="AA448" i="1"/>
  <c r="AB448" i="1"/>
  <c r="Q449" i="1"/>
  <c r="U449" i="1"/>
  <c r="V449" i="1"/>
  <c r="W449" i="1"/>
  <c r="X449" i="1"/>
  <c r="Z449" i="1"/>
  <c r="AA449" i="1"/>
  <c r="AB449" i="1"/>
  <c r="Q450" i="1"/>
  <c r="U450" i="1"/>
  <c r="V450" i="1"/>
  <c r="W450" i="1"/>
  <c r="X450" i="1"/>
  <c r="Z450" i="1"/>
  <c r="AA450" i="1"/>
  <c r="AB450" i="1"/>
  <c r="Q451" i="1"/>
  <c r="U451" i="1"/>
  <c r="V451" i="1"/>
  <c r="W451" i="1"/>
  <c r="X451" i="1"/>
  <c r="Z451" i="1"/>
  <c r="AA451" i="1"/>
  <c r="AB451" i="1"/>
  <c r="Q452" i="1"/>
  <c r="U452" i="1"/>
  <c r="V452" i="1"/>
  <c r="W452" i="1"/>
  <c r="X452" i="1"/>
  <c r="Z452" i="1"/>
  <c r="AA452" i="1"/>
  <c r="AB452" i="1"/>
  <c r="Q453" i="1"/>
  <c r="U453" i="1"/>
  <c r="V453" i="1"/>
  <c r="W453" i="1"/>
  <c r="X453" i="1"/>
  <c r="Z453" i="1"/>
  <c r="AA453" i="1"/>
  <c r="AB453" i="1"/>
  <c r="Q454" i="1"/>
  <c r="U454" i="1"/>
  <c r="V454" i="1"/>
  <c r="W454" i="1"/>
  <c r="X454" i="1"/>
  <c r="Z454" i="1"/>
  <c r="AA454" i="1"/>
  <c r="AB454" i="1"/>
  <c r="Q455" i="1"/>
  <c r="U455" i="1"/>
  <c r="V455" i="1"/>
  <c r="W455" i="1"/>
  <c r="X455" i="1"/>
  <c r="Z455" i="1"/>
  <c r="AA455" i="1"/>
  <c r="AB455" i="1"/>
  <c r="Q456" i="1"/>
  <c r="U456" i="1"/>
  <c r="V456" i="1"/>
  <c r="W456" i="1"/>
  <c r="X456" i="1"/>
  <c r="Z456" i="1"/>
  <c r="AA456" i="1"/>
  <c r="AB456" i="1"/>
  <c r="Q457" i="1"/>
  <c r="U457" i="1"/>
  <c r="V457" i="1"/>
  <c r="W457" i="1"/>
  <c r="X457" i="1"/>
  <c r="Z457" i="1"/>
  <c r="AA457" i="1"/>
  <c r="AB457" i="1"/>
  <c r="Q458" i="1"/>
  <c r="U458" i="1"/>
  <c r="V458" i="1"/>
  <c r="W458" i="1"/>
  <c r="X458" i="1"/>
  <c r="Z458" i="1"/>
  <c r="AA458" i="1"/>
  <c r="AB458" i="1"/>
  <c r="Q459" i="1"/>
  <c r="U459" i="1"/>
  <c r="V459" i="1"/>
  <c r="W459" i="1"/>
  <c r="X459" i="1"/>
  <c r="Z459" i="1"/>
  <c r="AA459" i="1"/>
  <c r="AB459" i="1"/>
  <c r="Q460" i="1"/>
  <c r="U460" i="1"/>
  <c r="V460" i="1"/>
  <c r="W460" i="1"/>
  <c r="X460" i="1"/>
  <c r="Z460" i="1"/>
  <c r="AA460" i="1"/>
  <c r="AB460" i="1"/>
  <c r="Q461" i="1"/>
  <c r="U461" i="1"/>
  <c r="V461" i="1"/>
  <c r="W461" i="1"/>
  <c r="X461" i="1"/>
  <c r="Z461" i="1"/>
  <c r="AA461" i="1"/>
  <c r="AB461" i="1"/>
  <c r="Q462" i="1"/>
  <c r="U462" i="1"/>
  <c r="V462" i="1"/>
  <c r="W462" i="1"/>
  <c r="X462" i="1"/>
  <c r="Z462" i="1"/>
  <c r="AA462" i="1"/>
  <c r="AB462" i="1"/>
  <c r="Q463" i="1"/>
  <c r="U463" i="1"/>
  <c r="V463" i="1"/>
  <c r="W463" i="1"/>
  <c r="X463" i="1"/>
  <c r="Z463" i="1"/>
  <c r="AA463" i="1"/>
  <c r="AB463" i="1"/>
  <c r="Q464" i="1"/>
  <c r="U464" i="1"/>
  <c r="V464" i="1"/>
  <c r="W464" i="1"/>
  <c r="X464" i="1"/>
  <c r="Z464" i="1"/>
  <c r="AA464" i="1"/>
  <c r="AB464" i="1"/>
  <c r="Q465" i="1"/>
  <c r="U465" i="1"/>
  <c r="V465" i="1"/>
  <c r="W465" i="1"/>
  <c r="X465" i="1"/>
  <c r="Z465" i="1"/>
  <c r="AA465" i="1"/>
  <c r="AB465" i="1"/>
  <c r="Q466" i="1"/>
  <c r="U466" i="1"/>
  <c r="V466" i="1"/>
  <c r="W466" i="1"/>
  <c r="X466" i="1"/>
  <c r="Z466" i="1"/>
  <c r="AA466" i="1"/>
  <c r="AB466" i="1"/>
  <c r="Q467" i="1"/>
  <c r="U467" i="1"/>
  <c r="V467" i="1"/>
  <c r="W467" i="1"/>
  <c r="X467" i="1"/>
  <c r="Z467" i="1"/>
  <c r="AA467" i="1"/>
  <c r="AB467" i="1"/>
  <c r="Q468" i="1"/>
  <c r="U468" i="1"/>
  <c r="V468" i="1"/>
  <c r="W468" i="1"/>
  <c r="X468" i="1"/>
  <c r="Z468" i="1"/>
  <c r="AA468" i="1"/>
  <c r="AB468" i="1"/>
  <c r="Q469" i="1"/>
  <c r="U469" i="1"/>
  <c r="V469" i="1"/>
  <c r="W469" i="1"/>
  <c r="X469" i="1"/>
  <c r="Z469" i="1"/>
  <c r="AA469" i="1"/>
  <c r="AB469" i="1"/>
  <c r="Q470" i="1"/>
  <c r="U470" i="1"/>
  <c r="V470" i="1"/>
  <c r="W470" i="1"/>
  <c r="X470" i="1"/>
  <c r="Z470" i="1"/>
  <c r="AA470" i="1"/>
  <c r="AB470" i="1"/>
  <c r="Q471" i="1"/>
  <c r="U471" i="1"/>
  <c r="V471" i="1"/>
  <c r="W471" i="1"/>
  <c r="X471" i="1"/>
  <c r="Z471" i="1"/>
  <c r="AA471" i="1"/>
  <c r="AB471" i="1"/>
  <c r="Q472" i="1"/>
  <c r="U472" i="1"/>
  <c r="V472" i="1"/>
  <c r="W472" i="1"/>
  <c r="X472" i="1"/>
  <c r="Z472" i="1"/>
  <c r="AA472" i="1"/>
  <c r="AB472" i="1"/>
  <c r="Q473" i="1"/>
  <c r="U473" i="1"/>
  <c r="V473" i="1"/>
  <c r="W473" i="1"/>
  <c r="X473" i="1"/>
  <c r="Z473" i="1"/>
  <c r="AA473" i="1"/>
  <c r="AB473" i="1"/>
  <c r="Q474" i="1"/>
  <c r="U474" i="1"/>
  <c r="V474" i="1"/>
  <c r="W474" i="1"/>
  <c r="X474" i="1"/>
  <c r="Z474" i="1"/>
  <c r="AA474" i="1"/>
  <c r="AB474" i="1"/>
  <c r="Q475" i="1"/>
  <c r="U475" i="1"/>
  <c r="V475" i="1"/>
  <c r="W475" i="1"/>
  <c r="X475" i="1"/>
  <c r="Z475" i="1"/>
  <c r="AA475" i="1"/>
  <c r="AB475" i="1"/>
  <c r="Q476" i="1"/>
  <c r="U476" i="1"/>
  <c r="V476" i="1"/>
  <c r="W476" i="1"/>
  <c r="X476" i="1"/>
  <c r="Z476" i="1"/>
  <c r="AA476" i="1"/>
  <c r="AB476" i="1"/>
  <c r="Q477" i="1"/>
  <c r="U477" i="1"/>
  <c r="V477" i="1"/>
  <c r="W477" i="1"/>
  <c r="X477" i="1"/>
  <c r="Z477" i="1"/>
  <c r="AA477" i="1"/>
  <c r="AB477" i="1"/>
  <c r="Q478" i="1"/>
  <c r="U478" i="1"/>
  <c r="V478" i="1"/>
  <c r="W478" i="1"/>
  <c r="X478" i="1"/>
  <c r="Z478" i="1"/>
  <c r="AA478" i="1"/>
  <c r="AB478" i="1"/>
  <c r="Q479" i="1"/>
  <c r="U479" i="1"/>
  <c r="V479" i="1"/>
  <c r="W479" i="1"/>
  <c r="X479" i="1"/>
  <c r="Z479" i="1"/>
  <c r="AA479" i="1"/>
  <c r="AB479" i="1"/>
  <c r="Q480" i="1"/>
  <c r="U480" i="1"/>
  <c r="V480" i="1"/>
  <c r="W480" i="1"/>
  <c r="X480" i="1"/>
  <c r="Z480" i="1"/>
  <c r="AA480" i="1"/>
  <c r="AB480" i="1"/>
  <c r="Q481" i="1"/>
  <c r="U481" i="1"/>
  <c r="V481" i="1"/>
  <c r="W481" i="1"/>
  <c r="X481" i="1"/>
  <c r="Z481" i="1"/>
  <c r="AA481" i="1"/>
  <c r="AB481" i="1"/>
  <c r="Q482" i="1"/>
  <c r="U482" i="1"/>
  <c r="V482" i="1"/>
  <c r="W482" i="1"/>
  <c r="X482" i="1"/>
  <c r="Z482" i="1"/>
  <c r="AA482" i="1"/>
  <c r="AB482" i="1"/>
  <c r="Q483" i="1"/>
  <c r="U483" i="1"/>
  <c r="V483" i="1"/>
  <c r="W483" i="1"/>
  <c r="X483" i="1"/>
  <c r="Z483" i="1"/>
  <c r="AA483" i="1"/>
  <c r="AB483" i="1"/>
  <c r="Q484" i="1"/>
  <c r="U484" i="1"/>
  <c r="V484" i="1"/>
  <c r="W484" i="1"/>
  <c r="X484" i="1"/>
  <c r="Z484" i="1"/>
  <c r="AA484" i="1"/>
  <c r="AB484" i="1"/>
  <c r="Q485" i="1"/>
  <c r="U485" i="1"/>
  <c r="V485" i="1"/>
  <c r="W485" i="1"/>
  <c r="X485" i="1"/>
  <c r="Z485" i="1"/>
  <c r="AA485" i="1"/>
  <c r="AB485" i="1"/>
  <c r="Q486" i="1"/>
  <c r="U486" i="1"/>
  <c r="V486" i="1"/>
  <c r="W486" i="1"/>
  <c r="X486" i="1"/>
  <c r="Z486" i="1"/>
  <c r="AA486" i="1"/>
  <c r="AB486" i="1"/>
  <c r="Q487" i="1"/>
  <c r="U487" i="1"/>
  <c r="V487" i="1"/>
  <c r="W487" i="1"/>
  <c r="X487" i="1"/>
  <c r="Z487" i="1"/>
  <c r="AA487" i="1"/>
  <c r="AB487" i="1"/>
  <c r="Q488" i="1"/>
  <c r="U488" i="1"/>
  <c r="V488" i="1"/>
  <c r="W488" i="1"/>
  <c r="X488" i="1"/>
  <c r="Z488" i="1"/>
  <c r="AA488" i="1"/>
  <c r="AB488" i="1"/>
  <c r="Q489" i="1"/>
  <c r="U489" i="1"/>
  <c r="V489" i="1"/>
  <c r="W489" i="1"/>
  <c r="X489" i="1"/>
  <c r="Z489" i="1"/>
  <c r="AA489" i="1"/>
  <c r="AB489" i="1"/>
  <c r="Q490" i="1"/>
  <c r="U490" i="1"/>
  <c r="V490" i="1"/>
  <c r="W490" i="1"/>
  <c r="X490" i="1"/>
  <c r="Z490" i="1"/>
  <c r="AA490" i="1"/>
  <c r="AB490" i="1"/>
  <c r="Q491" i="1"/>
  <c r="U491" i="1"/>
  <c r="V491" i="1"/>
  <c r="W491" i="1"/>
  <c r="X491" i="1"/>
  <c r="Z491" i="1"/>
  <c r="AA491" i="1"/>
  <c r="AB491" i="1"/>
  <c r="Q492" i="1"/>
  <c r="U492" i="1"/>
  <c r="V492" i="1"/>
  <c r="W492" i="1"/>
  <c r="X492" i="1"/>
  <c r="Z492" i="1"/>
  <c r="AA492" i="1"/>
  <c r="AB492" i="1"/>
  <c r="Q493" i="1"/>
  <c r="U493" i="1"/>
  <c r="V493" i="1"/>
  <c r="W493" i="1"/>
  <c r="X493" i="1"/>
  <c r="Z493" i="1"/>
  <c r="AA493" i="1"/>
  <c r="AB493" i="1"/>
  <c r="Q494" i="1"/>
  <c r="U494" i="1"/>
  <c r="V494" i="1"/>
  <c r="W494" i="1"/>
  <c r="X494" i="1"/>
  <c r="Z494" i="1"/>
  <c r="AA494" i="1"/>
  <c r="AB494" i="1"/>
  <c r="Q495" i="1"/>
  <c r="U495" i="1"/>
  <c r="V495" i="1"/>
  <c r="W495" i="1"/>
  <c r="X495" i="1"/>
  <c r="Z495" i="1"/>
  <c r="AA495" i="1"/>
  <c r="AB495" i="1"/>
  <c r="Q496" i="1"/>
  <c r="U496" i="1"/>
  <c r="V496" i="1"/>
  <c r="W496" i="1"/>
  <c r="X496" i="1"/>
  <c r="Z496" i="1"/>
  <c r="AA496" i="1"/>
  <c r="AB496" i="1"/>
  <c r="Q497" i="1"/>
  <c r="U497" i="1"/>
  <c r="V497" i="1"/>
  <c r="W497" i="1"/>
  <c r="X497" i="1"/>
  <c r="Z497" i="1"/>
  <c r="AA497" i="1"/>
  <c r="AB497" i="1"/>
  <c r="Q498" i="1"/>
  <c r="U498" i="1"/>
  <c r="V498" i="1"/>
  <c r="W498" i="1"/>
  <c r="X498" i="1"/>
  <c r="Z498" i="1"/>
  <c r="AA498" i="1"/>
  <c r="AB498" i="1"/>
  <c r="Q499" i="1"/>
  <c r="U499" i="1"/>
  <c r="V499" i="1"/>
  <c r="W499" i="1"/>
  <c r="X499" i="1"/>
  <c r="Z499" i="1"/>
  <c r="AA499" i="1"/>
  <c r="AB499" i="1"/>
  <c r="Q500" i="1"/>
  <c r="U500" i="1"/>
  <c r="V500" i="1"/>
  <c r="W500" i="1"/>
  <c r="X500" i="1"/>
  <c r="Z500" i="1"/>
  <c r="AA500" i="1"/>
  <c r="AB500" i="1"/>
  <c r="Q501" i="1"/>
  <c r="U501" i="1"/>
  <c r="V501" i="1"/>
  <c r="W501" i="1"/>
  <c r="X501" i="1"/>
  <c r="Z501" i="1"/>
  <c r="AA501" i="1"/>
  <c r="AB501" i="1"/>
  <c r="Q502" i="1"/>
  <c r="U502" i="1"/>
  <c r="V502" i="1"/>
  <c r="W502" i="1"/>
  <c r="X502" i="1"/>
  <c r="Z502" i="1"/>
  <c r="AA502" i="1"/>
  <c r="AB502" i="1"/>
  <c r="Q503" i="1"/>
  <c r="U503" i="1"/>
  <c r="V503" i="1"/>
  <c r="W503" i="1"/>
  <c r="X503" i="1"/>
  <c r="Z503" i="1"/>
  <c r="AA503" i="1"/>
  <c r="AB503" i="1"/>
  <c r="Q504" i="1"/>
  <c r="U504" i="1"/>
  <c r="V504" i="1"/>
  <c r="W504" i="1"/>
  <c r="X504" i="1"/>
  <c r="Z504" i="1"/>
  <c r="AA504" i="1"/>
  <c r="AB504" i="1"/>
  <c r="Q505" i="1"/>
  <c r="U505" i="1"/>
  <c r="V505" i="1"/>
  <c r="W505" i="1"/>
  <c r="X505" i="1"/>
  <c r="Z505" i="1"/>
  <c r="AA505" i="1"/>
  <c r="AB505" i="1"/>
  <c r="Q506" i="1"/>
  <c r="U506" i="1"/>
  <c r="V506" i="1"/>
  <c r="W506" i="1"/>
  <c r="X506" i="1"/>
  <c r="Z506" i="1"/>
  <c r="AA506" i="1"/>
  <c r="AB506" i="1"/>
  <c r="Q507" i="1"/>
  <c r="U507" i="1"/>
  <c r="V507" i="1"/>
  <c r="W507" i="1"/>
  <c r="X507" i="1"/>
  <c r="Z507" i="1"/>
  <c r="AA507" i="1"/>
  <c r="AB507" i="1"/>
  <c r="Q508" i="1"/>
  <c r="U508" i="1"/>
  <c r="V508" i="1"/>
  <c r="W508" i="1"/>
  <c r="X508" i="1"/>
  <c r="Z508" i="1"/>
  <c r="AA508" i="1"/>
  <c r="AB508" i="1"/>
  <c r="Q509" i="1"/>
  <c r="U509" i="1"/>
  <c r="V509" i="1"/>
  <c r="W509" i="1"/>
  <c r="X509" i="1"/>
  <c r="Z509" i="1"/>
  <c r="AA509" i="1"/>
  <c r="AB509" i="1"/>
  <c r="Q510" i="1"/>
  <c r="U510" i="1"/>
  <c r="V510" i="1"/>
  <c r="W510" i="1"/>
  <c r="X510" i="1"/>
  <c r="Z510" i="1"/>
  <c r="AA510" i="1"/>
  <c r="AB510" i="1"/>
  <c r="Q511" i="1"/>
  <c r="U511" i="1"/>
  <c r="V511" i="1"/>
  <c r="W511" i="1"/>
  <c r="X511" i="1"/>
  <c r="Z511" i="1"/>
  <c r="AA511" i="1"/>
  <c r="AB511" i="1"/>
  <c r="Q512" i="1"/>
  <c r="U512" i="1"/>
  <c r="V512" i="1"/>
  <c r="W512" i="1"/>
  <c r="X512" i="1"/>
  <c r="Z512" i="1"/>
  <c r="AA512" i="1"/>
  <c r="AB512" i="1"/>
  <c r="Q513" i="1"/>
  <c r="U513" i="1"/>
  <c r="V513" i="1"/>
  <c r="W513" i="1"/>
  <c r="X513" i="1"/>
  <c r="Z513" i="1"/>
  <c r="AA513" i="1"/>
  <c r="AB513" i="1"/>
  <c r="Q514" i="1"/>
  <c r="U514" i="1"/>
  <c r="V514" i="1"/>
  <c r="W514" i="1"/>
  <c r="X514" i="1"/>
  <c r="Z514" i="1"/>
  <c r="AA514" i="1"/>
  <c r="AB514" i="1"/>
  <c r="Q515" i="1"/>
  <c r="U515" i="1"/>
  <c r="V515" i="1"/>
  <c r="W515" i="1"/>
  <c r="X515" i="1"/>
  <c r="Z515" i="1"/>
  <c r="AA515" i="1"/>
  <c r="AB515" i="1"/>
  <c r="Q516" i="1"/>
  <c r="U516" i="1"/>
  <c r="V516" i="1"/>
  <c r="W516" i="1"/>
  <c r="X516" i="1"/>
  <c r="Z516" i="1"/>
  <c r="AA516" i="1"/>
  <c r="AB516" i="1"/>
  <c r="Q517" i="1"/>
  <c r="U517" i="1"/>
  <c r="V517" i="1"/>
  <c r="W517" i="1"/>
  <c r="X517" i="1"/>
  <c r="Z517" i="1"/>
  <c r="AA517" i="1"/>
  <c r="AB517" i="1"/>
  <c r="Q518" i="1"/>
  <c r="U518" i="1"/>
  <c r="V518" i="1"/>
  <c r="W518" i="1"/>
  <c r="X518" i="1"/>
  <c r="Z518" i="1"/>
  <c r="AA518" i="1"/>
  <c r="AB518" i="1"/>
  <c r="Q519" i="1"/>
  <c r="U519" i="1"/>
  <c r="V519" i="1"/>
  <c r="W519" i="1"/>
  <c r="X519" i="1"/>
  <c r="Z519" i="1"/>
  <c r="AA519" i="1"/>
  <c r="AB519" i="1"/>
  <c r="Q520" i="1"/>
  <c r="U520" i="1"/>
  <c r="V520" i="1"/>
  <c r="W520" i="1"/>
  <c r="X520" i="1"/>
  <c r="Z520" i="1"/>
  <c r="AA520" i="1"/>
  <c r="AB520" i="1"/>
  <c r="Q521" i="1"/>
  <c r="U521" i="1"/>
  <c r="V521" i="1"/>
  <c r="W521" i="1"/>
  <c r="X521" i="1"/>
  <c r="Z521" i="1"/>
  <c r="AA521" i="1"/>
  <c r="AB521" i="1"/>
  <c r="Q522" i="1"/>
  <c r="U522" i="1"/>
  <c r="V522" i="1"/>
  <c r="W522" i="1"/>
  <c r="X522" i="1"/>
  <c r="Z522" i="1"/>
  <c r="AA522" i="1"/>
  <c r="AB522" i="1"/>
  <c r="Q523" i="1"/>
  <c r="U523" i="1"/>
  <c r="V523" i="1"/>
  <c r="W523" i="1"/>
  <c r="X523" i="1"/>
  <c r="Z523" i="1"/>
  <c r="AA523" i="1"/>
  <c r="AB523" i="1"/>
  <c r="Q524" i="1"/>
  <c r="U524" i="1"/>
  <c r="V524" i="1"/>
  <c r="W524" i="1"/>
  <c r="X524" i="1"/>
  <c r="Z524" i="1"/>
  <c r="AA524" i="1"/>
  <c r="AB524" i="1"/>
  <c r="Q525" i="1"/>
  <c r="U525" i="1"/>
  <c r="V525" i="1"/>
  <c r="W525" i="1"/>
  <c r="X525" i="1"/>
  <c r="Z525" i="1"/>
  <c r="AA525" i="1"/>
  <c r="AB525" i="1"/>
  <c r="Q526" i="1"/>
  <c r="U526" i="1"/>
  <c r="V526" i="1"/>
  <c r="W526" i="1"/>
  <c r="X526" i="1"/>
  <c r="Z526" i="1"/>
  <c r="AA526" i="1"/>
  <c r="AB526" i="1"/>
  <c r="Q527" i="1"/>
  <c r="U527" i="1"/>
  <c r="V527" i="1"/>
  <c r="W527" i="1"/>
  <c r="X527" i="1"/>
  <c r="Z527" i="1"/>
  <c r="AA527" i="1"/>
  <c r="AB527" i="1"/>
  <c r="Q528" i="1"/>
  <c r="U528" i="1"/>
  <c r="V528" i="1"/>
  <c r="W528" i="1"/>
  <c r="X528" i="1"/>
  <c r="Z528" i="1"/>
  <c r="AA528" i="1"/>
  <c r="AB528" i="1"/>
  <c r="Q529" i="1"/>
  <c r="U529" i="1"/>
  <c r="V529" i="1"/>
  <c r="W529" i="1"/>
  <c r="X529" i="1"/>
  <c r="Z529" i="1"/>
  <c r="AA529" i="1"/>
  <c r="AB529" i="1"/>
  <c r="Q530" i="1"/>
  <c r="U530" i="1"/>
  <c r="V530" i="1"/>
  <c r="W530" i="1"/>
  <c r="X530" i="1"/>
  <c r="Z530" i="1"/>
  <c r="AA530" i="1"/>
  <c r="AB530" i="1"/>
  <c r="Q531" i="1"/>
  <c r="U531" i="1"/>
  <c r="V531" i="1"/>
  <c r="W531" i="1"/>
  <c r="X531" i="1"/>
  <c r="Z531" i="1"/>
  <c r="AA531" i="1"/>
  <c r="AB531" i="1"/>
  <c r="Z4" i="1"/>
  <c r="AB4" i="1"/>
  <c r="U4" i="1"/>
  <c r="V4" i="1"/>
  <c r="W4" i="1"/>
  <c r="X4" i="1"/>
  <c r="H7" i="7" l="1"/>
  <c r="I7" i="7"/>
  <c r="I6" i="7"/>
  <c r="H6" i="7"/>
  <c r="H5" i="7"/>
  <c r="I5" i="7"/>
  <c r="I4" i="7"/>
</calcChain>
</file>

<file path=xl/sharedStrings.xml><?xml version="1.0" encoding="utf-8"?>
<sst xmlns="http://schemas.openxmlformats.org/spreadsheetml/2006/main" count="2313" uniqueCount="194">
  <si>
    <t>Content.Column1</t>
  </si>
  <si>
    <t>Content.Column2</t>
  </si>
  <si>
    <t>Content.Column3</t>
  </si>
  <si>
    <t>Content.Column4</t>
  </si>
  <si>
    <t>Content.Column5</t>
  </si>
  <si>
    <t>Content.Column6</t>
  </si>
  <si>
    <t>Content.Column7</t>
  </si>
  <si>
    <t>Content.Column8</t>
  </si>
  <si>
    <t>Content.Column9</t>
  </si>
  <si>
    <t>Content.Column10</t>
  </si>
  <si>
    <t>Content.Column11</t>
  </si>
  <si>
    <t>Content.Column12</t>
  </si>
  <si>
    <t>Content.Column13</t>
  </si>
  <si>
    <t>Content.Column14</t>
  </si>
  <si>
    <t>Content.Column15</t>
  </si>
  <si>
    <t>total</t>
  </si>
  <si>
    <t>Public</t>
  </si>
  <si>
    <t>public</t>
  </si>
  <si>
    <t>Private</t>
  </si>
  <si>
    <t>Code</t>
  </si>
  <si>
    <t>Local Authority County</t>
  </si>
  <si>
    <t>Full-time employees</t>
  </si>
  <si>
    <t>Part-time employees</t>
  </si>
  <si>
    <t>Total Employees</t>
  </si>
  <si>
    <t>Total Employment</t>
  </si>
  <si>
    <t>year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</si>
  <si>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</si>
  <si>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</si>
  <si>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</si>
  <si>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</si>
  <si>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</si>
  <si>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</si>
  <si>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</si>
  <si>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</si>
  <si>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</si>
  <si>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</si>
  <si>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</si>
  <si>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</si>
  <si>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</si>
  <si>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</si>
  <si>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</si>
  <si>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</si>
  <si>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</si>
  <si>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</si>
  <si>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</si>
  <si>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</si>
  <si>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</si>
  <si>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</si>
  <si>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</si>
  <si>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</si>
  <si>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</si>
  <si>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</si>
  <si>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</si>
  <si>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</si>
  <si>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</si>
  <si>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</si>
  <si>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</si>
  <si>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</si>
  <si>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</si>
  <si>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</si>
  <si>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</si>
  <si>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</si>
  <si>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</si>
  <si>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</si>
  <si>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</si>
  <si>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</si>
  <si>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</si>
  <si>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</si>
  <si>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</si>
  <si>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</si>
  <si>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</si>
  <si>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</si>
  <si>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</si>
  <si>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</si>
  <si>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</si>
  <si>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</si>
  <si>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</si>
  <si>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</si>
  <si>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</si>
  <si>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</si>
  <si>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</si>
  <si>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</si>
  <si>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</si>
  <si>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</si>
  <si>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</si>
  <si>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</si>
  <si>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</si>
  <si>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</si>
  <si>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</si>
  <si>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</si>
  <si>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</si>
  <si>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</si>
  <si>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E13000001</t>
  </si>
  <si>
    <t>Inner London</t>
  </si>
  <si>
    <t>E13000002</t>
  </si>
  <si>
    <t>Outer London</t>
  </si>
  <si>
    <t>E12000001</t>
  </si>
  <si>
    <t>North East</t>
  </si>
  <si>
    <t>E12000002</t>
  </si>
  <si>
    <t>North West</t>
  </si>
  <si>
    <t>E12000003</t>
  </si>
  <si>
    <t>Yorkshire and The Humber</t>
  </si>
  <si>
    <t>E12000004</t>
  </si>
  <si>
    <t>East Midlands</t>
  </si>
  <si>
    <t>E12000005</t>
  </si>
  <si>
    <t>West Midlands</t>
  </si>
  <si>
    <t>E12000006</t>
  </si>
  <si>
    <t>East</t>
  </si>
  <si>
    <t>E12000007</t>
  </si>
  <si>
    <t>London</t>
  </si>
  <si>
    <t>E12000008</t>
  </si>
  <si>
    <t>South East</t>
  </si>
  <si>
    <t>E12000009</t>
  </si>
  <si>
    <t>South West</t>
  </si>
  <si>
    <t>W92000004</t>
  </si>
  <si>
    <t>Wales</t>
  </si>
  <si>
    <t>S92000003</t>
  </si>
  <si>
    <t>Scotland</t>
  </si>
  <si>
    <t>E92000001</t>
  </si>
  <si>
    <t>England</t>
  </si>
  <si>
    <t>K03000001</t>
  </si>
  <si>
    <t>Great Britain</t>
  </si>
  <si>
    <t>Total_FT_Employees</t>
  </si>
  <si>
    <t>Total_PT_Employees</t>
  </si>
  <si>
    <t>Total_Employment</t>
  </si>
  <si>
    <t>Public_FT_employees</t>
  </si>
  <si>
    <t>Public_PT_employees</t>
  </si>
  <si>
    <t>Private_FT_employees</t>
  </si>
  <si>
    <t>Private_PT_employees</t>
  </si>
  <si>
    <t>Total</t>
  </si>
  <si>
    <t>Year</t>
  </si>
  <si>
    <t>Public_Tot_employees</t>
  </si>
  <si>
    <t>Public_Tot_employment</t>
  </si>
  <si>
    <t>Private_Tot_employees</t>
  </si>
  <si>
    <t>Private_Tot_employment</t>
  </si>
  <si>
    <t>Total_Tot_employees</t>
  </si>
  <si>
    <t>Overview:</t>
  </si>
  <si>
    <t>Structure:</t>
  </si>
  <si>
    <t xml:space="preserve">  - Region code and name</t>
  </si>
  <si>
    <t xml:space="preserve">  - Year</t>
  </si>
  <si>
    <t xml:space="preserve">  - Public and private sector employment (FT, PT, total)</t>
  </si>
  <si>
    <t xml:space="preserve">  - Total employment and employee counts</t>
  </si>
  <si>
    <t>Cleaning Steps:</t>
  </si>
  <si>
    <t>This dataset contains employment statistics across UK regions and boroughs from 2009 to 2019, segmented by public and private sectors, and by full-time and part-time employment.</t>
  </si>
  <si>
    <t xml:space="preserve">   - Each sheet contained employment data by region and sector.</t>
  </si>
  <si>
    <t xml:space="preserve">   - Removed empty rows, columns, and cells.</t>
  </si>
  <si>
    <t xml:space="preserve">   - Deleted duplicate rows to ensure uniqueness.</t>
  </si>
  <si>
    <t xml:space="preserve">   - Standardized column headers for clarity and consistency.</t>
  </si>
  <si>
    <t xml:space="preserve">   - Converted employment figures from decimal format to actual counts using:</t>
  </si>
  <si>
    <t xml:space="preserve">     ```</t>
  </si>
  <si>
    <t xml:space="preserve">   - Changed data type of employment columns to **Number** for analysis compatibility.</t>
  </si>
  <si>
    <t xml:space="preserve">   - Ensured all key columns (e.g., public/private totals, full-time/part-time splits) were present and correctly aligned.</t>
  </si>
  <si>
    <t xml:space="preserve">   - Original data was split across multiple sheets by year (2009, 2010, 2011,...).</t>
  </si>
  <si>
    <t xml:space="preserve">Title: </t>
  </si>
  <si>
    <t>Workplace Employment Data of Borough's in UK</t>
  </si>
  <si>
    <t>Source:</t>
  </si>
  <si>
    <t xml:space="preserve"> Original dataset provided by (https://data.london.gov.uk/dataset/workplace-employment-by-publicprivate-sector-borough-29j6q/), cleaned and validated by Lokesh</t>
  </si>
  <si>
    <t>1. Each row represents a unique combination of region and year.</t>
  </si>
  <si>
    <t>2. Columns include:</t>
  </si>
  <si>
    <t>1. Source Structure:</t>
  </si>
  <si>
    <t>2. Year Consolidation:</t>
  </si>
  <si>
    <t xml:space="preserve">   - Used 'Power Query' to combine all sheets into a single unified table.</t>
  </si>
  <si>
    <t xml:space="preserve">   - Added a 'year' column to each sheet to preserve temporal context.</t>
  </si>
  <si>
    <t>3. Structural Cleanup:</t>
  </si>
  <si>
    <t>4. Data Transformation:</t>
  </si>
  <si>
    <t>5. Validation Prep:</t>
  </si>
  <si>
    <t>Prepared by:</t>
  </si>
  <si>
    <t>Dharani Kishori</t>
  </si>
  <si>
    <t xml:space="preserve">Date: </t>
  </si>
  <si>
    <t>Total employment_Validation(private employment+public employment )</t>
  </si>
  <si>
    <t>Public_Tot_emp_validation(PT+FT)</t>
  </si>
  <si>
    <t>Total_employees_validation</t>
  </si>
  <si>
    <t>Private_Tot_emp_validation(PT+FT)</t>
  </si>
  <si>
    <t>Validation Check</t>
  </si>
  <si>
    <t>OK count</t>
  </si>
  <si>
    <t>Mismatch Count</t>
  </si>
  <si>
    <t>Column name</t>
  </si>
  <si>
    <t>Sector</t>
  </si>
  <si>
    <t>Employment type</t>
  </si>
  <si>
    <t xml:space="preserve">   - Create a column for each validation check</t>
  </si>
  <si>
    <t xml:space="preserve">   - Use conditional formatting to highlight mismatches.</t>
  </si>
  <si>
    <t xml:space="preserve">   - Add a summary count of "OK" vs "Mismatch" for each check.</t>
  </si>
  <si>
    <t>Row Labels</t>
  </si>
  <si>
    <t>Grand Total</t>
  </si>
  <si>
    <t>Sum of Total_Employment</t>
  </si>
  <si>
    <t xml:space="preserve">  =ROUND(CELL * 1000, 0)</t>
  </si>
  <si>
    <t xml:space="preserve">  -  Can use formula  " "     =TEXT(VALUE(cell)*1000,"#,##0") " " if wanted to separate thousands.</t>
  </si>
  <si>
    <t>Total 'Total_Employment' by 'Year' for 'Local Authority County' 'Great Britain'</t>
  </si>
  <si>
    <t>Sum of Public_Tot_employment</t>
  </si>
  <si>
    <t>Sum of Private_Tot_employment</t>
  </si>
  <si>
    <t>Values</t>
  </si>
  <si>
    <t>''Public_Tot_employment' and 'Private_Tot_employment' for 'Local Authority County' 'Great Britain'</t>
  </si>
  <si>
    <t>Sum of OK count</t>
  </si>
  <si>
    <t>Sum of Mismatch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</si>
</sst>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8" x14ac:knownFonts="1"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sz val="11"/>
      <color rgb="FF000000"/>
      <name val="Aptos Narrow"/>
      <family val="2"/>
    </font>
    <font>
      <sz val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b/>
      <sz val="11"/>
      <color rgb="FF000000"/>
      <name val="Calibri"/>
      <family val="2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i/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42"/>
      </patternFill>
    </fill>
    <fill>
      <patternFill patternType="solid">
        <fgColor indexed="45"/>
        <bgColor indexed="45"/>
      </patternFill>
    </fill>
    <fill>
      <patternFill patternType="solid">
        <fgColor indexed="22"/>
        <bgColor indexed="22"/>
      </patternFill>
    </fill>
    <fill>
      <patternFill patternType="solid">
        <fgColor rgb="FFF2CEEF"/>
        <bgColor rgb="FFF2CEEF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indexed="42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</borders>
  <cellStyleXfs count="17">
    <xf numFmtId="0" fontId="0" fillId="0" borderId="0"/>
    <xf numFmtId="0" fontId="6" fillId="2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0"/>
    <xf numFmtId="0" fontId="8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9" fillId="0" borderId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5" fillId="8" borderId="2" applyNumberFormat="0" applyAlignment="0" applyProtection="0"/>
  </cellStyleXfs>
  <cellXfs count="41">
    <xf numFmtId="0" fontId="0" fillId="0" borderId="0" xfId="0"/>
    <xf numFmtId="0" fontId="5" fillId="4" borderId="0" xfId="3" applyFont="1"/>
    <xf numFmtId="0" fontId="5" fillId="2" borderId="0" xfId="1" applyFont="1"/>
    <xf numFmtId="0" fontId="5" fillId="3" borderId="0" xfId="2" applyFont="1" applyFill="1"/>
    <xf numFmtId="0" fontId="5" fillId="4" borderId="0" xfId="3" applyFont="1" applyAlignment="1">
      <alignment vertical="center" wrapText="1"/>
    </xf>
    <xf numFmtId="0" fontId="5" fillId="2" borderId="0" xfId="1" applyFont="1" applyAlignment="1">
      <alignment horizontal="left" wrapText="1"/>
    </xf>
    <xf numFmtId="0" fontId="6" fillId="4" borderId="0" xfId="3"/>
    <xf numFmtId="164" fontId="6" fillId="4" borderId="1" xfId="3" applyNumberFormat="1" applyBorder="1"/>
    <xf numFmtId="0" fontId="3" fillId="6" borderId="0" xfId="14"/>
    <xf numFmtId="0" fontId="3" fillId="7" borderId="0" xfId="15"/>
    <xf numFmtId="0" fontId="6" fillId="2" borderId="0" xfId="1"/>
    <xf numFmtId="0" fontId="12" fillId="2" borderId="0" xfId="1" applyFont="1"/>
    <xf numFmtId="2" fontId="3" fillId="6" borderId="0" xfId="14" applyNumberFormat="1"/>
    <xf numFmtId="2" fontId="3" fillId="7" borderId="0" xfId="15" applyNumberFormat="1"/>
    <xf numFmtId="2" fontId="6" fillId="2" borderId="0" xfId="1" applyNumberFormat="1"/>
    <xf numFmtId="0" fontId="14" fillId="0" borderId="0" xfId="0" applyFont="1" applyAlignment="1">
      <alignment horizontal="center"/>
    </xf>
    <xf numFmtId="14" fontId="0" fillId="0" borderId="0" xfId="0" applyNumberFormat="1"/>
    <xf numFmtId="0" fontId="15" fillId="8" borderId="3" xfId="16" applyBorder="1"/>
    <xf numFmtId="0" fontId="0" fillId="9" borderId="0" xfId="0" applyFill="1"/>
    <xf numFmtId="0" fontId="2" fillId="10" borderId="4" xfId="14" applyFont="1" applyFill="1" applyBorder="1"/>
    <xf numFmtId="0" fontId="2" fillId="10" borderId="4" xfId="15" applyFont="1" applyFill="1" applyBorder="1"/>
    <xf numFmtId="0" fontId="12" fillId="11" borderId="4" xfId="1" applyFont="1" applyFill="1" applyBorder="1"/>
    <xf numFmtId="0" fontId="16" fillId="12" borderId="0" xfId="0" applyFont="1" applyFill="1"/>
    <xf numFmtId="1" fontId="0" fillId="0" borderId="0" xfId="0" applyNumberFormat="1"/>
    <xf numFmtId="0" fontId="8" fillId="0" borderId="0" xfId="11"/>
    <xf numFmtId="1" fontId="0" fillId="9" borderId="0" xfId="0" applyNumberFormat="1" applyFill="1"/>
    <xf numFmtId="1" fontId="13" fillId="11" borderId="0" xfId="1" applyNumberFormat="1" applyFont="1" applyFill="1"/>
    <xf numFmtId="1" fontId="6" fillId="11" borderId="0" xfId="1" applyNumberFormat="1" applyFill="1"/>
    <xf numFmtId="0" fontId="0" fillId="0" borderId="0" xfId="0" pivotButton="1"/>
    <xf numFmtId="0" fontId="0" fillId="0" borderId="0" xfId="0" applyAlignment="1">
      <alignment horizontal="left"/>
    </xf>
    <xf numFmtId="1" fontId="6" fillId="2" borderId="0" xfId="1" applyNumberFormat="1" applyAlignment="1">
      <alignment horizontal="right"/>
    </xf>
    <xf numFmtId="1" fontId="13" fillId="2" borderId="0" xfId="1" applyNumberFormat="1" applyFont="1" applyAlignment="1">
      <alignment horizontal="center"/>
    </xf>
    <xf numFmtId="1" fontId="3" fillId="7" borderId="0" xfId="15" applyNumberFormat="1" applyAlignment="1">
      <alignment horizontal="right"/>
    </xf>
    <xf numFmtId="1" fontId="11" fillId="7" borderId="0" xfId="15" applyNumberFormat="1" applyFont="1" applyAlignment="1">
      <alignment horizontal="center"/>
    </xf>
    <xf numFmtId="1" fontId="3" fillId="6" borderId="0" xfId="14" applyNumberFormat="1" applyAlignment="1">
      <alignment horizontal="right"/>
    </xf>
    <xf numFmtId="1" fontId="11" fillId="6" borderId="0" xfId="14" applyNumberFormat="1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quotePrefix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" fillId="6" borderId="0" xfId="14" applyFont="1"/>
    <xf numFmtId="0" fontId="0" fillId="0" borderId="0" xfId="0" applyNumberFormat="1"/>
  </cellXfs>
  <cellStyles count="17">
    <cellStyle name="20% - Accent2" xfId="14" builtinId="34"/>
    <cellStyle name="20% - Accent3" xfId="1" builtinId="38" customBuiltin="1"/>
    <cellStyle name="20% - Accent4" xfId="15" builtinId="42"/>
    <cellStyle name="20% - Accent5" xfId="2" builtinId="46" customBuiltin="1"/>
    <cellStyle name="60% - Accent2" xfId="3" builtinId="36" customBuiltin="1"/>
    <cellStyle name="Check Cell" xfId="16" builtinId="23"/>
    <cellStyle name="Comma 2" xfId="6" xr:uid="{0985B227-B050-438E-A7D3-16DC1C3A9A97}"/>
    <cellStyle name="Comma 3" xfId="5" xr:uid="{D01EC23F-34D7-4AA2-A34E-79627768E5F7}"/>
    <cellStyle name="Data_Total" xfId="7" xr:uid="{659E3CE1-F448-4704-9C68-A534CDB85733}"/>
    <cellStyle name="Headings" xfId="8" xr:uid="{E204765E-74E8-4A9E-93DC-D50FDB0A0A76}"/>
    <cellStyle name="Hyperlink 2" xfId="9" xr:uid="{5D152FB8-F198-415C-9999-29AC51635100}"/>
    <cellStyle name="Normal" xfId="0" builtinId="0" customBuiltin="1"/>
    <cellStyle name="Normal 2" xfId="10" xr:uid="{5059A2F8-2036-4BC9-AA60-EDA15821BAA2}"/>
    <cellStyle name="Normal 3" xfId="11" xr:uid="{66B383E3-6F71-454E-A724-358897EBE3A9}"/>
    <cellStyle name="Normal 4" xfId="4" xr:uid="{A9210016-F72C-4625-A1A2-6E75C713185C}"/>
    <cellStyle name="Row_Headings" xfId="12" xr:uid="{B4453638-4100-48E9-96B2-5528EDBAC565}"/>
    <cellStyle name="Warnings" xfId="13" xr:uid="{7C189F68-CFBF-4890-AB91-8CFB9A61C72B}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alignment horizontal="right" vertical="bottom" textRotation="0" wrapText="0" indent="0" justifyLastLine="0" shrinkToFit="0" readingOrder="0"/>
    </dxf>
    <dxf>
      <numFmt numFmtId="0" formatCode="General"/>
    </dxf>
    <dxf>
      <border outline="0">
        <top style="double">
          <color rgb="FF3F3F3F"/>
        </top>
      </border>
    </dxf>
    <dxf>
      <border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border outline="0">
        <bottom style="double">
          <color rgb="FF3F3F3F"/>
        </bottom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42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fill>
        <patternFill patternType="solid">
          <fgColor indexed="45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fill>
        <patternFill patternType="solid">
          <fgColor indexed="45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fill>
        <patternFill patternType="solid">
          <fgColor indexed="45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fill>
        <patternFill patternType="solid">
          <fgColor indexed="45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fill>
        <patternFill patternType="solid">
          <fgColor indexed="42"/>
          <bgColor indexed="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fill>
        <patternFill patternType="solid">
          <fgColor indexed="42"/>
          <bgColor indexed="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fill>
        <patternFill patternType="solid">
          <fgColor indexed="42"/>
          <bgColor indexed="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fill>
        <patternFill patternType="solid">
          <fgColor indexed="42"/>
          <bgColor indexed="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fill>
        <patternFill patternType="solid">
          <fgColor indexed="22"/>
          <bgColor indexed="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fill>
        <patternFill patternType="solid">
          <fgColor indexed="22"/>
          <bgColor indexed="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fill>
        <patternFill patternType="solid">
          <fgColor indexed="22"/>
          <bgColor indexed="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fill>
        <patternFill patternType="solid">
          <fgColor indexed="45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none"/>
      </font>
      <fill>
        <patternFill patternType="solid">
          <fgColor indexed="45"/>
          <bgColor indexed="4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[workplace employment Cleaned.xlsx]Pivot sheet!PivotTable1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Total</a:t>
            </a:r>
            <a:r>
              <a:rPr lang="en-US" baseline="0"/>
              <a:t> employment by Boroughs every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sheet'!$B$1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sheet'!$A$2:$A$48</c:f>
              <c:strCache>
                <c:ptCount val="46"/>
                <c:pt idx="0">
                  <c:v>Barking and Dagenham</c:v>
                </c:pt>
                <c:pt idx="1">
                  <c:v>Barnet</c:v>
                </c:pt>
                <c:pt idx="2">
                  <c:v>Bexley</c:v>
                </c:pt>
                <c:pt idx="3">
                  <c:v>Brent</c:v>
                </c:pt>
                <c:pt idx="4">
                  <c:v>Bromley</c:v>
                </c:pt>
                <c:pt idx="5">
                  <c:v>Camden</c:v>
                </c:pt>
                <c:pt idx="6">
                  <c:v>City of London</c:v>
                </c:pt>
                <c:pt idx="7">
                  <c:v>Croydon</c:v>
                </c:pt>
                <c:pt idx="8">
                  <c:v>Ealing</c:v>
                </c:pt>
                <c:pt idx="9">
                  <c:v>East</c:v>
                </c:pt>
                <c:pt idx="10">
                  <c:v>East Midlands</c:v>
                </c:pt>
                <c:pt idx="11">
                  <c:v>Enfield</c:v>
                </c:pt>
                <c:pt idx="12">
                  <c:v>Greenwich</c:v>
                </c:pt>
                <c:pt idx="13">
                  <c:v>Hackney</c:v>
                </c:pt>
                <c:pt idx="14">
                  <c:v>Hammersmith and Fulham</c:v>
                </c:pt>
                <c:pt idx="15">
                  <c:v>Haringey</c:v>
                </c:pt>
                <c:pt idx="16">
                  <c:v>Harrow</c:v>
                </c:pt>
                <c:pt idx="17">
                  <c:v>Havering</c:v>
                </c:pt>
                <c:pt idx="18">
                  <c:v>Hillingdon</c:v>
                </c:pt>
                <c:pt idx="19">
                  <c:v>Hounslow</c:v>
                </c:pt>
                <c:pt idx="20">
                  <c:v>Inner London</c:v>
                </c:pt>
                <c:pt idx="21">
                  <c:v>Islington</c:v>
                </c:pt>
                <c:pt idx="22">
                  <c:v>Kensington and Chelsea</c:v>
                </c:pt>
                <c:pt idx="23">
                  <c:v>Kingston upon Thames</c:v>
                </c:pt>
                <c:pt idx="24">
                  <c:v>Lambeth</c:v>
                </c:pt>
                <c:pt idx="25">
                  <c:v>Lewisham</c:v>
                </c:pt>
                <c:pt idx="26">
                  <c:v>London</c:v>
                </c:pt>
                <c:pt idx="27">
                  <c:v>Merton</c:v>
                </c:pt>
                <c:pt idx="28">
                  <c:v>Newham</c:v>
                </c:pt>
                <c:pt idx="29">
                  <c:v>North East</c:v>
                </c:pt>
                <c:pt idx="30">
                  <c:v>North West</c:v>
                </c:pt>
                <c:pt idx="31">
                  <c:v>Outer London</c:v>
                </c:pt>
                <c:pt idx="32">
                  <c:v>Redbridge</c:v>
                </c:pt>
                <c:pt idx="33">
                  <c:v>Richmond upon Thames</c:v>
                </c:pt>
                <c:pt idx="34">
                  <c:v>Scotland</c:v>
                </c:pt>
                <c:pt idx="35">
                  <c:v>South East</c:v>
                </c:pt>
                <c:pt idx="36">
                  <c:v>South West</c:v>
                </c:pt>
                <c:pt idx="37">
                  <c:v>Southwark</c:v>
                </c:pt>
                <c:pt idx="38">
                  <c:v>Sutton</c:v>
                </c:pt>
                <c:pt idx="39">
                  <c:v>Tower Hamlets</c:v>
                </c:pt>
                <c:pt idx="40">
                  <c:v>Wales</c:v>
                </c:pt>
                <c:pt idx="41">
                  <c:v>Waltham Forest</c:v>
                </c:pt>
                <c:pt idx="42">
                  <c:v>Wandsworth</c:v>
                </c:pt>
                <c:pt idx="43">
                  <c:v>West Midlands</c:v>
                </c:pt>
                <c:pt idx="44">
                  <c:v>Westminster</c:v>
                </c:pt>
                <c:pt idx="45">
                  <c:v>Yorkshire and The Humber</c:v>
                </c:pt>
              </c:strCache>
            </c:strRef>
          </c:cat>
          <c:val>
            <c:numRef>
              <c:f>'Pivot sheet'!$B$2:$B$48</c:f>
              <c:numCache>
                <c:formatCode>General</c:formatCode>
                <c:ptCount val="46"/>
                <c:pt idx="0">
                  <c:v>565005</c:v>
                </c:pt>
                <c:pt idx="1">
                  <c:v>1392643</c:v>
                </c:pt>
                <c:pt idx="2">
                  <c:v>784136</c:v>
                </c:pt>
                <c:pt idx="3">
                  <c:v>1250551</c:v>
                </c:pt>
                <c:pt idx="4">
                  <c:v>1172106</c:v>
                </c:pt>
                <c:pt idx="5">
                  <c:v>3730445</c:v>
                </c:pt>
                <c:pt idx="6">
                  <c:v>4803853</c:v>
                </c:pt>
                <c:pt idx="7">
                  <c:v>1328655</c:v>
                </c:pt>
                <c:pt idx="8">
                  <c:v>1392585</c:v>
                </c:pt>
                <c:pt idx="9">
                  <c:v>29415132</c:v>
                </c:pt>
                <c:pt idx="10">
                  <c:v>22640373</c:v>
                </c:pt>
                <c:pt idx="11">
                  <c:v>1114096</c:v>
                </c:pt>
                <c:pt idx="12">
                  <c:v>854269</c:v>
                </c:pt>
                <c:pt idx="13">
                  <c:v>1189110</c:v>
                </c:pt>
                <c:pt idx="14">
                  <c:v>1457297</c:v>
                </c:pt>
                <c:pt idx="15">
                  <c:v>733404</c:v>
                </c:pt>
                <c:pt idx="16">
                  <c:v>784420</c:v>
                </c:pt>
                <c:pt idx="17">
                  <c:v>880647</c:v>
                </c:pt>
                <c:pt idx="18">
                  <c:v>2098082</c:v>
                </c:pt>
                <c:pt idx="19">
                  <c:v>1630094</c:v>
                </c:pt>
                <c:pt idx="20">
                  <c:v>33176453</c:v>
                </c:pt>
                <c:pt idx="21">
                  <c:v>2342792</c:v>
                </c:pt>
                <c:pt idx="22">
                  <c:v>1410385</c:v>
                </c:pt>
                <c:pt idx="23">
                  <c:v>861412</c:v>
                </c:pt>
                <c:pt idx="24">
                  <c:v>1584950</c:v>
                </c:pt>
                <c:pt idx="25">
                  <c:v>719304</c:v>
                </c:pt>
                <c:pt idx="26">
                  <c:v>53349093</c:v>
                </c:pt>
                <c:pt idx="27">
                  <c:v>857218</c:v>
                </c:pt>
                <c:pt idx="28">
                  <c:v>1043828</c:v>
                </c:pt>
                <c:pt idx="29">
                  <c:v>11714492</c:v>
                </c:pt>
                <c:pt idx="30">
                  <c:v>35612590</c:v>
                </c:pt>
                <c:pt idx="31">
                  <c:v>20167922</c:v>
                </c:pt>
                <c:pt idx="32">
                  <c:v>820022</c:v>
                </c:pt>
                <c:pt idx="33">
                  <c:v>865551</c:v>
                </c:pt>
                <c:pt idx="34">
                  <c:v>27813734</c:v>
                </c:pt>
                <c:pt idx="35">
                  <c:v>45052011</c:v>
                </c:pt>
                <c:pt idx="36">
                  <c:v>27389892</c:v>
                </c:pt>
                <c:pt idx="37">
                  <c:v>2386099</c:v>
                </c:pt>
                <c:pt idx="38">
                  <c:v>775163</c:v>
                </c:pt>
                <c:pt idx="39">
                  <c:v>2882814</c:v>
                </c:pt>
                <c:pt idx="40">
                  <c:v>14289187</c:v>
                </c:pt>
                <c:pt idx="41">
                  <c:v>741271</c:v>
                </c:pt>
                <c:pt idx="42">
                  <c:v>1260451</c:v>
                </c:pt>
                <c:pt idx="43">
                  <c:v>27660827</c:v>
                </c:pt>
                <c:pt idx="44">
                  <c:v>7631721</c:v>
                </c:pt>
                <c:pt idx="45">
                  <c:v>26046450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A-433C-98AB-C68840C02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1961695"/>
        <c:axId val="1071958815"/>
      </c:lineChart>
      <c:catAx>
        <c:axId val="107196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958815"/>
        <c:crosses val="autoZero"/>
        <c:auto val="1"/>
        <c:lblAlgn val="ctr"/>
        <c:lblOffset val="100"/>
        <c:noMultiLvlLbl val="0"/>
      </c:catAx>
      <c:valAx>
        <c:axId val="107195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96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'Total_Employment' by 'Year' for 'Local Authority County' 'Great Britain'</a:t>
            </a:r>
          </a:p>
        </c:rich>
      </c:tx>
      <c:layout>
        <c:manualLayout>
          <c:xMode val="edge"/>
          <c:yMode val="edge"/>
          <c:x val="0.10675224772435361"/>
          <c:y val="2.76243093922651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2009</c:v>
              </c:pt>
              <c:pt idx="1">
                <c:v>2010</c:v>
              </c:pt>
              <c:pt idx="2">
                <c:v>2011</c:v>
              </c:pt>
              <c:pt idx="3">
                <c:v>2012</c:v>
              </c:pt>
              <c:pt idx="4">
                <c:v>2013</c:v>
              </c:pt>
              <c:pt idx="5">
                <c:v>2014</c:v>
              </c:pt>
              <c:pt idx="6">
                <c:v>2015</c:v>
              </c:pt>
              <c:pt idx="7">
                <c:v>2016</c:v>
              </c:pt>
              <c:pt idx="8">
                <c:v>2017</c:v>
              </c:pt>
              <c:pt idx="9">
                <c:v>2018</c:v>
              </c:pt>
              <c:pt idx="10">
                <c:v>2019</c:v>
              </c:pt>
            </c:strLit>
          </c:cat>
          <c:val>
            <c:numLit>
              <c:formatCode>General</c:formatCode>
              <c:ptCount val="11"/>
              <c:pt idx="0">
                <c:v>27858190</c:v>
              </c:pt>
              <c:pt idx="1">
                <c:v>27671593</c:v>
              </c:pt>
              <c:pt idx="2">
                <c:v>27796450</c:v>
              </c:pt>
              <c:pt idx="3">
                <c:v>27905428</c:v>
              </c:pt>
              <c:pt idx="4">
                <c:v>28217456</c:v>
              </c:pt>
              <c:pt idx="5">
                <c:v>28970019</c:v>
              </c:pt>
              <c:pt idx="6">
                <c:v>29819189</c:v>
              </c:pt>
              <c:pt idx="7">
                <c:v>30250152</c:v>
              </c:pt>
              <c:pt idx="8">
                <c:v>30593189</c:v>
              </c:pt>
              <c:pt idx="9">
                <c:v>30814545</c:v>
              </c:pt>
              <c:pt idx="10">
                <c:v>31087571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FD0-4310-A4CE-77B566D55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007023"/>
        <c:axId val="452007503"/>
      </c:lineChart>
      <c:catAx>
        <c:axId val="452007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07503"/>
        <c:crosses val="autoZero"/>
        <c:auto val="1"/>
        <c:lblAlgn val="ctr"/>
        <c:lblOffset val="100"/>
        <c:noMultiLvlLbl val="0"/>
      </c:catAx>
      <c:valAx>
        <c:axId val="4520075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Total_Employment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07023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1428054693618879"/>
              <c:y val="0.15489279224712296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25222095671981776"/>
              <c:y val="-0.1554262063395921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1428054693618879"/>
              <c:y val="0.15489279224712296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25222095671981776"/>
              <c:y val="-0.1554262063395921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1428054693618879"/>
              <c:y val="0.15489279224712296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25222095671981776"/>
              <c:y val="-0.1554262063395921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1428054693618879"/>
              <c:y val="0.15489279224712296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25222095671981776"/>
              <c:y val="-0.1554262063395921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1428054693618879"/>
              <c:y val="0.15489279224712296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25222095671981776"/>
              <c:y val="-0.1554262063395921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0E-4161-A5E5-477514FA4D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0E-4161-A5E5-477514FA4D3E}"/>
              </c:ext>
            </c:extLst>
          </c:dPt>
          <c:dLbls>
            <c:dLbl>
              <c:idx val="0"/>
              <c:layout>
                <c:manualLayout>
                  <c:x val="-0.11428054693618879"/>
                  <c:y val="0.1548927922471229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0E-4161-A5E5-477514FA4D3E}"/>
                </c:ext>
              </c:extLst>
            </c:dLbl>
            <c:dLbl>
              <c:idx val="1"/>
              <c:layout>
                <c:manualLayout>
                  <c:x val="0.25222095671981776"/>
                  <c:y val="-0.155426206339592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0E-4161-A5E5-477514FA4D3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Sum of Public_Tot_employment</c:v>
              </c:pt>
              <c:pt idx="1">
                <c:v>Sum of Private_Tot_employment</c:v>
              </c:pt>
            </c:strLit>
          </c:cat>
          <c:val>
            <c:numLit>
              <c:formatCode>General</c:formatCode>
              <c:ptCount val="2"/>
              <c:pt idx="0">
                <c:v>190096190</c:v>
              </c:pt>
              <c:pt idx="1">
                <c:v>817399115</c:v>
              </c:pt>
            </c:numLit>
          </c:val>
          <c:extLst>
            <c:ext xmlns:c16="http://schemas.microsoft.com/office/drawing/2014/chart" uri="{C3380CC4-5D6E-409C-BE32-E72D297353CC}">
              <c16:uniqueId val="{00000004-980E-4161-A5E5-477514FA4D3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bg1"/>
      </a:solidFill>
      <a:round/>
    </a:ln>
    <a:effectLst>
      <a:glow>
        <a:schemeClr val="accent1"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[workplace employment Cleaned.xlsx]Pivot sheet!PivotTable4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sheet'!$B$88</c:f>
              <c:strCache>
                <c:ptCount val="1"/>
                <c:pt idx="0">
                  <c:v>Sum of OK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sheet'!$A$89:$A$93</c:f>
              <c:strCache>
                <c:ptCount val="4"/>
                <c:pt idx="0">
                  <c:v>Private_Tot_emp_validation(PT+FT)</c:v>
                </c:pt>
                <c:pt idx="1">
                  <c:v>Public_Tot_emp_validation(PT+FT)</c:v>
                </c:pt>
                <c:pt idx="2">
                  <c:v>Total employment_Validation(private employment+public employment )</c:v>
                </c:pt>
                <c:pt idx="3">
                  <c:v>Total_employees_validation</c:v>
                </c:pt>
              </c:strCache>
            </c:strRef>
          </c:cat>
          <c:val>
            <c:numRef>
              <c:f>'Pivot sheet'!$B$89:$B$93</c:f>
              <c:numCache>
                <c:formatCode>General</c:formatCode>
                <c:ptCount val="4"/>
                <c:pt idx="0">
                  <c:v>309</c:v>
                </c:pt>
                <c:pt idx="1">
                  <c:v>396</c:v>
                </c:pt>
                <c:pt idx="2">
                  <c:v>399</c:v>
                </c:pt>
                <c:pt idx="3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703-8300-024595F6FFCB}"/>
            </c:ext>
          </c:extLst>
        </c:ser>
        <c:ser>
          <c:idx val="1"/>
          <c:order val="1"/>
          <c:tx>
            <c:strRef>
              <c:f>'Pivot sheet'!$C$88</c:f>
              <c:strCache>
                <c:ptCount val="1"/>
                <c:pt idx="0">
                  <c:v>Sum of Mismatch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sheet'!$A$89:$A$93</c:f>
              <c:strCache>
                <c:ptCount val="4"/>
                <c:pt idx="0">
                  <c:v>Private_Tot_emp_validation(PT+FT)</c:v>
                </c:pt>
                <c:pt idx="1">
                  <c:v>Public_Tot_emp_validation(PT+FT)</c:v>
                </c:pt>
                <c:pt idx="2">
                  <c:v>Total employment_Validation(private employment+public employment )</c:v>
                </c:pt>
                <c:pt idx="3">
                  <c:v>Total_employees_validation</c:v>
                </c:pt>
              </c:strCache>
            </c:strRef>
          </c:cat>
          <c:val>
            <c:numRef>
              <c:f>'Pivot sheet'!$C$89:$C$93</c:f>
              <c:numCache>
                <c:formatCode>General</c:formatCode>
                <c:ptCount val="4"/>
                <c:pt idx="0">
                  <c:v>219</c:v>
                </c:pt>
                <c:pt idx="1">
                  <c:v>132</c:v>
                </c:pt>
                <c:pt idx="2">
                  <c:v>129</c:v>
                </c:pt>
                <c:pt idx="3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B-4703-8300-024595F6FFC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351087"/>
        <c:axId val="946354927"/>
      </c:barChart>
      <c:catAx>
        <c:axId val="94635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354927"/>
        <c:crosses val="autoZero"/>
        <c:auto val="1"/>
        <c:lblAlgn val="ctr"/>
        <c:lblOffset val="100"/>
        <c:noMultiLvlLbl val="0"/>
      </c:catAx>
      <c:valAx>
        <c:axId val="94635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35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822960</xdr:colOff>
      <xdr:row>3</xdr:row>
      <xdr:rowOff>144780</xdr:rowOff>
    </xdr:from>
    <xdr:to>
      <xdr:col>8</xdr:col>
      <xdr:colOff>312420</xdr:colOff>
      <xdr:row>18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9BDFB5-E196-46EC-FBF9-E692583F3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52</xdr:row>
      <xdr:rowOff>0</xdr:rowOff>
    </xdr:from>
    <xdr:to>
      <xdr:col>10</xdr:col>
      <xdr:colOff>30480</xdr:colOff>
      <xdr:row>67</xdr:row>
      <xdr:rowOff>15240</xdr:rowOff>
    </xdr:to>
    <xdr:graphicFrame macro="">
      <xdr:nvGraphicFramePr>
        <xdr:cNvPr id="6" name="Chart 5" descr="Chart type: Line. 'Total_Employment' by 'Year' for 'Local Authority County' 'Great Britain'&#10;&#10;Description automatically generated">
          <a:extLst>
            <a:ext uri="{FF2B5EF4-FFF2-40B4-BE49-F238E27FC236}">
              <a16:creationId xmlns:a16="http://schemas.microsoft.com/office/drawing/2014/main" id="{248A7D19-39EB-44DD-80FC-EE54BA05C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72</xdr:row>
      <xdr:rowOff>0</xdr:rowOff>
    </xdr:from>
    <xdr:to>
      <xdr:col>8</xdr:col>
      <xdr:colOff>297180</xdr:colOff>
      <xdr:row>85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A2A29B-703B-49C7-994A-1E8B03005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45720</xdr:colOff>
      <xdr:row>86</xdr:row>
      <xdr:rowOff>144780</xdr:rowOff>
    </xdr:from>
    <xdr:to>
      <xdr:col>9</xdr:col>
      <xdr:colOff>411480</xdr:colOff>
      <xdr:row>99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D11FE5-EAB3-1354-6F4B-BAC3FA768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amlo" refreshedDate="45970.717262500002" createdVersion="8" refreshedVersion="8" minRefreshableVersion="3" recordCount="528" xr:uid="{D3B1AAC3-53C2-4B77-9E36-0C89F3812C99}">
  <cacheSource type="worksheet">
    <worksheetSource name="Table4"/>
  </cacheSource>
  <cacheFields count="15">
    <cacheField name="Year" numFmtId="0">
      <sharedItems containsSemiMixedTypes="0" containsString="0" containsNumber="1" containsInteger="1" minValue="2009" maxValue="2019" count="11">
        <n v="2009"/>
        <n v="2010"/>
        <n v="2011"/>
        <n v="2012"/>
        <n v="2013"/>
        <n v="2014"/>
        <n v="2015"/>
        <n v="2016"/>
        <n v="2017"/>
        <n v="2018"/>
        <n v="2019"/>
      </sharedItems>
    </cacheField>
    <cacheField name="Local Authority County" numFmtId="0">
      <sharedItems count="48">
        <s v="City of London"/>
        <s v="Barking and Dagenham"/>
        <s v="Barnet"/>
        <s v="Bexley"/>
        <s v="Brent"/>
        <s v="Bromley"/>
        <s v="Camden"/>
        <s v="Croydon"/>
        <s v="Ealing"/>
        <s v="Enfield"/>
        <s v="Greenwich"/>
        <s v="Hackney"/>
        <s v="Hammersmith and Fulham"/>
        <s v="Haringey"/>
        <s v="Harrow"/>
        <s v="Havering"/>
        <s v="Hillingdon"/>
        <s v="Hounslow"/>
        <s v="Islington"/>
        <s v="Kensington and Chelsea"/>
        <s v="Kingston upon Thames"/>
        <s v="Lambeth"/>
        <s v="Lewisham"/>
        <s v="Merton"/>
        <s v="Newham"/>
        <s v="Redbridge"/>
        <s v="Richmond upon Thames"/>
        <s v="Southwark"/>
        <s v="Sutton"/>
        <s v="Tower Hamlets"/>
        <s v="Waltham Forest"/>
        <s v="Wandsworth"/>
        <s v="Westminster"/>
        <s v="Inner London"/>
        <s v="Outer London"/>
        <s v="North East"/>
        <s v="North West"/>
        <s v="Yorkshire and The Humber"/>
        <s v="East Midlands"/>
        <s v="West Midlands"/>
        <s v="East"/>
        <s v="London"/>
        <s v="South East"/>
        <s v="South West"/>
        <s v="Wales"/>
        <s v="Scotland"/>
        <s v="England"/>
        <s v="Great Britain"/>
      </sharedItems>
    </cacheField>
    <cacheField name="Code" numFmtId="0">
      <sharedItems/>
    </cacheField>
    <cacheField name="Public_FT_employees" numFmtId="1">
      <sharedItems containsSemiMixedTypes="0" containsString="0" containsNumber="1" containsInteger="1" minValue="3804" maxValue="3812835"/>
    </cacheField>
    <cacheField name="Public_PT_employees" numFmtId="1">
      <sharedItems containsSemiMixedTypes="0" containsString="0" containsNumber="1" containsInteger="1" minValue="1940" maxValue="2305929"/>
    </cacheField>
    <cacheField name="Public_Tot_employees" numFmtId="1">
      <sharedItems containsSemiMixedTypes="0" containsString="0" containsNumber="1" containsInteger="1" minValue="8092" maxValue="6118764"/>
    </cacheField>
    <cacheField name="Public_Tot_employment" numFmtId="1">
      <sharedItems containsSemiMixedTypes="0" containsString="0" containsNumber="1" containsInteger="1" minValue="8104" maxValue="6399383" count="526">
        <n v="18346"/>
        <n v="9199"/>
        <n v="26081"/>
        <n v="12760"/>
        <n v="18039"/>
        <n v="20652"/>
        <n v="38723"/>
        <n v="28119"/>
        <n v="17875"/>
        <n v="23176"/>
        <n v="20742"/>
        <n v="17796"/>
        <n v="28137"/>
        <n v="15258"/>
        <n v="12077"/>
        <n v="16532"/>
        <n v="20815"/>
        <n v="17513"/>
        <n v="33788"/>
        <n v="21432"/>
        <n v="15167"/>
        <n v="34747"/>
        <n v="17801"/>
        <n v="10338"/>
        <n v="24138"/>
        <n v="18096"/>
        <n v="10611"/>
        <n v="31668"/>
        <n v="15197"/>
        <n v="39299"/>
        <n v="14141"/>
        <n v="25330"/>
        <n v="91909"/>
        <n v="438373"/>
        <n v="327129"/>
        <n v="284539"/>
        <n v="715287"/>
        <n v="554045"/>
        <n v="419490"/>
        <n v="534217"/>
        <n v="506034"/>
        <n v="766232"/>
        <n v="713428"/>
        <n v="546575"/>
        <n v="388910"/>
        <n v="710199"/>
        <n v="5039846"/>
        <n v="6138956"/>
        <n v="19603"/>
        <n v="12494"/>
        <n v="26063"/>
        <n v="12620"/>
        <n v="21083"/>
        <n v="21586"/>
        <n v="44431"/>
        <n v="29568"/>
        <n v="20057"/>
        <n v="24467"/>
        <n v="21701"/>
        <n v="18954"/>
        <n v="30433"/>
        <n v="16068"/>
        <n v="13104"/>
        <n v="16929"/>
        <n v="21404"/>
        <n v="24842"/>
        <n v="34306"/>
        <n v="22881"/>
        <n v="14640"/>
        <n v="36462"/>
        <n v="18984"/>
        <n v="10257"/>
        <n v="24690"/>
        <n v="18775"/>
        <n v="11494"/>
        <n v="30251"/>
        <n v="15808"/>
        <n v="41604"/>
        <n v="15623"/>
        <n v="26033"/>
        <n v="97557"/>
        <n v="462260"/>
        <n v="352516"/>
        <n v="295257"/>
        <n v="745554"/>
        <n v="581756"/>
        <n v="444189"/>
        <n v="564997"/>
        <n v="525009"/>
        <n v="815531"/>
        <n v="751789"/>
        <n v="568861"/>
        <n v="396820"/>
        <n v="709620"/>
        <n v="5292943"/>
        <n v="6399383"/>
        <n v="20435"/>
        <n v="10847"/>
        <n v="24738"/>
        <n v="12097"/>
        <n v="21175"/>
        <n v="20785"/>
        <n v="45646"/>
        <n v="28083"/>
        <n v="21480"/>
        <n v="22963"/>
        <n v="22572"/>
        <n v="18843"/>
        <n v="27115"/>
        <n v="14332"/>
        <n v="12950"/>
        <n v="16764"/>
        <n v="21326"/>
        <n v="17621"/>
        <n v="31142"/>
        <n v="19840"/>
        <n v="14634"/>
        <n v="33583"/>
        <n v="17232"/>
        <n v="10432"/>
        <n v="23114"/>
        <n v="18388"/>
        <n v="11213"/>
        <n v="40569"/>
        <n v="15429"/>
        <n v="42874"/>
        <n v="15822"/>
        <n v="25078"/>
        <n v="86844"/>
        <n v="446647"/>
        <n v="339316"/>
        <n v="278971"/>
        <n v="709447"/>
        <n v="551327"/>
        <n v="423521"/>
        <n v="543783"/>
        <n v="506459"/>
        <n v="786668"/>
        <n v="717724"/>
        <n v="544041"/>
        <n v="396071"/>
        <n v="682890"/>
        <n v="5061942"/>
        <n v="6140902"/>
        <n v="21217"/>
        <n v="10931"/>
        <n v="24342"/>
        <n v="12172"/>
        <n v="20932"/>
        <n v="18779"/>
        <n v="42683"/>
        <n v="25648"/>
        <n v="19704"/>
        <n v="23094"/>
        <n v="19719"/>
        <n v="17245"/>
        <n v="26353"/>
        <n v="12502"/>
        <n v="11304"/>
        <n v="17330"/>
        <n v="20588"/>
        <n v="18037"/>
        <n v="30989"/>
        <n v="20004"/>
        <n v="14181"/>
        <n v="32836"/>
        <n v="15654"/>
        <n v="9839"/>
        <n v="22230"/>
        <n v="18832"/>
        <n v="9362"/>
        <n v="41649"/>
        <n v="14167"/>
        <n v="42025"/>
        <n v="16464"/>
        <n v="25360"/>
        <n v="89574"/>
        <n v="440320"/>
        <n v="325427"/>
        <n v="266896"/>
        <n v="679370"/>
        <n v="515802"/>
        <n v="397045"/>
        <n v="511111"/>
        <n v="487606"/>
        <n v="766633"/>
        <n v="663866"/>
        <n v="504666"/>
        <n v="389047"/>
        <n v="669530"/>
        <n v="4792995"/>
        <n v="5851572"/>
        <n v="24252"/>
        <n v="11132"/>
        <n v="23743"/>
        <n v="12051"/>
        <n v="21194"/>
        <n v="15314"/>
        <n v="42688"/>
        <n v="21549"/>
        <n v="19480"/>
        <n v="23060"/>
        <n v="20442"/>
        <n v="14737"/>
        <n v="21839"/>
        <n v="11390"/>
        <n v="11099"/>
        <n v="16855"/>
        <n v="22992"/>
        <n v="17219"/>
        <n v="34080"/>
        <n v="18543"/>
        <n v="13246"/>
        <n v="32989"/>
        <n v="16213"/>
        <n v="10915"/>
        <n v="22139"/>
        <n v="17214"/>
        <n v="8843"/>
        <n v="40321"/>
        <n v="14120"/>
        <n v="40319"/>
        <n v="17034"/>
        <n v="23924"/>
        <n v="95131"/>
        <n v="438565"/>
        <n v="317501"/>
        <n v="256020"/>
        <n v="661338"/>
        <n v="507047"/>
        <n v="382122"/>
        <n v="511131"/>
        <n v="472852"/>
        <n v="756901"/>
        <n v="668432"/>
        <n v="496617"/>
        <n v="387449"/>
        <n v="670811"/>
        <n v="4712460"/>
        <n v="5770720"/>
        <n v="14160"/>
        <n v="10713"/>
        <n v="23764"/>
        <n v="11133"/>
        <n v="20238"/>
        <n v="14752"/>
        <n v="44117"/>
        <n v="23708"/>
        <n v="18006"/>
        <n v="22020"/>
        <n v="20527"/>
        <n v="19191"/>
        <n v="21456"/>
        <n v="12458"/>
        <n v="10744"/>
        <n v="16402"/>
        <n v="23308"/>
        <n v="16678"/>
        <n v="30971"/>
        <n v="18546"/>
        <n v="12405"/>
        <n v="34564"/>
        <n v="16357"/>
        <n v="9806"/>
        <n v="22090"/>
        <n v="17475"/>
        <n v="8770"/>
        <n v="40455"/>
        <n v="13295"/>
        <n v="42078"/>
        <n v="16661"/>
        <n v="24636"/>
        <n v="93289"/>
        <n v="434369"/>
        <n v="310405"/>
        <n v="248756"/>
        <n v="634221"/>
        <n v="481328"/>
        <n v="368096"/>
        <n v="481645"/>
        <n v="449431"/>
        <n v="745580"/>
        <n v="636070"/>
        <n v="469976"/>
        <n v="371668"/>
        <n v="638597"/>
        <n v="4515101"/>
        <n v="5525367"/>
        <n v="15655"/>
        <n v="11020"/>
        <n v="22762"/>
        <n v="10886"/>
        <n v="20594"/>
        <n v="14466"/>
        <n v="44454"/>
        <n v="23392"/>
        <n v="17947"/>
        <n v="22282"/>
        <n v="21775"/>
        <n v="19724"/>
        <n v="21062"/>
        <n v="12990"/>
        <n v="10822"/>
        <n v="16548"/>
        <n v="23564"/>
        <n v="14042"/>
        <n v="27604"/>
        <n v="19655"/>
        <n v="12112"/>
        <n v="36447"/>
        <n v="17107"/>
        <n v="9812"/>
        <n v="22028"/>
        <n v="17398"/>
        <n v="9399"/>
        <n v="41595"/>
        <n v="13022"/>
        <n v="43293"/>
        <n v="15601"/>
        <n v="25395"/>
        <n v="95383"/>
        <n v="442390"/>
        <n v="307443"/>
        <n v="229202"/>
        <n v="605867"/>
        <n v="451161"/>
        <n v="330845"/>
        <n v="435724"/>
        <n v="404472"/>
        <n v="749833"/>
        <n v="599313"/>
        <n v="399270"/>
        <n v="299047"/>
        <n v="577069"/>
        <n v="4205688"/>
        <n v="5081804"/>
        <n v="17579"/>
        <n v="10461"/>
        <n v="21831"/>
        <n v="10837"/>
        <n v="21809"/>
        <n v="13935"/>
        <n v="46152"/>
        <n v="23265"/>
        <n v="18226"/>
        <n v="20882"/>
        <n v="20390"/>
        <n v="18864"/>
        <n v="20400"/>
        <n v="12513"/>
        <n v="11035"/>
        <n v="16483"/>
        <n v="22759"/>
        <n v="17014"/>
        <n v="24600"/>
        <n v="18583"/>
        <n v="11441"/>
        <n v="35353"/>
        <n v="15616"/>
        <n v="8639"/>
        <n v="23660"/>
        <n v="16000"/>
        <n v="9957"/>
        <n v="40693"/>
        <n v="13704"/>
        <n v="43444"/>
        <n v="14460"/>
        <n v="25115"/>
        <n v="92536"/>
        <n v="435108"/>
        <n v="303129"/>
        <n v="228574"/>
        <n v="605919"/>
        <n v="447136"/>
        <n v="332107"/>
        <n v="434297"/>
        <n v="424821"/>
        <n v="738236"/>
        <n v="596813"/>
        <n v="400605"/>
        <n v="299069"/>
        <n v="578058"/>
        <n v="4208508"/>
        <n v="5085635"/>
        <n v="17652"/>
        <n v="9723"/>
        <n v="21353"/>
        <n v="11053"/>
        <n v="24592"/>
        <n v="15518"/>
        <n v="48272"/>
        <n v="25405"/>
        <n v="17368"/>
        <n v="20633"/>
        <n v="21620"/>
        <n v="19076"/>
        <n v="20741"/>
        <n v="12045"/>
        <n v="16423"/>
        <n v="24889"/>
        <n v="16412"/>
        <n v="18611"/>
        <n v="19800"/>
        <n v="11560"/>
        <n v="36359"/>
        <n v="16182"/>
        <n v="8873"/>
        <n v="22734"/>
        <n v="17582"/>
        <n v="9502"/>
        <n v="42773"/>
        <n v="14675"/>
        <n v="45786"/>
        <n v="15709"/>
        <n v="25282"/>
        <n v="99898"/>
        <n v="445211"/>
        <n v="313821"/>
        <n v="225985"/>
        <n v="610233"/>
        <n v="441264"/>
        <n v="328120"/>
        <n v="436783"/>
        <n v="423096"/>
        <n v="759033"/>
        <n v="597223"/>
        <n v="404146"/>
        <n v="296416"/>
        <n v="583942"/>
        <n v="4225883"/>
        <n v="5106241"/>
        <n v="17124"/>
        <n v="8595"/>
        <n v="20172"/>
        <n v="11083"/>
        <n v="24213"/>
        <n v="14962"/>
        <n v="45992"/>
        <n v="26035"/>
        <n v="16473"/>
        <n v="20086"/>
        <n v="21683"/>
        <n v="18061"/>
        <n v="21380"/>
        <n v="10922"/>
        <n v="10548"/>
        <n v="15146"/>
        <n v="24185"/>
        <n v="16631"/>
        <n v="19474"/>
        <n v="20484"/>
        <n v="10908"/>
        <n v="37293"/>
        <n v="15637"/>
        <n v="8237"/>
        <n v="22855"/>
        <n v="16652"/>
        <n v="9509"/>
        <n v="41282"/>
        <n v="13831"/>
        <n v="51865"/>
        <n v="16584"/>
        <n v="25805"/>
        <n v="98861"/>
        <n v="447035"/>
        <n v="305533"/>
        <n v="226041"/>
        <n v="607619"/>
        <n v="445087"/>
        <n v="334324"/>
        <n v="431126"/>
        <n v="436883"/>
        <n v="752569"/>
        <n v="600255"/>
        <n v="407739"/>
        <n v="300117"/>
        <n v="579472"/>
        <n v="4241642"/>
        <n v="5121232"/>
        <n v="16621"/>
        <n v="9834"/>
        <n v="20011"/>
        <n v="10924"/>
        <n v="21403"/>
        <n v="15002"/>
        <n v="46225"/>
        <n v="26292"/>
        <n v="17407"/>
        <n v="20130"/>
        <n v="17882"/>
        <n v="21829"/>
        <n v="11209"/>
        <n v="10245"/>
        <n v="14698"/>
        <n v="23947"/>
        <n v="17266"/>
        <n v="20185"/>
        <n v="19493"/>
        <n v="10940"/>
        <n v="38072"/>
        <n v="15546"/>
        <n v="8104"/>
        <n v="23025"/>
        <n v="16307"/>
        <n v="9592"/>
        <n v="40318"/>
        <n v="14323"/>
        <n v="53008"/>
        <n v="16980"/>
        <n v="25933"/>
        <n v="104700"/>
        <n v="454045"/>
        <n v="305636"/>
        <n v="227980"/>
        <n v="617390"/>
        <n v="448084"/>
        <n v="337614"/>
        <n v="429739"/>
        <n v="433992"/>
        <n v="759681"/>
        <n v="608584"/>
        <n v="406168"/>
        <n v="300601"/>
        <n v="581151"/>
        <n v="4269232"/>
        <n v="5150984"/>
      </sharedItems>
    </cacheField>
    <cacheField name="Private_FT_employees" numFmtId="1">
      <sharedItems containsSemiMixedTypes="0" containsString="0" containsNumber="1" containsInteger="1" minValue="25588" maxValue="17160460"/>
    </cacheField>
    <cacheField name="Private_PT_employees" numFmtId="1">
      <sharedItems containsSemiMixedTypes="0" containsString="0" containsNumber="1" containsInteger="1" minValue="8130" maxValue="7777465"/>
    </cacheField>
    <cacheField name="Private_Tot_employees" numFmtId="1">
      <sharedItems containsSemiMixedTypes="0" containsString="0" containsNumber="1" containsInteger="1" minValue="34012" maxValue="24937926"/>
    </cacheField>
    <cacheField name="Private_Tot_employment" numFmtId="1">
      <sharedItems containsSemiMixedTypes="0" containsString="0" containsNumber="1" containsInteger="1" minValue="35031" maxValue="25936586" count="528">
        <n v="313519"/>
        <n v="35031"/>
        <n v="91065"/>
        <n v="53306"/>
        <n v="77542"/>
        <n v="86295"/>
        <n v="251697"/>
        <n v="96561"/>
        <n v="91671"/>
        <n v="71763"/>
        <n v="48461"/>
        <n v="70748"/>
        <n v="92401"/>
        <n v="47135"/>
        <n v="55225"/>
        <n v="57624"/>
        <n v="165730"/>
        <n v="107256"/>
        <n v="154366"/>
        <n v="92133"/>
        <n v="62193"/>
        <n v="95191"/>
        <n v="42852"/>
        <n v="56765"/>
        <n v="50592"/>
        <n v="48962"/>
        <n v="60621"/>
        <n v="146281"/>
        <n v="50490"/>
        <n v="169555"/>
        <n v="41440"/>
        <n v="80926"/>
        <n v="541053"/>
        <n v="2148450"/>
        <n v="1358000"/>
        <n v="765419"/>
        <n v="2402965"/>
        <n v="1775076"/>
        <n v="1575296"/>
        <n v="1869272"/>
        <n v="2034001"/>
        <n v="3506450"/>
        <n v="3177511"/>
        <n v="1922261"/>
        <n v="878129"/>
        <n v="1812854"/>
        <n v="19028251"/>
        <n v="21719234"/>
        <n v="337020"/>
        <n v="35843"/>
        <n v="89687"/>
        <n v="54080"/>
        <n v="77917"/>
        <n v="81883"/>
        <n v="244822"/>
        <n v="92737"/>
        <n v="92064"/>
        <n v="71296"/>
        <n v="48000"/>
        <n v="69532"/>
        <n v="97605"/>
        <n v="45877"/>
        <n v="54633"/>
        <n v="56244"/>
        <n v="163375"/>
        <n v="102759"/>
        <n v="154951"/>
        <n v="93862"/>
        <n v="62709"/>
        <n v="89871"/>
        <n v="41777"/>
        <n v="58764"/>
        <n v="50372"/>
        <n v="47470"/>
        <n v="61595"/>
        <n v="154869"/>
        <n v="51719"/>
        <n v="170516"/>
        <n v="40929"/>
        <n v="79365"/>
        <n v="533887"/>
        <n v="2164327"/>
        <n v="1343703"/>
        <n v="748823"/>
        <n v="2337684"/>
        <n v="1707233"/>
        <n v="1542175"/>
        <n v="1835589"/>
        <n v="1972041"/>
        <n v="3508030"/>
        <n v="3182875"/>
        <n v="1854603"/>
        <n v="857464"/>
        <n v="1725694"/>
        <n v="18689053"/>
        <n v="21272210"/>
        <n v="368139"/>
        <n v="37809"/>
        <n v="93606"/>
        <n v="53690"/>
        <n v="79880"/>
        <n v="78935"/>
        <n v="264871"/>
        <n v="89351"/>
        <n v="99809"/>
        <n v="72162"/>
        <n v="48612"/>
        <n v="74882"/>
        <n v="98182"/>
        <n v="47524"/>
        <n v="53797"/>
        <n v="55895"/>
        <n v="165280"/>
        <n v="111495"/>
        <n v="156332"/>
        <n v="98635"/>
        <n v="58316"/>
        <n v="97366"/>
        <n v="43873"/>
        <n v="61056"/>
        <n v="54301"/>
        <n v="49486"/>
        <n v="63943"/>
        <n v="153573"/>
        <n v="54263"/>
        <n v="194779"/>
        <n v="43999"/>
        <n v="81656"/>
        <n v="557355"/>
        <n v="2291468"/>
        <n v="1371384"/>
        <n v="757507"/>
        <n v="2376643"/>
        <n v="1722783"/>
        <n v="1558876"/>
        <n v="1857195"/>
        <n v="2011806"/>
        <n v="3662852"/>
        <n v="3203060"/>
        <n v="1849945"/>
        <n v="865206"/>
        <n v="1789674"/>
        <n v="19000668"/>
        <n v="21655547"/>
        <n v="379560"/>
        <n v="38357"/>
        <n v="95538"/>
        <n v="55395"/>
        <n v="88574"/>
        <n v="83167"/>
        <n v="273261"/>
        <n v="90213"/>
        <n v="103393"/>
        <n v="76960"/>
        <n v="51657"/>
        <n v="76637"/>
        <n v="103908"/>
        <n v="51197"/>
        <n v="56756"/>
        <n v="59011"/>
        <n v="173211"/>
        <n v="122369"/>
        <n v="162147"/>
        <n v="105290"/>
        <n v="59212"/>
        <n v="101379"/>
        <n v="47493"/>
        <n v="65826"/>
        <n v="66062"/>
        <n v="52534"/>
        <n v="64907"/>
        <n v="159797"/>
        <n v="55999"/>
        <n v="198388"/>
        <n v="46528"/>
        <n v="85522"/>
        <n v="576693"/>
        <n v="2387335"/>
        <n v="1439607"/>
        <n v="764392"/>
        <n v="2425082"/>
        <n v="1733055"/>
        <n v="1580641"/>
        <n v="1909935"/>
        <n v="2037365"/>
        <n v="3826942"/>
        <n v="3269155"/>
        <n v="1868679"/>
        <n v="879701"/>
        <n v="1758909"/>
        <n v="19415246"/>
        <n v="2012000"/>
        <n v="366917"/>
        <n v="38657"/>
        <n v="99872"/>
        <n v="57174"/>
        <n v="90074"/>
        <n v="89515"/>
        <n v="285390"/>
        <n v="91355"/>
        <n v="104717"/>
        <n v="75116"/>
        <n v="54061"/>
        <n v="80100"/>
        <n v="108428"/>
        <n v="53576"/>
        <n v="60116"/>
        <n v="60169"/>
        <n v="177031"/>
        <n v="126084"/>
        <n v="173819"/>
        <n v="106559"/>
        <n v="60548"/>
        <n v="109992"/>
        <n v="48899"/>
        <n v="70149"/>
        <n v="67487"/>
        <n v="54743"/>
        <n v="68574"/>
        <n v="163037"/>
        <n v="55675"/>
        <n v="213873"/>
        <n v="52511"/>
        <n v="87585"/>
        <n v="598276"/>
        <n v="2463939"/>
        <n v="1486143"/>
        <n v="782906"/>
        <n v="2454234"/>
        <n v="1777346"/>
        <n v="1599945"/>
        <n v="1920404"/>
        <n v="2079827"/>
        <n v="3950083"/>
        <n v="3306772"/>
        <n v="1897482"/>
        <n v="887493"/>
        <n v="1790244"/>
        <n v="19768998"/>
        <n v="22446735"/>
        <n v="399345"/>
        <n v="39987"/>
        <n v="103804"/>
        <n v="58780"/>
        <n v="94420"/>
        <n v="91311"/>
        <n v="303762"/>
        <n v="94153"/>
        <n v="114528"/>
        <n v="79474"/>
        <n v="54667"/>
        <n v="86959"/>
        <n v="108970"/>
        <n v="57772"/>
        <n v="63320"/>
        <n v="62895"/>
        <n v="180950"/>
        <n v="123804"/>
        <n v="182669"/>
        <n v="107077"/>
        <n v="60112"/>
        <n v="114893"/>
        <n v="49800"/>
        <n v="70277"/>
        <n v="74402"/>
        <n v="58850"/>
        <n v="69693"/>
        <n v="175221"/>
        <n v="57201"/>
        <n v="217930"/>
        <n v="55828"/>
        <n v="90058"/>
        <n v="608819"/>
        <n v="2577677"/>
        <n v="1534055"/>
        <n v="817176"/>
        <n v="2549683"/>
        <n v="1860534"/>
        <n v="1649105"/>
        <n v="2005107"/>
        <n v="2209877"/>
        <n v="4111732"/>
        <n v="3410620"/>
        <n v="2008243"/>
        <n v="921004"/>
        <n v="1901572"/>
        <n v="20622077"/>
        <n v="23444653"/>
        <n v="439850"/>
        <n v="41164"/>
        <n v="110781"/>
        <n v="62275"/>
        <n v="96558"/>
        <n v="94449"/>
        <n v="309098"/>
        <n v="96115"/>
        <n v="113366"/>
        <n v="83178"/>
        <n v="60114"/>
        <n v="93238"/>
        <n v="116536"/>
        <n v="57679"/>
        <n v="62655"/>
        <n v="64788"/>
        <n v="160739"/>
        <n v="149334"/>
        <n v="201021"/>
        <n v="112869"/>
        <n v="71440"/>
        <n v="126031"/>
        <n v="52623"/>
        <n v="71057"/>
        <n v="79804"/>
        <n v="61828"/>
        <n v="74675"/>
        <n v="190598"/>
        <n v="59087"/>
        <n v="237620"/>
        <n v="54877"/>
        <n v="94335"/>
        <n v="631117"/>
        <n v="2742419"/>
        <n v="1588480"/>
        <n v="865224"/>
        <n v="2657330"/>
        <n v="1963706"/>
        <n v="1760411"/>
        <n v="2111121"/>
        <n v="2316270"/>
        <n v="4330899"/>
        <n v="3606641"/>
        <n v="2116354"/>
        <n v="1022490"/>
        <n v="1986940"/>
        <n v="21727955"/>
        <n v="24737385"/>
        <n v="471216"/>
        <n v="42835"/>
        <n v="110090"/>
        <n v="63763"/>
        <n v="101328"/>
        <n v="94701"/>
        <n v="318674"/>
        <n v="96916"/>
        <n v="115941"/>
        <n v="81684"/>
        <n v="60270"/>
        <n v="105998"/>
        <n v="119090"/>
        <n v="55943"/>
        <n v="63312"/>
        <n v="68014"/>
        <n v="164677"/>
        <n v="155827"/>
        <n v="208049"/>
        <n v="111748"/>
        <n v="70479"/>
        <n v="109899"/>
        <n v="52641"/>
        <n v="73352"/>
        <n v="81107"/>
        <n v="61277"/>
        <n v="73152"/>
        <n v="196079"/>
        <n v="59817"/>
        <n v="238272"/>
        <n v="56975"/>
        <n v="94460"/>
        <n v="631377"/>
        <n v="2794555"/>
        <n v="1614411"/>
        <n v="843853"/>
        <n v="2738058"/>
        <n v="1971993"/>
        <n v="1801178"/>
        <n v="2151976"/>
        <n v="2376537"/>
        <n v="4408966"/>
        <n v="3681170"/>
        <n v="2148142"/>
        <n v="1034431"/>
        <n v="2008212"/>
        <n v="22121873"/>
        <n v="25164516"/>
        <n v="495180"/>
        <n v="46333"/>
        <n v="114763"/>
        <n v="66002"/>
        <n v="103640"/>
        <n v="97059"/>
        <n v="324756"/>
        <n v="101831"/>
        <n v="120386"/>
        <n v="87406"/>
        <n v="65512"/>
        <n v="104267"/>
        <n v="116838"/>
        <n v="60534"/>
        <n v="65565"/>
        <n v="69664"/>
        <n v="167501"/>
        <n v="147931"/>
        <n v="207627"/>
        <n v="119366"/>
        <n v="75497"/>
        <n v="115614"/>
        <n v="53224"/>
        <n v="75684"/>
        <n v="86382"/>
        <n v="64706"/>
        <n v="74124"/>
        <n v="197179"/>
        <n v="58495"/>
        <n v="249350"/>
        <n v="58533"/>
        <n v="97175"/>
        <n v="620737"/>
        <n v="2848230"/>
        <n v="1660630"/>
        <n v="870120"/>
        <n v="2774064"/>
        <n v="2021891"/>
        <n v="1827562"/>
        <n v="2227697"/>
        <n v="2426730"/>
        <n v="4508860"/>
        <n v="3642358"/>
        <n v="2156595"/>
        <n v="1025647"/>
        <n v="2005423"/>
        <n v="22455877"/>
        <n v="25486948"/>
        <n v="505267"/>
        <n v="46229"/>
        <n v="114333"/>
        <n v="64868"/>
        <n v="102094"/>
        <n v="94698"/>
        <n v="328798"/>
        <n v="98776"/>
        <n v="112994"/>
        <n v="85617"/>
        <n v="64722"/>
        <n v="110887"/>
        <n v="117964"/>
        <n v="57212"/>
        <n v="61918"/>
        <n v="74234"/>
        <n v="162644"/>
        <n v="142653"/>
        <n v="216799"/>
        <n v="121190"/>
        <n v="71304"/>
        <n v="120700"/>
        <n v="51792"/>
        <n v="75213"/>
        <n v="90446"/>
        <n v="63182"/>
        <n v="71649"/>
        <n v="204408"/>
        <n v="56961"/>
        <n v="250774"/>
        <n v="57241"/>
        <n v="95306"/>
        <n v="635393"/>
        <n v="2906937"/>
        <n v="1621330"/>
        <n v="857461"/>
        <n v="2823789"/>
        <n v="2044618"/>
        <n v="1817166"/>
        <n v="2210911"/>
        <n v="2443333"/>
        <n v="4528268"/>
        <n v="3684994"/>
        <n v="2189323"/>
        <n v="1061227"/>
        <n v="2032223"/>
        <n v="22599864"/>
        <n v="25693314"/>
        <n v="525195"/>
        <n v="47810"/>
        <n v="114243"/>
        <n v="67187"/>
        <n v="103253"/>
        <n v="94343"/>
        <n v="335934"/>
        <n v="99583"/>
        <n v="119691"/>
        <n v="86647"/>
        <n v="64792"/>
        <n v="115490"/>
        <n v="116629"/>
        <n v="57266"/>
        <n v="62265"/>
        <n v="71998"/>
        <n v="167167"/>
        <n v="147306"/>
        <n v="219259"/>
        <n v="122393"/>
        <n v="68369"/>
        <n v="115309"/>
        <n v="52002"/>
        <n v="73822"/>
        <n v="90170"/>
        <n v="64264"/>
        <n v="74366"/>
        <n v="213483"/>
        <n v="57886"/>
        <n v="256161"/>
        <n v="57331"/>
        <n v="96170"/>
        <n v="651332"/>
        <n v="2966792"/>
        <n v="1642322"/>
        <n v="873391"/>
        <n v="2880814"/>
        <n v="2044179"/>
        <n v="1830545"/>
        <n v="2247066"/>
        <n v="2436689"/>
        <n v="4609115"/>
        <n v="3733357"/>
        <n v="2229601"/>
        <n v="1031180"/>
        <n v="2020649"/>
        <n v="22884758"/>
        <n v="25936586"/>
      </sharedItems>
    </cacheField>
    <cacheField name="Total_FT_Employees" numFmtId="1">
      <sharedItems containsSemiMixedTypes="0" containsString="0" containsNumber="1" containsInteger="1" minValue="29685" maxValue="20389056"/>
    </cacheField>
    <cacheField name="Total_PT_Employees" numFmtId="1">
      <sharedItems containsSemiMixedTypes="0" containsString="0" containsNumber="1" containsInteger="1" minValue="13513" maxValue="9689936"/>
    </cacheField>
    <cacheField name="Total_Tot_employees" numFmtId="1">
      <sharedItems containsSemiMixedTypes="0" containsString="0" containsNumber="1" containsInteger="1" minValue="34012" maxValue="24937926"/>
    </cacheField>
    <cacheField name="Total_Employment" numFmtId="1">
      <sharedItems containsSemiMixedTypes="0" containsString="0" containsNumber="1" containsInteger="1" minValue="44230" maxValue="310875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amlo" refreshedDate="45970.739198842595" createdVersion="8" refreshedVersion="8" minRefreshableVersion="3" recordCount="4" xr:uid="{C4639807-7995-4F85-9CFD-3C484DD7CDB6}">
  <cacheSource type="worksheet">
    <worksheetSource name="Table6"/>
  </cacheSource>
  <cacheFields count="3">
    <cacheField name="Validation Check" numFmtId="0">
      <sharedItems count="4">
        <s v="Public_Tot_emp_validation(PT+FT)"/>
        <s v="Private_Tot_emp_validation(PT+FT)"/>
        <s v="Total_employees_validation"/>
        <s v="Total employment_Validation(private employment+public employment )"/>
      </sharedItems>
    </cacheField>
    <cacheField name="OK count" numFmtId="0">
      <sharedItems containsSemiMixedTypes="0" containsString="0" containsNumber="1" containsInteger="1" minValue="299" maxValue="399"/>
    </cacheField>
    <cacheField name="Mismatch Count" numFmtId="0">
      <sharedItems containsSemiMixedTypes="0" containsString="0" containsNumber="1" containsInteger="1" minValue="129" maxValue="2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8">
  <r>
    <x v="0"/>
    <x v="0"/>
    <s v="E09000001"/>
    <n v="16102"/>
    <n v="2203"/>
    <n v="18304"/>
    <x v="0"/>
    <n v="264922"/>
    <n v="37988"/>
    <n v="302909"/>
    <x v="0"/>
    <n v="281023"/>
    <n v="40190"/>
    <n v="302909"/>
    <n v="331866"/>
  </r>
  <r>
    <x v="0"/>
    <x v="1"/>
    <s v="E09000002"/>
    <n v="3804"/>
    <n v="5384"/>
    <n v="9187"/>
    <x v="1"/>
    <n v="25882"/>
    <n v="8130"/>
    <n v="34012"/>
    <x v="1"/>
    <n v="29685"/>
    <n v="13513"/>
    <n v="34012"/>
    <n v="44230"/>
  </r>
  <r>
    <x v="0"/>
    <x v="2"/>
    <s v="E09000003"/>
    <n v="16146"/>
    <n v="9841"/>
    <n v="25987"/>
    <x v="2"/>
    <n v="58348"/>
    <n v="28639"/>
    <n v="86987"/>
    <x v="2"/>
    <n v="74493"/>
    <n v="38481"/>
    <n v="86987"/>
    <n v="117146"/>
  </r>
  <r>
    <x v="0"/>
    <x v="3"/>
    <s v="E09000004"/>
    <n v="7095"/>
    <n v="5665"/>
    <n v="12760"/>
    <x v="3"/>
    <n v="33952"/>
    <n v="17010"/>
    <n v="50962"/>
    <x v="3"/>
    <n v="41047"/>
    <n v="22675"/>
    <n v="50962"/>
    <n v="66066"/>
  </r>
  <r>
    <x v="0"/>
    <x v="4"/>
    <s v="E09000005"/>
    <n v="13496"/>
    <n v="4489"/>
    <n v="17985"/>
    <x v="4"/>
    <n v="53578"/>
    <n v="21173"/>
    <n v="74751"/>
    <x v="4"/>
    <n v="67074"/>
    <n v="25662"/>
    <n v="74751"/>
    <n v="95581"/>
  </r>
  <r>
    <x v="0"/>
    <x v="5"/>
    <s v="E09000006"/>
    <n v="13690"/>
    <n v="6911"/>
    <n v="20600"/>
    <x v="5"/>
    <n v="53915"/>
    <n v="28795"/>
    <n v="82711"/>
    <x v="5"/>
    <n v="67605"/>
    <n v="35706"/>
    <n v="82711"/>
    <n v="106947"/>
  </r>
  <r>
    <x v="0"/>
    <x v="6"/>
    <s v="E09000007"/>
    <n v="30665"/>
    <n v="7937"/>
    <n v="38602"/>
    <x v="6"/>
    <n v="189266"/>
    <n v="52427"/>
    <n v="241692"/>
    <x v="6"/>
    <n v="219930"/>
    <n v="60364"/>
    <n v="241692"/>
    <n v="290420"/>
  </r>
  <r>
    <x v="0"/>
    <x v="7"/>
    <s v="E09000008"/>
    <n v="19437"/>
    <n v="8534"/>
    <n v="27971"/>
    <x v="7"/>
    <n v="62541"/>
    <n v="30298"/>
    <n v="92838"/>
    <x v="7"/>
    <n v="81978"/>
    <n v="38831"/>
    <n v="92838"/>
    <n v="124679"/>
  </r>
  <r>
    <x v="0"/>
    <x v="8"/>
    <s v="E09000009"/>
    <n v="12178"/>
    <n v="5616"/>
    <n v="17793"/>
    <x v="8"/>
    <n v="66090"/>
    <n v="22462"/>
    <n v="88552"/>
    <x v="8"/>
    <n v="78267"/>
    <n v="28077"/>
    <n v="88552"/>
    <n v="109546"/>
  </r>
  <r>
    <x v="0"/>
    <x v="9"/>
    <s v="E09000010"/>
    <n v="15205"/>
    <n v="7925"/>
    <n v="23130"/>
    <x v="9"/>
    <n v="48091"/>
    <n v="21280"/>
    <n v="69371"/>
    <x v="9"/>
    <n v="63295"/>
    <n v="29205"/>
    <n v="69371"/>
    <n v="94939"/>
  </r>
  <r>
    <x v="0"/>
    <x v="10"/>
    <s v="E09000011"/>
    <n v="13650"/>
    <n v="7076"/>
    <n v="20726"/>
    <x v="10"/>
    <n v="30675"/>
    <n v="15857"/>
    <n v="46533"/>
    <x v="10"/>
    <n v="44325"/>
    <n v="22933"/>
    <n v="46533"/>
    <n v="69203"/>
  </r>
  <r>
    <x v="0"/>
    <x v="11"/>
    <s v="E09000012"/>
    <n v="12283"/>
    <n v="5354"/>
    <n v="17637"/>
    <x v="11"/>
    <n v="48409"/>
    <n v="19609"/>
    <n v="68018"/>
    <x v="11"/>
    <n v="60692"/>
    <n v="24963"/>
    <n v="68018"/>
    <n v="88544"/>
  </r>
  <r>
    <x v="0"/>
    <x v="12"/>
    <s v="E09000013"/>
    <n v="23615"/>
    <n v="4352"/>
    <n v="27967"/>
    <x v="12"/>
    <n v="63193"/>
    <n v="26903"/>
    <n v="90096"/>
    <x v="12"/>
    <n v="86808"/>
    <n v="31255"/>
    <n v="90096"/>
    <n v="120538"/>
  </r>
  <r>
    <x v="0"/>
    <x v="13"/>
    <s v="E09000014"/>
    <n v="8092"/>
    <n v="6844"/>
    <n v="14936"/>
    <x v="13"/>
    <n v="29702"/>
    <n v="15096"/>
    <n v="44798"/>
    <x v="13"/>
    <n v="37794"/>
    <n v="21940"/>
    <n v="44798"/>
    <n v="62393"/>
  </r>
  <r>
    <x v="0"/>
    <x v="14"/>
    <s v="E09000015"/>
    <n v="8031"/>
    <n v="4031"/>
    <n v="12062"/>
    <x v="14"/>
    <n v="36880"/>
    <n v="15633"/>
    <n v="52513"/>
    <x v="14"/>
    <n v="44911"/>
    <n v="19665"/>
    <n v="52513"/>
    <n v="67301"/>
  </r>
  <r>
    <x v="0"/>
    <x v="15"/>
    <s v="E09000016"/>
    <n v="10487"/>
    <n v="6037"/>
    <n v="16524"/>
    <x v="15"/>
    <n v="36048"/>
    <n v="18988"/>
    <n v="55036"/>
    <x v="15"/>
    <n v="46536"/>
    <n v="25025"/>
    <n v="55036"/>
    <n v="74156"/>
  </r>
  <r>
    <x v="0"/>
    <x v="16"/>
    <s v="E09000017"/>
    <n v="15402"/>
    <n v="5379"/>
    <n v="20781"/>
    <x v="16"/>
    <n v="123964"/>
    <n v="38949"/>
    <n v="162912"/>
    <x v="16"/>
    <n v="139366"/>
    <n v="44328"/>
    <n v="162912"/>
    <n v="186545"/>
  </r>
  <r>
    <x v="0"/>
    <x v="17"/>
    <s v="E09000018"/>
    <n v="12390"/>
    <n v="5101"/>
    <n v="17491"/>
    <x v="17"/>
    <n v="79813"/>
    <n v="24949"/>
    <n v="104763"/>
    <x v="17"/>
    <n v="92203"/>
    <n v="30050"/>
    <n v="104763"/>
    <n v="124769"/>
  </r>
  <r>
    <x v="0"/>
    <x v="18"/>
    <s v="E09000019"/>
    <n v="26574"/>
    <n v="7184"/>
    <n v="33758"/>
    <x v="18"/>
    <n v="115554"/>
    <n v="33146"/>
    <n v="148700"/>
    <x v="18"/>
    <n v="142128"/>
    <n v="40329"/>
    <n v="148700"/>
    <n v="188154"/>
  </r>
  <r>
    <x v="0"/>
    <x v="19"/>
    <s v="E09000020"/>
    <n v="15991"/>
    <n v="5305"/>
    <n v="21297"/>
    <x v="19"/>
    <n v="63368"/>
    <n v="25973"/>
    <n v="89341"/>
    <x v="19"/>
    <n v="79359"/>
    <n v="31279"/>
    <n v="89341"/>
    <n v="113566"/>
  </r>
  <r>
    <x v="0"/>
    <x v="20"/>
    <s v="E09000021"/>
    <n v="8771"/>
    <n v="6391"/>
    <n v="15162"/>
    <x v="20"/>
    <n v="40875"/>
    <n v="19608"/>
    <n v="60483"/>
    <x v="20"/>
    <n v="49646"/>
    <n v="25999"/>
    <n v="60483"/>
    <n v="77360"/>
  </r>
  <r>
    <x v="0"/>
    <x v="21"/>
    <s v="E09000022"/>
    <n v="27845"/>
    <n v="6806"/>
    <n v="34651"/>
    <x v="21"/>
    <n v="63945"/>
    <n v="27808"/>
    <n v="91753"/>
    <x v="21"/>
    <n v="91790"/>
    <n v="34614"/>
    <n v="91753"/>
    <n v="129937"/>
  </r>
  <r>
    <x v="0"/>
    <x v="22"/>
    <s v="E09000023"/>
    <n v="9934"/>
    <n v="7793"/>
    <n v="17727"/>
    <x v="22"/>
    <n v="26910"/>
    <n v="13843"/>
    <n v="40753"/>
    <x v="22"/>
    <n v="36844"/>
    <n v="21636"/>
    <n v="40753"/>
    <n v="60653"/>
  </r>
  <r>
    <x v="0"/>
    <x v="23"/>
    <s v="E09000024"/>
    <n v="6629"/>
    <n v="3682"/>
    <n v="10311"/>
    <x v="23"/>
    <n v="38553"/>
    <n v="16199"/>
    <n v="54751"/>
    <x v="23"/>
    <n v="45181"/>
    <n v="19881"/>
    <n v="54751"/>
    <n v="67103"/>
  </r>
  <r>
    <x v="0"/>
    <x v="24"/>
    <s v="E09000025"/>
    <n v="17238"/>
    <n v="6881"/>
    <n v="24119"/>
    <x v="24"/>
    <n v="32347"/>
    <n v="16089"/>
    <n v="48436"/>
    <x v="24"/>
    <n v="49585"/>
    <n v="22970"/>
    <n v="48436"/>
    <n v="74730"/>
  </r>
  <r>
    <x v="0"/>
    <x v="25"/>
    <s v="E09000026"/>
    <n v="10940"/>
    <n v="7143"/>
    <n v="18083"/>
    <x v="25"/>
    <n v="30784"/>
    <n v="16088"/>
    <n v="46873"/>
    <x v="25"/>
    <n v="41724"/>
    <n v="23231"/>
    <n v="46873"/>
    <n v="67059"/>
  </r>
  <r>
    <x v="0"/>
    <x v="26"/>
    <s v="E09000027"/>
    <n v="7083"/>
    <n v="3510"/>
    <n v="10593"/>
    <x v="26"/>
    <n v="40896"/>
    <n v="16902"/>
    <n v="57798"/>
    <x v="26"/>
    <n v="47979"/>
    <n v="20412"/>
    <n v="57798"/>
    <n v="71232"/>
  </r>
  <r>
    <x v="0"/>
    <x v="27"/>
    <s v="E09000028"/>
    <n v="25697"/>
    <n v="5918"/>
    <n v="31615"/>
    <x v="27"/>
    <n v="107204"/>
    <n v="34102"/>
    <n v="141306"/>
    <x v="27"/>
    <n v="132901"/>
    <n v="40020"/>
    <n v="141306"/>
    <n v="177949"/>
  </r>
  <r>
    <x v="0"/>
    <x v="28"/>
    <s v="E09000029"/>
    <n v="8815"/>
    <n v="6273"/>
    <n v="15088"/>
    <x v="28"/>
    <n v="34256"/>
    <n v="14109"/>
    <n v="48365"/>
    <x v="28"/>
    <n v="43071"/>
    <n v="20382"/>
    <n v="48365"/>
    <n v="65686"/>
  </r>
  <r>
    <x v="0"/>
    <x v="29"/>
    <s v="E09000030"/>
    <n v="30945"/>
    <n v="7613"/>
    <n v="38558"/>
    <x v="29"/>
    <n v="135646"/>
    <n v="30167"/>
    <n v="165813"/>
    <x v="29"/>
    <n v="166592"/>
    <n v="37780"/>
    <n v="165813"/>
    <n v="208854"/>
  </r>
  <r>
    <x v="0"/>
    <x v="30"/>
    <s v="E09000031"/>
    <n v="9137"/>
    <n v="4978"/>
    <n v="14115"/>
    <x v="30"/>
    <n v="27208"/>
    <n v="12575"/>
    <n v="39783"/>
    <x v="30"/>
    <n v="36345"/>
    <n v="17553"/>
    <n v="39783"/>
    <n v="55580"/>
  </r>
  <r>
    <x v="0"/>
    <x v="31"/>
    <s v="E09000032"/>
    <n v="19573"/>
    <n v="5736"/>
    <n v="25309"/>
    <x v="31"/>
    <n v="54619"/>
    <n v="23317"/>
    <n v="77936"/>
    <x v="31"/>
    <n v="74192"/>
    <n v="29053"/>
    <n v="77936"/>
    <n v="106256"/>
  </r>
  <r>
    <x v="0"/>
    <x v="32"/>
    <s v="E09000033"/>
    <n v="78116"/>
    <n v="13050"/>
    <n v="91166"/>
    <x v="32"/>
    <n v="398802"/>
    <n v="120676"/>
    <n v="519478"/>
    <x v="32"/>
    <n v="476918"/>
    <n v="133727"/>
    <n v="519478"/>
    <n v="632963"/>
  </r>
  <r>
    <x v="0"/>
    <x v="33"/>
    <s v="E13000001"/>
    <n v="342671"/>
    <n v="92976"/>
    <n v="435647"/>
    <x v="33"/>
    <n v="1593886"/>
    <n v="477146"/>
    <n v="2071031"/>
    <x v="33"/>
    <n v="1936557"/>
    <n v="570121"/>
    <n v="2071031"/>
    <n v="2586823"/>
  </r>
  <r>
    <x v="0"/>
    <x v="34"/>
    <s v="E13000002"/>
    <n v="212384"/>
    <n v="113965"/>
    <n v="326349"/>
    <x v="34"/>
    <n v="922349"/>
    <n v="387644"/>
    <n v="1309994"/>
    <x v="34"/>
    <n v="1134734"/>
    <n v="501609"/>
    <n v="1309994"/>
    <n v="1685129"/>
  </r>
  <r>
    <x v="0"/>
    <x v="35"/>
    <s v="E12000001"/>
    <n v="177771"/>
    <n v="99075"/>
    <n v="276846"/>
    <x v="35"/>
    <n v="500107"/>
    <n v="234730"/>
    <n v="734837"/>
    <x v="35"/>
    <n v="677878"/>
    <n v="333804"/>
    <n v="734837"/>
    <n v="1049958"/>
  </r>
  <r>
    <x v="0"/>
    <x v="36"/>
    <s v="E12000002"/>
    <n v="438228"/>
    <n v="253554"/>
    <n v="691783"/>
    <x v="36"/>
    <n v="1612103"/>
    <n v="707807"/>
    <n v="2319910"/>
    <x v="36"/>
    <n v="2050331"/>
    <n v="961361"/>
    <n v="2319910"/>
    <n v="3118252"/>
  </r>
  <r>
    <x v="0"/>
    <x v="37"/>
    <s v="E12000003"/>
    <n v="333458"/>
    <n v="198761"/>
    <n v="532219"/>
    <x v="37"/>
    <n v="1122332"/>
    <n v="569863"/>
    <n v="1692195"/>
    <x v="37"/>
    <n v="1455790"/>
    <n v="768624"/>
    <n v="1692195"/>
    <n v="2329121"/>
  </r>
  <r>
    <x v="0"/>
    <x v="38"/>
    <s v="E12000004"/>
    <n v="221454"/>
    <n v="177885"/>
    <n v="399339"/>
    <x v="38"/>
    <n v="1044387"/>
    <n v="463257"/>
    <n v="1507645"/>
    <x v="38"/>
    <n v="1265841"/>
    <n v="641142"/>
    <n v="1507645"/>
    <n v="1994786"/>
  </r>
  <r>
    <x v="0"/>
    <x v="39"/>
    <s v="E12000005"/>
    <n v="303381"/>
    <n v="207067"/>
    <n v="510448"/>
    <x v="39"/>
    <n v="1251838"/>
    <n v="539989"/>
    <n v="1791827"/>
    <x v="39"/>
    <n v="1555220"/>
    <n v="747055"/>
    <n v="1791827"/>
    <n v="2403489"/>
  </r>
  <r>
    <x v="0"/>
    <x v="40"/>
    <s v="E12000006"/>
    <n v="287090"/>
    <n v="198797"/>
    <n v="485887"/>
    <x v="40"/>
    <n v="1324936"/>
    <n v="611719"/>
    <n v="1936655"/>
    <x v="40"/>
    <n v="1612026"/>
    <n v="810516"/>
    <n v="1936655"/>
    <n v="2540035"/>
  </r>
  <r>
    <x v="0"/>
    <x v="41"/>
    <s v="E12000007"/>
    <n v="555380"/>
    <n v="207052"/>
    <n v="762433"/>
    <x v="41"/>
    <n v="2516235"/>
    <n v="864790"/>
    <n v="3381025"/>
    <x v="41"/>
    <n v="3071615"/>
    <n v="1071842"/>
    <n v="3381025"/>
    <n v="4272682"/>
  </r>
  <r>
    <x v="0"/>
    <x v="42"/>
    <s v="E12000008"/>
    <n v="427039"/>
    <n v="264610"/>
    <n v="691649"/>
    <x v="42"/>
    <n v="2109992"/>
    <n v="925542"/>
    <n v="3035534"/>
    <x v="42"/>
    <n v="2537030"/>
    <n v="1190152"/>
    <n v="3035534"/>
    <n v="3890939"/>
  </r>
  <r>
    <x v="0"/>
    <x v="43"/>
    <s v="E12000009"/>
    <n v="287910"/>
    <n v="213983"/>
    <n v="501893"/>
    <x v="43"/>
    <n v="1194994"/>
    <n v="617556"/>
    <n v="1812550"/>
    <x v="43"/>
    <n v="1482905"/>
    <n v="831539"/>
    <n v="1812550"/>
    <n v="2468836"/>
  </r>
  <r>
    <x v="0"/>
    <x v="44"/>
    <s v="W92000004"/>
    <n v="212601"/>
    <n v="129527"/>
    <n v="342128"/>
    <x v="44"/>
    <n v="553106"/>
    <n v="275900"/>
    <n v="829006"/>
    <x v="44"/>
    <n v="765708"/>
    <n v="405426"/>
    <n v="829006"/>
    <n v="1267039"/>
  </r>
  <r>
    <x v="0"/>
    <x v="45"/>
    <s v="S92000003"/>
    <n v="423356"/>
    <n v="243697"/>
    <n v="667053"/>
    <x v="45"/>
    <n v="1212528"/>
    <n v="527202"/>
    <n v="1739729"/>
    <x v="45"/>
    <n v="1635884"/>
    <n v="770899"/>
    <n v="1739729"/>
    <n v="2523054"/>
  </r>
  <r>
    <x v="0"/>
    <x v="46"/>
    <s v="E92000001"/>
    <n v="3031712"/>
    <n v="1820785"/>
    <n v="4852497"/>
    <x v="46"/>
    <n v="12676924"/>
    <n v="5535252"/>
    <n v="18212177"/>
    <x v="46"/>
    <n v="15708636"/>
    <n v="7356037"/>
    <n v="18212177"/>
    <n v="24068097"/>
  </r>
  <r>
    <x v="0"/>
    <x v="47"/>
    <s v="K03000001"/>
    <n v="3667669"/>
    <n v="2194009"/>
    <n v="5861678"/>
    <x v="47"/>
    <n v="14442558"/>
    <n v="6338353"/>
    <n v="20780913"/>
    <x v="47"/>
    <n v="18110227"/>
    <n v="8532362"/>
    <n v="20780913"/>
    <n v="27858190"/>
  </r>
  <r>
    <x v="1"/>
    <x v="0"/>
    <s v="E09000001"/>
    <n v="17608"/>
    <n v="1940"/>
    <n v="19548"/>
    <x v="48"/>
    <n v="285116"/>
    <n v="40438"/>
    <n v="325539"/>
    <x v="48"/>
    <n v="302724"/>
    <n v="42378"/>
    <n v="325539"/>
    <n v="356623"/>
  </r>
  <r>
    <x v="1"/>
    <x v="1"/>
    <s v="E09000002"/>
    <n v="6695"/>
    <n v="5775"/>
    <n v="12470"/>
    <x v="49"/>
    <n v="26623"/>
    <n v="8391"/>
    <n v="35012"/>
    <x v="49"/>
    <n v="33318"/>
    <n v="14166"/>
    <n v="35012"/>
    <n v="48337"/>
  </r>
  <r>
    <x v="1"/>
    <x v="2"/>
    <s v="E09000003"/>
    <n v="15146"/>
    <n v="10899"/>
    <n v="26045"/>
    <x v="50"/>
    <n v="57701"/>
    <n v="28317"/>
    <n v="86015"/>
    <x v="50"/>
    <n v="72847"/>
    <n v="39216"/>
    <n v="86015"/>
    <n v="115750"/>
  </r>
  <r>
    <x v="1"/>
    <x v="3"/>
    <s v="E09000004"/>
    <n v="7445"/>
    <n v="5167"/>
    <n v="12613"/>
    <x v="51"/>
    <n v="34309"/>
    <n v="17770"/>
    <n v="52077"/>
    <x v="51"/>
    <n v="41754"/>
    <n v="22938"/>
    <n v="52077"/>
    <n v="66700"/>
  </r>
  <r>
    <x v="1"/>
    <x v="4"/>
    <s v="E09000005"/>
    <n v="14144"/>
    <n v="6906"/>
    <n v="21050"/>
    <x v="52"/>
    <n v="54185"/>
    <n v="21532"/>
    <n v="75715"/>
    <x v="52"/>
    <n v="68329"/>
    <n v="28438"/>
    <n v="75715"/>
    <n v="99000"/>
  </r>
  <r>
    <x v="1"/>
    <x v="5"/>
    <s v="E09000006"/>
    <n v="12078"/>
    <n v="9483"/>
    <n v="21561"/>
    <x v="53"/>
    <n v="50663"/>
    <n v="28154"/>
    <n v="78815"/>
    <x v="53"/>
    <n v="62742"/>
    <n v="37637"/>
    <n v="78815"/>
    <n v="103469"/>
  </r>
  <r>
    <x v="1"/>
    <x v="6"/>
    <s v="E09000007"/>
    <n v="34430"/>
    <n v="9917"/>
    <n v="44347"/>
    <x v="54"/>
    <n v="182870"/>
    <n v="52803"/>
    <n v="235662"/>
    <x v="54"/>
    <n v="217299"/>
    <n v="62721"/>
    <n v="235662"/>
    <n v="289253"/>
  </r>
  <r>
    <x v="1"/>
    <x v="7"/>
    <s v="E09000008"/>
    <n v="20715"/>
    <n v="8769"/>
    <n v="29483"/>
    <x v="55"/>
    <n v="60547"/>
    <n v="29153"/>
    <n v="89695"/>
    <x v="55"/>
    <n v="81261"/>
    <n v="37922"/>
    <n v="89695"/>
    <n v="122305"/>
  </r>
  <r>
    <x v="1"/>
    <x v="8"/>
    <s v="E09000009"/>
    <n v="12759"/>
    <n v="7239"/>
    <n v="19998"/>
    <x v="56"/>
    <n v="66016"/>
    <n v="23406"/>
    <n v="89419"/>
    <x v="56"/>
    <n v="78775"/>
    <n v="30645"/>
    <n v="89419"/>
    <n v="112121"/>
  </r>
  <r>
    <x v="1"/>
    <x v="9"/>
    <s v="E09000010"/>
    <n v="14581"/>
    <n v="9720"/>
    <n v="24301"/>
    <x v="57"/>
    <n v="46409"/>
    <n v="22934"/>
    <n v="69342"/>
    <x v="57"/>
    <n v="60990"/>
    <n v="32655"/>
    <n v="69342"/>
    <n v="95763"/>
  </r>
  <r>
    <x v="1"/>
    <x v="10"/>
    <s v="E09000011"/>
    <n v="14498"/>
    <n v="7120"/>
    <n v="21619"/>
    <x v="58"/>
    <n v="29414"/>
    <n v="16873"/>
    <n v="46285"/>
    <x v="58"/>
    <n v="43912"/>
    <n v="23994"/>
    <n v="46285"/>
    <n v="69701"/>
  </r>
  <r>
    <x v="1"/>
    <x v="11"/>
    <s v="E09000012"/>
    <n v="13660"/>
    <n v="5245"/>
    <n v="18905"/>
    <x v="59"/>
    <n v="48539"/>
    <n v="18103"/>
    <n v="66640"/>
    <x v="59"/>
    <n v="62199"/>
    <n v="23348"/>
    <n v="66640"/>
    <n v="88486"/>
  </r>
  <r>
    <x v="1"/>
    <x v="12"/>
    <s v="E09000013"/>
    <n v="26035"/>
    <n v="4354"/>
    <n v="30389"/>
    <x v="60"/>
    <n v="67176"/>
    <n v="27970"/>
    <n v="95141"/>
    <x v="60"/>
    <n v="93211"/>
    <n v="32324"/>
    <n v="95141"/>
    <n v="128039"/>
  </r>
  <r>
    <x v="1"/>
    <x v="13"/>
    <s v="E09000014"/>
    <n v="11173"/>
    <n v="4880"/>
    <n v="16053"/>
    <x v="61"/>
    <n v="28290"/>
    <n v="15562"/>
    <n v="43851"/>
    <x v="61"/>
    <n v="39463"/>
    <n v="20442"/>
    <n v="43851"/>
    <n v="61945"/>
  </r>
  <r>
    <x v="1"/>
    <x v="14"/>
    <s v="E09000015"/>
    <n v="6694"/>
    <n v="6405"/>
    <n v="13099"/>
    <x v="62"/>
    <n v="37475"/>
    <n v="15071"/>
    <n v="52545"/>
    <x v="62"/>
    <n v="44169"/>
    <n v="21476"/>
    <n v="52545"/>
    <n v="67737"/>
  </r>
  <r>
    <x v="1"/>
    <x v="15"/>
    <s v="E09000016"/>
    <n v="11240"/>
    <n v="5689"/>
    <n v="16929"/>
    <x v="63"/>
    <n v="35035"/>
    <n v="19191"/>
    <n v="54224"/>
    <x v="63"/>
    <n v="46275"/>
    <n v="24880"/>
    <n v="54224"/>
    <n v="73173"/>
  </r>
  <r>
    <x v="1"/>
    <x v="16"/>
    <s v="E09000017"/>
    <n v="14812"/>
    <n v="6485"/>
    <n v="21297"/>
    <x v="64"/>
    <n v="121930"/>
    <n v="39184"/>
    <n v="161111"/>
    <x v="64"/>
    <n v="136742"/>
    <n v="45669"/>
    <n v="161111"/>
    <n v="184779"/>
  </r>
  <r>
    <x v="1"/>
    <x v="17"/>
    <s v="E09000018"/>
    <n v="19398"/>
    <n v="5429"/>
    <n v="24827"/>
    <x v="65"/>
    <n v="74273"/>
    <n v="26303"/>
    <n v="100574"/>
    <x v="65"/>
    <n v="93672"/>
    <n v="31732"/>
    <n v="100574"/>
    <n v="127601"/>
  </r>
  <r>
    <x v="1"/>
    <x v="18"/>
    <s v="E09000019"/>
    <n v="28632"/>
    <n v="5643"/>
    <n v="34275"/>
    <x v="66"/>
    <n v="118196"/>
    <n v="31387"/>
    <n v="149575"/>
    <x v="66"/>
    <n v="146828"/>
    <n v="37030"/>
    <n v="149575"/>
    <n v="189258"/>
  </r>
  <r>
    <x v="1"/>
    <x v="19"/>
    <s v="E09000020"/>
    <n v="16417"/>
    <n v="6356"/>
    <n v="22774"/>
    <x v="67"/>
    <n v="64684"/>
    <n v="26050"/>
    <n v="90732"/>
    <x v="67"/>
    <n v="81101"/>
    <n v="32406"/>
    <n v="90732"/>
    <n v="116744"/>
  </r>
  <r>
    <x v="1"/>
    <x v="20"/>
    <s v="E09000021"/>
    <n v="9103"/>
    <n v="5522"/>
    <n v="14625"/>
    <x v="68"/>
    <n v="41240"/>
    <n v="20066"/>
    <n v="61306"/>
    <x v="68"/>
    <n v="50344"/>
    <n v="25588"/>
    <n v="61306"/>
    <n v="77350"/>
  </r>
  <r>
    <x v="1"/>
    <x v="21"/>
    <s v="E09000022"/>
    <n v="29086"/>
    <n v="7256"/>
    <n v="36342"/>
    <x v="69"/>
    <n v="60571"/>
    <n v="26665"/>
    <n v="87234"/>
    <x v="69"/>
    <n v="89656"/>
    <n v="33921"/>
    <n v="87234"/>
    <n v="126333"/>
  </r>
  <r>
    <x v="1"/>
    <x v="22"/>
    <s v="E09000023"/>
    <n v="10817"/>
    <n v="8079"/>
    <n v="18896"/>
    <x v="70"/>
    <n v="25588"/>
    <n v="14453"/>
    <n v="40040"/>
    <x v="70"/>
    <n v="36405"/>
    <n v="22532"/>
    <n v="40040"/>
    <n v="60761"/>
  </r>
  <r>
    <x v="1"/>
    <x v="23"/>
    <s v="E09000024"/>
    <n v="6920"/>
    <n v="3337"/>
    <n v="10257"/>
    <x v="71"/>
    <n v="38985"/>
    <n v="18013"/>
    <n v="56995"/>
    <x v="71"/>
    <n v="45905"/>
    <n v="21349"/>
    <n v="56995"/>
    <n v="69021"/>
  </r>
  <r>
    <x v="1"/>
    <x v="24"/>
    <s v="E09000025"/>
    <n v="16126"/>
    <n v="8205"/>
    <n v="24331"/>
    <x v="72"/>
    <n v="32235"/>
    <n v="16504"/>
    <n v="48738"/>
    <x v="72"/>
    <n v="48361"/>
    <n v="24709"/>
    <n v="48738"/>
    <n v="75061"/>
  </r>
  <r>
    <x v="1"/>
    <x v="25"/>
    <s v="E09000026"/>
    <n v="11778"/>
    <n v="6993"/>
    <n v="18771"/>
    <x v="73"/>
    <n v="30406"/>
    <n v="15449"/>
    <n v="45852"/>
    <x v="73"/>
    <n v="42185"/>
    <n v="22442"/>
    <n v="45852"/>
    <n v="66246"/>
  </r>
  <r>
    <x v="1"/>
    <x v="26"/>
    <s v="E09000027"/>
    <n v="7229"/>
    <n v="4258"/>
    <n v="11486"/>
    <x v="74"/>
    <n v="41608"/>
    <n v="17507"/>
    <n v="59112"/>
    <x v="74"/>
    <n v="48837"/>
    <n v="21764"/>
    <n v="59112"/>
    <n v="73088"/>
  </r>
  <r>
    <x v="1"/>
    <x v="27"/>
    <s v="E09000028"/>
    <n v="24890"/>
    <n v="5331"/>
    <n v="30222"/>
    <x v="75"/>
    <n v="113434"/>
    <n v="36735"/>
    <n v="150163"/>
    <x v="75"/>
    <n v="138324"/>
    <n v="42066"/>
    <n v="150163"/>
    <n v="185120"/>
  </r>
  <r>
    <x v="1"/>
    <x v="28"/>
    <s v="E09000029"/>
    <n v="9433"/>
    <n v="6301"/>
    <n v="15734"/>
    <x v="76"/>
    <n v="35414"/>
    <n v="14626"/>
    <n v="50039"/>
    <x v="76"/>
    <n v="44847"/>
    <n v="20927"/>
    <n v="50039"/>
    <n v="67527"/>
  </r>
  <r>
    <x v="1"/>
    <x v="29"/>
    <s v="E09000030"/>
    <n v="32715"/>
    <n v="8673"/>
    <n v="41388"/>
    <x v="77"/>
    <n v="133973"/>
    <n v="33099"/>
    <n v="167069"/>
    <x v="77"/>
    <n v="166689"/>
    <n v="41771"/>
    <n v="167069"/>
    <n v="212121"/>
  </r>
  <r>
    <x v="1"/>
    <x v="30"/>
    <s v="E09000031"/>
    <n v="10558"/>
    <n v="5053"/>
    <n v="15611"/>
    <x v="78"/>
    <n v="27184"/>
    <n v="12253"/>
    <n v="39434"/>
    <x v="78"/>
    <n v="37742"/>
    <n v="17306"/>
    <n v="39434"/>
    <n v="56553"/>
  </r>
  <r>
    <x v="1"/>
    <x v="31"/>
    <s v="E09000032"/>
    <n v="20383"/>
    <n v="5644"/>
    <n v="26027"/>
    <x v="79"/>
    <n v="53803"/>
    <n v="22867"/>
    <n v="76669"/>
    <x v="79"/>
    <n v="74186"/>
    <n v="28510"/>
    <n v="76669"/>
    <n v="105399"/>
  </r>
  <r>
    <x v="1"/>
    <x v="32"/>
    <s v="E09000033"/>
    <n v="83681"/>
    <n v="12745"/>
    <n v="96427"/>
    <x v="80"/>
    <n v="398114"/>
    <n v="115617"/>
    <n v="513712"/>
    <x v="80"/>
    <n v="481795"/>
    <n v="128362"/>
    <n v="513712"/>
    <n v="631444"/>
  </r>
  <r>
    <x v="1"/>
    <x v="33"/>
    <s v="E13000001"/>
    <n v="365654"/>
    <n v="94268"/>
    <n v="459922"/>
    <x v="81"/>
    <n v="1612588"/>
    <n v="478253"/>
    <n v="2090766"/>
    <x v="81"/>
    <n v="1978242"/>
    <n v="572522"/>
    <n v="2090766"/>
    <n v="2626587"/>
  </r>
  <r>
    <x v="1"/>
    <x v="34"/>
    <s v="E13000002"/>
    <n v="225227"/>
    <n v="126549"/>
    <n v="351776"/>
    <x v="82"/>
    <n v="909417"/>
    <n v="394192"/>
    <n v="1303568"/>
    <x v="82"/>
    <n v="1134644"/>
    <n v="520742"/>
    <n v="1303568"/>
    <n v="1696219"/>
  </r>
  <r>
    <x v="1"/>
    <x v="35"/>
    <s v="E12000001"/>
    <n v="180744"/>
    <n v="107079"/>
    <n v="287823"/>
    <x v="83"/>
    <n v="493475"/>
    <n v="229711"/>
    <n v="723186"/>
    <x v="83"/>
    <n v="674219"/>
    <n v="336790"/>
    <n v="723186"/>
    <n v="1044080"/>
  </r>
  <r>
    <x v="1"/>
    <x v="36"/>
    <s v="E12000002"/>
    <n v="453620"/>
    <n v="268005"/>
    <n v="721625"/>
    <x v="84"/>
    <n v="1561338"/>
    <n v="697241"/>
    <n v="2258579"/>
    <x v="84"/>
    <n v="2014958"/>
    <n v="965246"/>
    <n v="2258579"/>
    <n v="3083238"/>
  </r>
  <r>
    <x v="1"/>
    <x v="37"/>
    <s v="E12000003"/>
    <n v="340788"/>
    <n v="218866"/>
    <n v="559654"/>
    <x v="85"/>
    <n v="1125919"/>
    <n v="516723"/>
    <n v="1642642"/>
    <x v="85"/>
    <n v="1466707"/>
    <n v="735588"/>
    <n v="1642642"/>
    <n v="2288989"/>
  </r>
  <r>
    <x v="1"/>
    <x v="38"/>
    <s v="E12000004"/>
    <n v="238176"/>
    <n v="185469"/>
    <n v="423644"/>
    <x v="86"/>
    <n v="1047792"/>
    <n v="434464"/>
    <n v="1482256"/>
    <x v="86"/>
    <n v="1285968"/>
    <n v="619933"/>
    <n v="1482256"/>
    <n v="1986364"/>
  </r>
  <r>
    <x v="1"/>
    <x v="39"/>
    <s v="E12000005"/>
    <n v="321549"/>
    <n v="218925"/>
    <n v="540474"/>
    <x v="87"/>
    <n v="1227123"/>
    <n v="544133"/>
    <n v="1771257"/>
    <x v="87"/>
    <n v="1548672"/>
    <n v="763058"/>
    <n v="1771257"/>
    <n v="2400586"/>
  </r>
  <r>
    <x v="1"/>
    <x v="40"/>
    <s v="E12000006"/>
    <n v="293820"/>
    <n v="210836"/>
    <n v="504655"/>
    <x v="88"/>
    <n v="1278923"/>
    <n v="616496"/>
    <n v="1895418"/>
    <x v="88"/>
    <n v="1572742"/>
    <n v="827332"/>
    <n v="1895418"/>
    <n v="2497050"/>
  </r>
  <r>
    <x v="1"/>
    <x v="41"/>
    <s v="E12000007"/>
    <n v="591202"/>
    <n v="220919"/>
    <n v="812121"/>
    <x v="89"/>
    <n v="2522005"/>
    <n v="872446"/>
    <n v="3394334"/>
    <x v="89"/>
    <n v="3113207"/>
    <n v="1093365"/>
    <n v="3394334"/>
    <n v="4323562"/>
  </r>
  <r>
    <x v="1"/>
    <x v="42"/>
    <s v="E12000008"/>
    <n v="445124"/>
    <n v="283946"/>
    <n v="729070"/>
    <x v="90"/>
    <n v="2106839"/>
    <n v="947488"/>
    <n v="3054324"/>
    <x v="90"/>
    <n v="2551963"/>
    <n v="1231433"/>
    <n v="3054324"/>
    <n v="3934664"/>
  </r>
  <r>
    <x v="1"/>
    <x v="43"/>
    <s v="E12000009"/>
    <n v="308305"/>
    <n v="215533"/>
    <n v="523838"/>
    <x v="91"/>
    <n v="1162518"/>
    <n v="597931"/>
    <n v="1760379"/>
    <x v="91"/>
    <n v="1470823"/>
    <n v="813464"/>
    <n v="1760379"/>
    <n v="2423464"/>
  </r>
  <r>
    <x v="1"/>
    <x v="44"/>
    <s v="W92000004"/>
    <n v="211748"/>
    <n v="138180"/>
    <n v="349928"/>
    <x v="92"/>
    <n v="538363"/>
    <n v="277228"/>
    <n v="815592"/>
    <x v="92"/>
    <n v="750111"/>
    <n v="415408"/>
    <n v="815592"/>
    <n v="1254284"/>
  </r>
  <r>
    <x v="1"/>
    <x v="45"/>
    <s v="S92000003"/>
    <n v="427759"/>
    <n v="238172"/>
    <n v="665931"/>
    <x v="93"/>
    <n v="1141827"/>
    <n v="522754"/>
    <n v="1664580"/>
    <x v="93"/>
    <n v="1569586"/>
    <n v="760926"/>
    <n v="1664580"/>
    <n v="2435314"/>
  </r>
  <r>
    <x v="1"/>
    <x v="46"/>
    <s v="E92000001"/>
    <n v="3173328"/>
    <n v="1929576"/>
    <n v="5102904"/>
    <x v="94"/>
    <n v="12525932"/>
    <n v="5456632"/>
    <n v="17982375"/>
    <x v="94"/>
    <n v="15699261"/>
    <n v="7386208"/>
    <n v="17982375"/>
    <n v="23981996"/>
  </r>
  <r>
    <x v="1"/>
    <x v="47"/>
    <s v="K03000001"/>
    <n v="3812835"/>
    <n v="2305929"/>
    <n v="6118764"/>
    <x v="95"/>
    <n v="14206122"/>
    <n v="6256614"/>
    <n v="20462547"/>
    <x v="95"/>
    <n v="18018957"/>
    <n v="8562543"/>
    <n v="20462547"/>
    <n v="27671593"/>
  </r>
  <r>
    <x v="2"/>
    <x v="0"/>
    <s v="E09000001"/>
    <n v="17869"/>
    <n v="2513"/>
    <n v="20381"/>
    <x v="96"/>
    <n v="309329"/>
    <n v="44356"/>
    <n v="353685"/>
    <x v="96"/>
    <n v="327197"/>
    <n v="46869"/>
    <n v="353685"/>
    <n v="388573"/>
  </r>
  <r>
    <x v="2"/>
    <x v="1"/>
    <s v="E09000002"/>
    <n v="5023"/>
    <n v="5815"/>
    <n v="10838"/>
    <x v="97"/>
    <n v="27525"/>
    <n v="9008"/>
    <n v="36533"/>
    <x v="97"/>
    <n v="32548"/>
    <n v="14823"/>
    <n v="36533"/>
    <n v="48656"/>
  </r>
  <r>
    <x v="2"/>
    <x v="2"/>
    <s v="E09000003"/>
    <n v="16001"/>
    <n v="8675"/>
    <n v="24676"/>
    <x v="98"/>
    <n v="58051"/>
    <n v="30354"/>
    <n v="88405"/>
    <x v="98"/>
    <n v="74052"/>
    <n v="39029"/>
    <n v="88405"/>
    <n v="118344"/>
  </r>
  <r>
    <x v="2"/>
    <x v="3"/>
    <s v="E09000004"/>
    <n v="6965"/>
    <n v="5122"/>
    <n v="12087"/>
    <x v="99"/>
    <n v="32986"/>
    <n v="18339"/>
    <n v="51325"/>
    <x v="99"/>
    <n v="39951"/>
    <n v="23461"/>
    <n v="51325"/>
    <n v="65787"/>
  </r>
  <r>
    <x v="2"/>
    <x v="4"/>
    <s v="E09000005"/>
    <n v="14023"/>
    <n v="7124"/>
    <n v="21146"/>
    <x v="100"/>
    <n v="54429"/>
    <n v="22317"/>
    <n v="76745"/>
    <x v="100"/>
    <n v="68451"/>
    <n v="29441"/>
    <n v="76745"/>
    <n v="101055"/>
  </r>
  <r>
    <x v="2"/>
    <x v="5"/>
    <s v="E09000006"/>
    <n v="12090"/>
    <n v="8660"/>
    <n v="20750"/>
    <x v="101"/>
    <n v="47934"/>
    <n v="27175"/>
    <n v="75109"/>
    <x v="101"/>
    <n v="60024"/>
    <n v="35836"/>
    <n v="75109"/>
    <n v="99719"/>
  </r>
  <r>
    <x v="2"/>
    <x v="6"/>
    <s v="E09000007"/>
    <n v="36790"/>
    <n v="8791"/>
    <n v="45581"/>
    <x v="102"/>
    <n v="189772"/>
    <n v="62356"/>
    <n v="252128"/>
    <x v="102"/>
    <n v="226562"/>
    <n v="71147"/>
    <n v="252128"/>
    <n v="310517"/>
  </r>
  <r>
    <x v="2"/>
    <x v="7"/>
    <s v="E09000008"/>
    <n v="15724"/>
    <n v="12273"/>
    <n v="27997"/>
    <x v="103"/>
    <n v="57605"/>
    <n v="28114"/>
    <n v="85719"/>
    <x v="103"/>
    <n v="73329"/>
    <n v="40387"/>
    <n v="85719"/>
    <n v="117433"/>
  </r>
  <r>
    <x v="2"/>
    <x v="8"/>
    <s v="E09000009"/>
    <n v="14580"/>
    <n v="6848"/>
    <n v="21429"/>
    <x v="104"/>
    <n v="70229"/>
    <n v="26311"/>
    <n v="96540"/>
    <x v="104"/>
    <n v="84809"/>
    <n v="33160"/>
    <n v="96540"/>
    <n v="121289"/>
  </r>
  <r>
    <x v="2"/>
    <x v="9"/>
    <s v="E09000010"/>
    <n v="15125"/>
    <n v="7814"/>
    <n v="22939"/>
    <x v="105"/>
    <n v="46411"/>
    <n v="23080"/>
    <n v="69491"/>
    <x v="105"/>
    <n v="61536"/>
    <n v="30894"/>
    <n v="69491"/>
    <n v="95125"/>
  </r>
  <r>
    <x v="2"/>
    <x v="10"/>
    <s v="E09000011"/>
    <n v="14484"/>
    <n v="8000"/>
    <n v="22484"/>
    <x v="106"/>
    <n v="29250"/>
    <n v="17171"/>
    <n v="46421"/>
    <x v="106"/>
    <n v="43734"/>
    <n v="25170"/>
    <n v="46421"/>
    <n v="71184"/>
  </r>
  <r>
    <x v="2"/>
    <x v="11"/>
    <s v="E09000012"/>
    <n v="13451"/>
    <n v="5263"/>
    <n v="18714"/>
    <x v="107"/>
    <n v="50363"/>
    <n v="20766"/>
    <n v="71129"/>
    <x v="107"/>
    <n v="63814"/>
    <n v="26029"/>
    <n v="71129"/>
    <n v="93725"/>
  </r>
  <r>
    <x v="2"/>
    <x v="12"/>
    <s v="E09000013"/>
    <n v="23320"/>
    <n v="3789"/>
    <n v="27110"/>
    <x v="108"/>
    <n v="67151"/>
    <n v="28163"/>
    <n v="95314"/>
    <x v="108"/>
    <n v="90471"/>
    <n v="31952"/>
    <n v="95314"/>
    <n v="125297"/>
  </r>
  <r>
    <x v="2"/>
    <x v="13"/>
    <s v="E09000014"/>
    <n v="9940"/>
    <n v="4374"/>
    <n v="14314"/>
    <x v="109"/>
    <n v="29107"/>
    <n v="15878"/>
    <n v="44985"/>
    <x v="109"/>
    <n v="39046"/>
    <n v="20253"/>
    <n v="44985"/>
    <n v="61856"/>
  </r>
  <r>
    <x v="2"/>
    <x v="14"/>
    <s v="E09000015"/>
    <n v="5802"/>
    <n v="7085"/>
    <n v="12888"/>
    <x v="110"/>
    <n v="34667"/>
    <n v="16380"/>
    <n v="51047"/>
    <x v="110"/>
    <n v="40470"/>
    <n v="23465"/>
    <n v="51047"/>
    <n v="66747"/>
  </r>
  <r>
    <x v="2"/>
    <x v="15"/>
    <s v="E09000016"/>
    <n v="10677"/>
    <n v="6078"/>
    <n v="16754"/>
    <x v="111"/>
    <n v="34435"/>
    <n v="18806"/>
    <n v="53241"/>
    <x v="111"/>
    <n v="45112"/>
    <n v="24884"/>
    <n v="53241"/>
    <n v="72659"/>
  </r>
  <r>
    <x v="2"/>
    <x v="16"/>
    <s v="E09000017"/>
    <n v="12659"/>
    <n v="8626"/>
    <n v="21285"/>
    <x v="112"/>
    <n v="121161"/>
    <n v="41234"/>
    <n v="162394"/>
    <x v="112"/>
    <n v="133820"/>
    <n v="49859"/>
    <n v="162394"/>
    <n v="186606"/>
  </r>
  <r>
    <x v="2"/>
    <x v="17"/>
    <s v="E09000018"/>
    <n v="11587"/>
    <n v="6033"/>
    <n v="17620"/>
    <x v="113"/>
    <n v="82848"/>
    <n v="25914"/>
    <n v="108761"/>
    <x v="113"/>
    <n v="94435"/>
    <n v="31946"/>
    <n v="108761"/>
    <n v="129116"/>
  </r>
  <r>
    <x v="2"/>
    <x v="18"/>
    <s v="E09000019"/>
    <n v="24629"/>
    <n v="6421"/>
    <n v="31051"/>
    <x v="114"/>
    <n v="119020"/>
    <n v="30601"/>
    <n v="149621"/>
    <x v="114"/>
    <n v="143650"/>
    <n v="37022"/>
    <n v="149621"/>
    <n v="187475"/>
  </r>
  <r>
    <x v="2"/>
    <x v="19"/>
    <s v="E09000020"/>
    <n v="16123"/>
    <n v="3610"/>
    <n v="19732"/>
    <x v="115"/>
    <n v="66631"/>
    <n v="28134"/>
    <n v="94765"/>
    <x v="115"/>
    <n v="82754"/>
    <n v="31744"/>
    <n v="94765"/>
    <n v="118475"/>
  </r>
  <r>
    <x v="2"/>
    <x v="20"/>
    <s v="E09000021"/>
    <n v="8796"/>
    <n v="5821"/>
    <n v="14617"/>
    <x v="116"/>
    <n v="37366"/>
    <n v="19059"/>
    <n v="56425"/>
    <x v="116"/>
    <n v="46162"/>
    <n v="24880"/>
    <n v="56425"/>
    <n v="72950"/>
  </r>
  <r>
    <x v="2"/>
    <x v="21"/>
    <s v="E09000022"/>
    <n v="26700"/>
    <n v="6870"/>
    <n v="33570"/>
    <x v="117"/>
    <n v="65879"/>
    <n v="28025"/>
    <n v="93904"/>
    <x v="117"/>
    <n v="92579"/>
    <n v="34894"/>
    <n v="93904"/>
    <n v="130949"/>
  </r>
  <r>
    <x v="2"/>
    <x v="22"/>
    <s v="E09000023"/>
    <n v="12327"/>
    <n v="4738"/>
    <n v="17065"/>
    <x v="118"/>
    <n v="26155"/>
    <n v="15631"/>
    <n v="41786"/>
    <x v="118"/>
    <n v="38483"/>
    <n v="20369"/>
    <n v="41786"/>
    <n v="61105"/>
  </r>
  <r>
    <x v="2"/>
    <x v="23"/>
    <s v="E09000024"/>
    <n v="6810"/>
    <n v="3621"/>
    <n v="10432"/>
    <x v="119"/>
    <n v="40925"/>
    <n v="18109"/>
    <n v="59034"/>
    <x v="119"/>
    <n v="47735"/>
    <n v="21730"/>
    <n v="59034"/>
    <n v="71487"/>
  </r>
  <r>
    <x v="2"/>
    <x v="24"/>
    <s v="E09000025"/>
    <n v="18294"/>
    <n v="4817"/>
    <n v="23111"/>
    <x v="120"/>
    <n v="34449"/>
    <n v="17752"/>
    <n v="52201"/>
    <x v="120"/>
    <n v="52743"/>
    <n v="22568"/>
    <n v="52201"/>
    <n v="77415"/>
  </r>
  <r>
    <x v="2"/>
    <x v="25"/>
    <s v="E09000026"/>
    <n v="11732"/>
    <n v="6597"/>
    <n v="18328"/>
    <x v="121"/>
    <n v="31009"/>
    <n v="16324"/>
    <n v="47334"/>
    <x v="121"/>
    <n v="42741"/>
    <n v="22921"/>
    <n v="47334"/>
    <n v="67874"/>
  </r>
  <r>
    <x v="2"/>
    <x v="26"/>
    <s v="E09000027"/>
    <n v="6991"/>
    <n v="4220"/>
    <n v="11211"/>
    <x v="122"/>
    <n v="42051"/>
    <n v="18683"/>
    <n v="60735"/>
    <x v="122"/>
    <n v="49042"/>
    <n v="22903"/>
    <n v="60735"/>
    <n v="75156"/>
  </r>
  <r>
    <x v="2"/>
    <x v="27"/>
    <s v="E09000028"/>
    <n v="32409"/>
    <n v="8012"/>
    <n v="40421"/>
    <x v="123"/>
    <n v="110555"/>
    <n v="36716"/>
    <n v="147271"/>
    <x v="123"/>
    <n v="142964"/>
    <n v="44728"/>
    <n v="147271"/>
    <n v="194142"/>
  </r>
  <r>
    <x v="2"/>
    <x v="28"/>
    <s v="E09000029"/>
    <n v="8946"/>
    <n v="6392"/>
    <n v="15338"/>
    <x v="124"/>
    <n v="36908"/>
    <n v="15244"/>
    <n v="52152"/>
    <x v="124"/>
    <n v="45855"/>
    <n v="21636"/>
    <n v="52152"/>
    <n v="69691"/>
  </r>
  <r>
    <x v="2"/>
    <x v="29"/>
    <s v="E09000030"/>
    <n v="33739"/>
    <n v="8814"/>
    <n v="42553"/>
    <x v="125"/>
    <n v="156074"/>
    <n v="34395"/>
    <n v="190469"/>
    <x v="125"/>
    <n v="189813"/>
    <n v="43209"/>
    <n v="190469"/>
    <n v="237653"/>
  </r>
  <r>
    <x v="2"/>
    <x v="30"/>
    <s v="E09000031"/>
    <n v="10748"/>
    <n v="4961"/>
    <n v="15709"/>
    <x v="126"/>
    <n v="29114"/>
    <n v="12867"/>
    <n v="41981"/>
    <x v="126"/>
    <n v="39861"/>
    <n v="17828"/>
    <n v="41981"/>
    <n v="59821"/>
  </r>
  <r>
    <x v="2"/>
    <x v="31"/>
    <s v="E09000032"/>
    <n v="18937"/>
    <n v="6132"/>
    <n v="25069"/>
    <x v="127"/>
    <n v="54081"/>
    <n v="24241"/>
    <n v="78322"/>
    <x v="127"/>
    <n v="73018"/>
    <n v="30373"/>
    <n v="78322"/>
    <n v="106735"/>
  </r>
  <r>
    <x v="2"/>
    <x v="32"/>
    <s v="E09000033"/>
    <n v="71788"/>
    <n v="14389"/>
    <n v="86176"/>
    <x v="128"/>
    <n v="407943"/>
    <n v="127053"/>
    <n v="534996"/>
    <x v="128"/>
    <n v="479731"/>
    <n v="141441"/>
    <n v="534996"/>
    <n v="644200"/>
  </r>
  <r>
    <x v="2"/>
    <x v="33"/>
    <s v="E13000001"/>
    <n v="356316"/>
    <n v="88533"/>
    <n v="444848"/>
    <x v="129"/>
    <n v="1686509"/>
    <n v="514067"/>
    <n v="2200575"/>
    <x v="129"/>
    <n v="2042825"/>
    <n v="602599"/>
    <n v="2200575"/>
    <n v="2738115"/>
  </r>
  <r>
    <x v="2"/>
    <x v="34"/>
    <s v="E13000002"/>
    <n v="208764"/>
    <n v="129763"/>
    <n v="338527"/>
    <x v="130"/>
    <n v="914903"/>
    <n v="404489"/>
    <n v="1319392"/>
    <x v="130"/>
    <n v="1123667"/>
    <n v="534253"/>
    <n v="1319392"/>
    <n v="1710701"/>
  </r>
  <r>
    <x v="2"/>
    <x v="35"/>
    <s v="E12000001"/>
    <n v="170958"/>
    <n v="100746"/>
    <n v="271703"/>
    <x v="131"/>
    <n v="494261"/>
    <n v="240166"/>
    <n v="734428"/>
    <x v="131"/>
    <n v="665219"/>
    <n v="340912"/>
    <n v="734428"/>
    <n v="1036478"/>
  </r>
  <r>
    <x v="2"/>
    <x v="36"/>
    <s v="E12000002"/>
    <n v="426674"/>
    <n v="260046"/>
    <n v="686720"/>
    <x v="132"/>
    <n v="1595866"/>
    <n v="694674"/>
    <n v="2290541"/>
    <x v="132"/>
    <n v="2022540"/>
    <n v="954720"/>
    <n v="2290541"/>
    <n v="3086090"/>
  </r>
  <r>
    <x v="2"/>
    <x v="37"/>
    <s v="E12000003"/>
    <n v="317360"/>
    <n v="212266"/>
    <n v="529625"/>
    <x v="133"/>
    <n v="1144640"/>
    <n v="509951"/>
    <n v="1654590"/>
    <x v="133"/>
    <n v="1462000"/>
    <n v="722217"/>
    <n v="1654590"/>
    <n v="2274110"/>
  </r>
  <r>
    <x v="2"/>
    <x v="38"/>
    <s v="E12000004"/>
    <n v="225018"/>
    <n v="178488"/>
    <n v="403507"/>
    <x v="134"/>
    <n v="1058895"/>
    <n v="439108"/>
    <n v="1498003"/>
    <x v="134"/>
    <n v="1283913"/>
    <n v="617597"/>
    <n v="1498003"/>
    <n v="1982397"/>
  </r>
  <r>
    <x v="2"/>
    <x v="39"/>
    <s v="E12000005"/>
    <n v="303394"/>
    <n v="216809"/>
    <n v="520204"/>
    <x v="135"/>
    <n v="1253675"/>
    <n v="527628"/>
    <n v="1781303"/>
    <x v="135"/>
    <n v="1557069"/>
    <n v="744437"/>
    <n v="1781303"/>
    <n v="2400978"/>
  </r>
  <r>
    <x v="2"/>
    <x v="40"/>
    <s v="E12000006"/>
    <n v="275751"/>
    <n v="210526"/>
    <n v="486277"/>
    <x v="136"/>
    <n v="1287002"/>
    <n v="631996"/>
    <n v="1918999"/>
    <x v="136"/>
    <n v="1562753"/>
    <n v="842522"/>
    <n v="1918999"/>
    <n v="2518265"/>
  </r>
  <r>
    <x v="2"/>
    <x v="41"/>
    <s v="E12000007"/>
    <n v="565357"/>
    <n v="218398"/>
    <n v="783756"/>
    <x v="137"/>
    <n v="2601412"/>
    <n v="918556"/>
    <n v="3519967"/>
    <x v="137"/>
    <n v="3166770"/>
    <n v="1136954"/>
    <n v="3519967"/>
    <n v="4449520"/>
  </r>
  <r>
    <x v="2"/>
    <x v="42"/>
    <s v="E12000008"/>
    <n v="422181"/>
    <n v="273442"/>
    <n v="695624"/>
    <x v="138"/>
    <n v="2067326"/>
    <n v="993001"/>
    <n v="3060327"/>
    <x v="138"/>
    <n v="2489507"/>
    <n v="1266443"/>
    <n v="3060327"/>
    <n v="3920784"/>
  </r>
  <r>
    <x v="2"/>
    <x v="43"/>
    <s v="E12000009"/>
    <n v="286598"/>
    <n v="213869"/>
    <n v="500466"/>
    <x v="139"/>
    <n v="1115432"/>
    <n v="621749"/>
    <n v="1737180"/>
    <x v="139"/>
    <n v="1402030"/>
    <n v="835618"/>
    <n v="1737180"/>
    <n v="2393986"/>
  </r>
  <r>
    <x v="2"/>
    <x v="44"/>
    <s v="W92000004"/>
    <n v="214661"/>
    <n v="135711"/>
    <n v="350371"/>
    <x v="140"/>
    <n v="546470"/>
    <n v="273633"/>
    <n v="820102"/>
    <x v="140"/>
    <n v="761131"/>
    <n v="409343"/>
    <n v="820102"/>
    <n v="1261277"/>
  </r>
  <r>
    <x v="2"/>
    <x v="45"/>
    <s v="S92000003"/>
    <n v="407568"/>
    <n v="233787"/>
    <n v="641355"/>
    <x v="141"/>
    <n v="1161572"/>
    <n v="546859"/>
    <n v="1708433"/>
    <x v="141"/>
    <n v="1569140"/>
    <n v="780647"/>
    <n v="1708433"/>
    <n v="2472564"/>
  </r>
  <r>
    <x v="2"/>
    <x v="46"/>
    <s v="E92000001"/>
    <n v="2993291"/>
    <n v="1884590"/>
    <n v="4877882"/>
    <x v="142"/>
    <n v="12618509"/>
    <n v="5576829"/>
    <n v="18195338"/>
    <x v="142"/>
    <n v="15611800"/>
    <n v="7461419"/>
    <n v="18195338"/>
    <n v="24062609"/>
  </r>
  <r>
    <x v="2"/>
    <x v="47"/>
    <s v="K03000001"/>
    <n v="3615520"/>
    <n v="2254088"/>
    <n v="5869608"/>
    <x v="143"/>
    <n v="14326551"/>
    <n v="6397321"/>
    <n v="20723872"/>
    <x v="143"/>
    <n v="17942071"/>
    <n v="8651409"/>
    <n v="20723872"/>
    <n v="27796450"/>
  </r>
  <r>
    <x v="3"/>
    <x v="0"/>
    <s v="E09000001"/>
    <n v="18738"/>
    <n v="2395"/>
    <n v="21132"/>
    <x v="144"/>
    <n v="318655"/>
    <n v="44561"/>
    <n v="363215"/>
    <x v="144"/>
    <n v="337392"/>
    <n v="46955"/>
    <n v="363215"/>
    <n v="400777"/>
  </r>
  <r>
    <x v="3"/>
    <x v="1"/>
    <s v="E09000002"/>
    <n v="4978"/>
    <n v="5950"/>
    <n v="10929"/>
    <x v="145"/>
    <n v="27428"/>
    <n v="9822"/>
    <n v="37251"/>
    <x v="145"/>
    <n v="32407"/>
    <n v="15773"/>
    <n v="37251"/>
    <n v="49288"/>
  </r>
  <r>
    <x v="3"/>
    <x v="2"/>
    <s v="E09000003"/>
    <n v="15995"/>
    <n v="8188"/>
    <n v="24183"/>
    <x v="146"/>
    <n v="58109"/>
    <n v="32860"/>
    <n v="90969"/>
    <x v="146"/>
    <n v="74104"/>
    <n v="41048"/>
    <n v="90969"/>
    <n v="119881"/>
  </r>
  <r>
    <x v="3"/>
    <x v="3"/>
    <s v="E09000004"/>
    <n v="7209"/>
    <n v="4942"/>
    <n v="12151"/>
    <x v="147"/>
    <n v="33661"/>
    <n v="19686"/>
    <n v="53347"/>
    <x v="147"/>
    <n v="40871"/>
    <n v="24628"/>
    <n v="53347"/>
    <n v="67568"/>
  </r>
  <r>
    <x v="3"/>
    <x v="4"/>
    <s v="E09000005"/>
    <n v="14424"/>
    <n v="6493"/>
    <n v="20916"/>
    <x v="148"/>
    <n v="58331"/>
    <n v="27219"/>
    <n v="85550"/>
    <x v="148"/>
    <n v="72755"/>
    <n v="33711"/>
    <n v="85550"/>
    <n v="109506"/>
  </r>
  <r>
    <x v="3"/>
    <x v="5"/>
    <s v="E09000006"/>
    <n v="10781"/>
    <n v="7978"/>
    <n v="18759"/>
    <x v="149"/>
    <n v="48849"/>
    <n v="30160"/>
    <n v="79009"/>
    <x v="149"/>
    <n v="59630"/>
    <n v="38138"/>
    <n v="79009"/>
    <n v="101946"/>
  </r>
  <r>
    <x v="3"/>
    <x v="6"/>
    <s v="E09000007"/>
    <n v="34725"/>
    <n v="7891"/>
    <n v="42616"/>
    <x v="150"/>
    <n v="194566"/>
    <n v="66594"/>
    <n v="261160"/>
    <x v="150"/>
    <n v="229291"/>
    <n v="74485"/>
    <n v="261160"/>
    <n v="315944"/>
  </r>
  <r>
    <x v="3"/>
    <x v="7"/>
    <s v="E09000008"/>
    <n v="16664"/>
    <n v="8953"/>
    <n v="25618"/>
    <x v="151"/>
    <n v="56608"/>
    <n v="29957"/>
    <n v="86565"/>
    <x v="151"/>
    <n v="73272"/>
    <n v="38911"/>
    <n v="86565"/>
    <n v="115861"/>
  </r>
  <r>
    <x v="3"/>
    <x v="8"/>
    <s v="E09000009"/>
    <n v="13296"/>
    <n v="6391"/>
    <n v="19687"/>
    <x v="152"/>
    <n v="71797"/>
    <n v="28215"/>
    <n v="100013"/>
    <x v="152"/>
    <n v="85093"/>
    <n v="34607"/>
    <n v="100013"/>
    <n v="123097"/>
  </r>
  <r>
    <x v="3"/>
    <x v="9"/>
    <s v="E09000010"/>
    <n v="15433"/>
    <n v="7652"/>
    <n v="23085"/>
    <x v="153"/>
    <n v="49320"/>
    <n v="25283"/>
    <n v="74603"/>
    <x v="153"/>
    <n v="64753"/>
    <n v="32934"/>
    <n v="74603"/>
    <n v="100054"/>
  </r>
  <r>
    <x v="3"/>
    <x v="10"/>
    <s v="E09000011"/>
    <n v="12335"/>
    <n v="7381"/>
    <n v="19716"/>
    <x v="154"/>
    <n v="30989"/>
    <n v="18753"/>
    <n v="49742"/>
    <x v="154"/>
    <n v="43324"/>
    <n v="26134"/>
    <n v="49742"/>
    <n v="71376"/>
  </r>
  <r>
    <x v="3"/>
    <x v="11"/>
    <s v="E09000012"/>
    <n v="11820"/>
    <n v="5301"/>
    <n v="17121"/>
    <x v="155"/>
    <n v="51221"/>
    <n v="22002"/>
    <n v="73223"/>
    <x v="155"/>
    <n v="63041"/>
    <n v="27303"/>
    <n v="73223"/>
    <n v="93882"/>
  </r>
  <r>
    <x v="3"/>
    <x v="12"/>
    <s v="E09000013"/>
    <n v="22564"/>
    <n v="3697"/>
    <n v="26260"/>
    <x v="156"/>
    <n v="70503"/>
    <n v="30381"/>
    <n v="100884"/>
    <x v="156"/>
    <n v="93066"/>
    <n v="34077"/>
    <n v="100884"/>
    <n v="130260"/>
  </r>
  <r>
    <x v="3"/>
    <x v="13"/>
    <s v="E09000014"/>
    <n v="9256"/>
    <n v="3243"/>
    <n v="12499"/>
    <x v="157"/>
    <n v="30817"/>
    <n v="17941"/>
    <n v="48757"/>
    <x v="157"/>
    <n v="40073"/>
    <n v="21184"/>
    <n v="48757"/>
    <n v="63699"/>
  </r>
  <r>
    <x v="3"/>
    <x v="14"/>
    <s v="E09000015"/>
    <n v="6386"/>
    <n v="4908"/>
    <n v="11294"/>
    <x v="158"/>
    <n v="36687"/>
    <n v="17635"/>
    <n v="54322"/>
    <x v="158"/>
    <n v="43073"/>
    <n v="22543"/>
    <n v="54322"/>
    <n v="68060"/>
  </r>
  <r>
    <x v="3"/>
    <x v="15"/>
    <s v="E09000016"/>
    <n v="10973"/>
    <n v="6350"/>
    <n v="17324"/>
    <x v="159"/>
    <n v="37194"/>
    <n v="19587"/>
    <n v="56781"/>
    <x v="159"/>
    <n v="48167"/>
    <n v="25938"/>
    <n v="56781"/>
    <n v="76342"/>
  </r>
  <r>
    <x v="3"/>
    <x v="16"/>
    <s v="E09000017"/>
    <n v="13521"/>
    <n v="7062"/>
    <n v="20583"/>
    <x v="160"/>
    <n v="126712"/>
    <n v="43801"/>
    <n v="170513"/>
    <x v="160"/>
    <n v="140234"/>
    <n v="50863"/>
    <n v="170513"/>
    <n v="193799"/>
  </r>
  <r>
    <x v="3"/>
    <x v="17"/>
    <s v="E09000018"/>
    <n v="12496"/>
    <n v="5535"/>
    <n v="18031"/>
    <x v="161"/>
    <n v="90740"/>
    <n v="28972"/>
    <n v="119712"/>
    <x v="161"/>
    <n v="103236"/>
    <n v="34508"/>
    <n v="119712"/>
    <n v="140406"/>
  </r>
  <r>
    <x v="3"/>
    <x v="18"/>
    <s v="E09000019"/>
    <n v="23791"/>
    <n v="7134"/>
    <n v="30925"/>
    <x v="162"/>
    <n v="120344"/>
    <n v="35499"/>
    <n v="155842"/>
    <x v="162"/>
    <n v="144134"/>
    <n v="42633"/>
    <n v="155842"/>
    <n v="193135"/>
  </r>
  <r>
    <x v="3"/>
    <x v="19"/>
    <s v="E09000020"/>
    <n v="15530"/>
    <n v="4375"/>
    <n v="19905"/>
    <x v="163"/>
    <n v="70865"/>
    <n v="30638"/>
    <n v="101503"/>
    <x v="163"/>
    <n v="86395"/>
    <n v="35013"/>
    <n v="101503"/>
    <n v="125294"/>
  </r>
  <r>
    <x v="3"/>
    <x v="20"/>
    <s v="E09000021"/>
    <n v="8823"/>
    <n v="5344"/>
    <n v="14167"/>
    <x v="164"/>
    <n v="35800"/>
    <n v="21659"/>
    <n v="57460"/>
    <x v="164"/>
    <n v="44623"/>
    <n v="27003"/>
    <n v="57460"/>
    <n v="73393"/>
  </r>
  <r>
    <x v="3"/>
    <x v="21"/>
    <s v="E09000022"/>
    <n v="26219"/>
    <n v="6584"/>
    <n v="32802"/>
    <x v="165"/>
    <n v="66509"/>
    <n v="31350"/>
    <n v="97859"/>
    <x v="165"/>
    <n v="92727"/>
    <n v="37934"/>
    <n v="97859"/>
    <n v="134216"/>
  </r>
  <r>
    <x v="3"/>
    <x v="22"/>
    <s v="E09000023"/>
    <n v="7909"/>
    <n v="7545"/>
    <n v="15454"/>
    <x v="166"/>
    <n v="28788"/>
    <n v="16799"/>
    <n v="45587"/>
    <x v="166"/>
    <n v="36697"/>
    <n v="24345"/>
    <n v="45587"/>
    <n v="63147"/>
  </r>
  <r>
    <x v="3"/>
    <x v="23"/>
    <s v="E09000024"/>
    <n v="6488"/>
    <n v="3343"/>
    <n v="9831"/>
    <x v="167"/>
    <n v="43809"/>
    <n v="20138"/>
    <n v="63947"/>
    <x v="167"/>
    <n v="50297"/>
    <n v="23482"/>
    <n v="63947"/>
    <n v="75665"/>
  </r>
  <r>
    <x v="3"/>
    <x v="24"/>
    <s v="E09000025"/>
    <n v="17517"/>
    <n v="4706"/>
    <n v="22223"/>
    <x v="168"/>
    <n v="40410"/>
    <n v="23558"/>
    <n v="63968"/>
    <x v="168"/>
    <n v="57927"/>
    <n v="28264"/>
    <n v="63968"/>
    <n v="88292"/>
  </r>
  <r>
    <x v="3"/>
    <x v="25"/>
    <s v="E09000026"/>
    <n v="11767"/>
    <n v="7055"/>
    <n v="18822"/>
    <x v="169"/>
    <n v="32335"/>
    <n v="18148"/>
    <n v="50483"/>
    <x v="169"/>
    <n v="44102"/>
    <n v="25203"/>
    <n v="50483"/>
    <n v="71366"/>
  </r>
  <r>
    <x v="3"/>
    <x v="26"/>
    <s v="E09000027"/>
    <n v="5953"/>
    <n v="3404"/>
    <n v="9357"/>
    <x v="170"/>
    <n v="43586"/>
    <n v="18193"/>
    <n v="61779"/>
    <x v="170"/>
    <n v="49539"/>
    <n v="21597"/>
    <n v="61779"/>
    <n v="74269"/>
  </r>
  <r>
    <x v="3"/>
    <x v="27"/>
    <s v="E09000028"/>
    <n v="34616"/>
    <n v="6967"/>
    <n v="41583"/>
    <x v="171"/>
    <n v="118411"/>
    <n v="35289"/>
    <n v="153700"/>
    <x v="171"/>
    <n v="153027"/>
    <n v="42256"/>
    <n v="153700"/>
    <n v="201447"/>
  </r>
  <r>
    <x v="3"/>
    <x v="28"/>
    <s v="E09000029"/>
    <n v="9291"/>
    <n v="4855"/>
    <n v="14146"/>
    <x v="172"/>
    <n v="35143"/>
    <n v="18987"/>
    <n v="54130"/>
    <x v="172"/>
    <n v="44434"/>
    <n v="23842"/>
    <n v="54130"/>
    <n v="70166"/>
  </r>
  <r>
    <x v="3"/>
    <x v="29"/>
    <s v="E09000030"/>
    <n v="32222"/>
    <n v="9527"/>
    <n v="41749"/>
    <x v="173"/>
    <n v="156058"/>
    <n v="38065"/>
    <n v="194123"/>
    <x v="173"/>
    <n v="188280"/>
    <n v="47592"/>
    <n v="194123"/>
    <n v="240413"/>
  </r>
  <r>
    <x v="3"/>
    <x v="30"/>
    <s v="E09000031"/>
    <n v="11095"/>
    <n v="5268"/>
    <n v="16362"/>
    <x v="174"/>
    <n v="29769"/>
    <n v="14848"/>
    <n v="44617"/>
    <x v="174"/>
    <n v="40863"/>
    <n v="20116"/>
    <n v="44617"/>
    <n v="62992"/>
  </r>
  <r>
    <x v="3"/>
    <x v="31"/>
    <s v="E09000032"/>
    <n v="18415"/>
    <n v="6917"/>
    <n v="25332"/>
    <x v="175"/>
    <n v="56097"/>
    <n v="26080"/>
    <n v="82177"/>
    <x v="175"/>
    <n v="74513"/>
    <n v="32996"/>
    <n v="82177"/>
    <n v="110882"/>
  </r>
  <r>
    <x v="3"/>
    <x v="32"/>
    <s v="E09000033"/>
    <n v="78376"/>
    <n v="10620"/>
    <n v="88996"/>
    <x v="176"/>
    <n v="418569"/>
    <n v="131217"/>
    <n v="549786"/>
    <x v="176"/>
    <n v="496944"/>
    <n v="141837"/>
    <n v="549786"/>
    <n v="666266"/>
  </r>
  <r>
    <x v="3"/>
    <x v="33"/>
    <s v="E13000001"/>
    <n v="351697"/>
    <n v="86900"/>
    <n v="438597"/>
    <x v="177"/>
    <n v="1741812"/>
    <n v="549973"/>
    <n v="2291784"/>
    <x v="177"/>
    <n v="2093509"/>
    <n v="636873"/>
    <n v="2291784"/>
    <n v="2827655"/>
  </r>
  <r>
    <x v="3"/>
    <x v="34"/>
    <s v="E13000002"/>
    <n v="207909"/>
    <n v="117053"/>
    <n v="324962"/>
    <x v="178"/>
    <n v="946870"/>
    <n v="443924"/>
    <n v="1390793"/>
    <x v="178"/>
    <n v="1154779"/>
    <n v="560977"/>
    <n v="1390793"/>
    <n v="1765033"/>
  </r>
  <r>
    <x v="3"/>
    <x v="35"/>
    <s v="E12000001"/>
    <n v="161298"/>
    <n v="98335"/>
    <n v="259633"/>
    <x v="179"/>
    <n v="495012"/>
    <n v="246394"/>
    <n v="741406"/>
    <x v="179"/>
    <n v="656310"/>
    <n v="344729"/>
    <n v="741406"/>
    <n v="1031288"/>
  </r>
  <r>
    <x v="3"/>
    <x v="36"/>
    <s v="E12000002"/>
    <n v="398987"/>
    <n v="257270"/>
    <n v="656257"/>
    <x v="180"/>
    <n v="1594245"/>
    <n v="736887"/>
    <n v="2331131"/>
    <x v="180"/>
    <n v="1993232"/>
    <n v="994157"/>
    <n v="2331131"/>
    <n v="3104452"/>
  </r>
  <r>
    <x v="3"/>
    <x v="37"/>
    <s v="E12000003"/>
    <n v="291353"/>
    <n v="202979"/>
    <n v="494332"/>
    <x v="181"/>
    <n v="1148885"/>
    <n v="520540"/>
    <n v="1669424"/>
    <x v="181"/>
    <n v="1440238"/>
    <n v="723519"/>
    <n v="1669424"/>
    <n v="2248856"/>
  </r>
  <r>
    <x v="3"/>
    <x v="38"/>
    <s v="E12000004"/>
    <n v="209625"/>
    <n v="167828"/>
    <n v="377453"/>
    <x v="182"/>
    <n v="1062702"/>
    <n v="463259"/>
    <n v="1525961"/>
    <x v="182"/>
    <n v="1272327"/>
    <n v="631088"/>
    <n v="1525961"/>
    <n v="1977686"/>
  </r>
  <r>
    <x v="3"/>
    <x v="39"/>
    <s v="E12000005"/>
    <n v="284639"/>
    <n v="202118"/>
    <n v="486757"/>
    <x v="183"/>
    <n v="1275920"/>
    <n v="560233"/>
    <n v="1836152"/>
    <x v="183"/>
    <n v="1560558"/>
    <n v="762351"/>
    <n v="1836152"/>
    <n v="2421046"/>
  </r>
  <r>
    <x v="3"/>
    <x v="40"/>
    <s v="E12000006"/>
    <n v="268347"/>
    <n v="199389"/>
    <n v="467736"/>
    <x v="184"/>
    <n v="1312320"/>
    <n v="639250"/>
    <n v="1951570"/>
    <x v="184"/>
    <n v="1580667"/>
    <n v="838639"/>
    <n v="1951570"/>
    <n v="2524972"/>
  </r>
  <r>
    <x v="3"/>
    <x v="41"/>
    <s v="E12000007"/>
    <n v="560062"/>
    <n v="204058"/>
    <n v="764120"/>
    <x v="185"/>
    <n v="2688682"/>
    <n v="993898"/>
    <n v="3682577"/>
    <x v="185"/>
    <n v="3248744"/>
    <n v="1197956"/>
    <n v="3682577"/>
    <n v="4593575"/>
  </r>
  <r>
    <x v="3"/>
    <x v="42"/>
    <s v="E12000008"/>
    <n v="391001"/>
    <n v="251142"/>
    <n v="642143"/>
    <x v="186"/>
    <n v="2140755"/>
    <n v="996798"/>
    <n v="3137556"/>
    <x v="186"/>
    <n v="2531756"/>
    <n v="1247940"/>
    <n v="3137556"/>
    <n v="3933020"/>
  </r>
  <r>
    <x v="3"/>
    <x v="43"/>
    <s v="E12000009"/>
    <n v="261921"/>
    <n v="198073"/>
    <n v="459994"/>
    <x v="187"/>
    <n v="1138993"/>
    <n v="632821"/>
    <n v="1771815"/>
    <x v="187"/>
    <n v="1400915"/>
    <n v="830893"/>
    <n v="1771815"/>
    <n v="2373345"/>
  </r>
  <r>
    <x v="3"/>
    <x v="44"/>
    <s v="W92000004"/>
    <n v="212909"/>
    <n v="130426"/>
    <n v="343335"/>
    <x v="188"/>
    <n v="548361"/>
    <n v="286493"/>
    <n v="834855"/>
    <x v="188"/>
    <n v="761270"/>
    <n v="416919"/>
    <n v="834855"/>
    <n v="1268748"/>
  </r>
  <r>
    <x v="3"/>
    <x v="45"/>
    <s v="S92000003"/>
    <n v="396988"/>
    <n v="231020"/>
    <n v="628008"/>
    <x v="189"/>
    <n v="1153874"/>
    <n v="536778"/>
    <n v="1690652"/>
    <x v="189"/>
    <n v="1550862"/>
    <n v="767798"/>
    <n v="1690652"/>
    <n v="2428439"/>
  </r>
  <r>
    <x v="3"/>
    <x v="46"/>
    <s v="E92000001"/>
    <n v="2827234"/>
    <n v="1781192"/>
    <n v="4608426"/>
    <x v="190"/>
    <n v="12857513"/>
    <n v="5790079"/>
    <n v="18647593"/>
    <x v="190"/>
    <n v="15684747"/>
    <n v="7571271"/>
    <n v="18647593"/>
    <n v="24208241"/>
  </r>
  <r>
    <x v="3"/>
    <x v="47"/>
    <s v="K03000001"/>
    <n v="3437131"/>
    <n v="2142637"/>
    <n v="5579769"/>
    <x v="191"/>
    <n v="2012000"/>
    <n v="2012000"/>
    <n v="2012000"/>
    <x v="191"/>
    <n v="17996880"/>
    <n v="8755988"/>
    <n v="2012000"/>
    <n v="27905428"/>
  </r>
  <r>
    <x v="4"/>
    <x v="0"/>
    <s v="E09000001"/>
    <n v="19239"/>
    <n v="4981"/>
    <n v="24220"/>
    <x v="192"/>
    <n v="308784"/>
    <n v="43614"/>
    <n v="352397"/>
    <x v="192"/>
    <n v="328023"/>
    <n v="48595"/>
    <n v="352397"/>
    <n v="391169"/>
  </r>
  <r>
    <x v="4"/>
    <x v="1"/>
    <s v="E09000002"/>
    <n v="5187"/>
    <n v="5944"/>
    <n v="11131"/>
    <x v="193"/>
    <n v="26805"/>
    <n v="10742"/>
    <n v="37547"/>
    <x v="193"/>
    <n v="31992"/>
    <n v="16686"/>
    <n v="37547"/>
    <n v="49789"/>
  </r>
  <r>
    <x v="4"/>
    <x v="2"/>
    <s v="E09000003"/>
    <n v="15582"/>
    <n v="7872"/>
    <n v="23454"/>
    <x v="194"/>
    <n v="61930"/>
    <n v="32857"/>
    <n v="94787"/>
    <x v="194"/>
    <n v="77512"/>
    <n v="40730"/>
    <n v="94787"/>
    <n v="123615"/>
  </r>
  <r>
    <x v="4"/>
    <x v="3"/>
    <s v="E09000004"/>
    <n v="6891"/>
    <n v="5156"/>
    <n v="12047"/>
    <x v="195"/>
    <n v="35620"/>
    <n v="19443"/>
    <n v="55062"/>
    <x v="195"/>
    <n v="42511"/>
    <n v="24599"/>
    <n v="55062"/>
    <n v="69225"/>
  </r>
  <r>
    <x v="4"/>
    <x v="4"/>
    <s v="E09000005"/>
    <n v="14606"/>
    <n v="6581"/>
    <n v="21187"/>
    <x v="196"/>
    <n v="60663"/>
    <n v="26249"/>
    <n v="86912"/>
    <x v="196"/>
    <n v="75269"/>
    <n v="32830"/>
    <n v="86912"/>
    <n v="111267"/>
  </r>
  <r>
    <x v="4"/>
    <x v="5"/>
    <s v="E09000006"/>
    <n v="8377"/>
    <n v="6928"/>
    <n v="15305"/>
    <x v="197"/>
    <n v="54050"/>
    <n v="31595"/>
    <n v="85644"/>
    <x v="197"/>
    <n v="62427"/>
    <n v="38523"/>
    <n v="85644"/>
    <n v="104829"/>
  </r>
  <r>
    <x v="4"/>
    <x v="6"/>
    <s v="E09000007"/>
    <n v="34443"/>
    <n v="8162"/>
    <n v="42605"/>
    <x v="198"/>
    <n v="208009"/>
    <n v="66243"/>
    <n v="274251"/>
    <x v="198"/>
    <n v="242452"/>
    <n v="74405"/>
    <n v="274251"/>
    <n v="328078"/>
  </r>
  <r>
    <x v="4"/>
    <x v="7"/>
    <s v="E09000008"/>
    <n v="13597"/>
    <n v="7941"/>
    <n v="21538"/>
    <x v="199"/>
    <n v="58290"/>
    <n v="28459"/>
    <n v="86749"/>
    <x v="199"/>
    <n v="71887"/>
    <n v="36400"/>
    <n v="86749"/>
    <n v="112905"/>
  </r>
  <r>
    <x v="4"/>
    <x v="8"/>
    <s v="E09000009"/>
    <n v="11278"/>
    <n v="8195"/>
    <n v="19473"/>
    <x v="200"/>
    <n v="73924"/>
    <n v="27377"/>
    <n v="101300"/>
    <x v="200"/>
    <n v="85202"/>
    <n v="35572"/>
    <n v="101300"/>
    <n v="124198"/>
  </r>
  <r>
    <x v="4"/>
    <x v="9"/>
    <s v="E09000010"/>
    <n v="14876"/>
    <n v="7891"/>
    <n v="22767"/>
    <x v="201"/>
    <n v="48756"/>
    <n v="23827"/>
    <n v="72582"/>
    <x v="201"/>
    <n v="63632"/>
    <n v="31718"/>
    <n v="72582"/>
    <n v="98176"/>
  </r>
  <r>
    <x v="4"/>
    <x v="10"/>
    <s v="E09000011"/>
    <n v="13065"/>
    <n v="7374"/>
    <n v="20439"/>
    <x v="202"/>
    <n v="33089"/>
    <n v="19215"/>
    <n v="52303"/>
    <x v="202"/>
    <n v="46153"/>
    <n v="26589"/>
    <n v="52303"/>
    <n v="74503"/>
  </r>
  <r>
    <x v="4"/>
    <x v="11"/>
    <s v="E09000012"/>
    <n v="10809"/>
    <n v="3106"/>
    <n v="13915"/>
    <x v="203"/>
    <n v="54881"/>
    <n v="21034"/>
    <n v="75915"/>
    <x v="203"/>
    <n v="65690"/>
    <n v="24140"/>
    <n v="75915"/>
    <n v="94837"/>
  </r>
  <r>
    <x v="4"/>
    <x v="12"/>
    <s v="E09000013"/>
    <n v="18521"/>
    <n v="3290"/>
    <n v="21810"/>
    <x v="204"/>
    <n v="71372"/>
    <n v="33989"/>
    <n v="105361"/>
    <x v="204"/>
    <n v="89893"/>
    <n v="37278"/>
    <n v="105361"/>
    <n v="130267"/>
  </r>
  <r>
    <x v="4"/>
    <x v="13"/>
    <s v="E09000014"/>
    <n v="8540"/>
    <n v="2847"/>
    <n v="11387"/>
    <x v="205"/>
    <n v="32092"/>
    <n v="19109"/>
    <n v="51201"/>
    <x v="205"/>
    <n v="40632"/>
    <n v="21956"/>
    <n v="51201"/>
    <n v="64967"/>
  </r>
  <r>
    <x v="4"/>
    <x v="14"/>
    <s v="E09000015"/>
    <n v="6265"/>
    <n v="4829"/>
    <n v="11094"/>
    <x v="206"/>
    <n v="39195"/>
    <n v="18332"/>
    <n v="57526"/>
    <x v="206"/>
    <n v="45460"/>
    <n v="23161"/>
    <n v="57526"/>
    <n v="71215"/>
  </r>
  <r>
    <x v="4"/>
    <x v="15"/>
    <s v="E09000016"/>
    <n v="10851"/>
    <n v="6002"/>
    <n v="16852"/>
    <x v="207"/>
    <n v="38527"/>
    <n v="19187"/>
    <n v="57713"/>
    <x v="207"/>
    <n v="49377"/>
    <n v="25189"/>
    <n v="57713"/>
    <n v="77023"/>
  </r>
  <r>
    <x v="4"/>
    <x v="16"/>
    <s v="E09000017"/>
    <n v="15507"/>
    <n v="7470"/>
    <n v="22977"/>
    <x v="208"/>
    <n v="129359"/>
    <n v="45026"/>
    <n v="174385"/>
    <x v="208"/>
    <n v="144867"/>
    <n v="52496"/>
    <n v="174385"/>
    <n v="200023"/>
  </r>
  <r>
    <x v="4"/>
    <x v="17"/>
    <s v="E09000018"/>
    <n v="11979"/>
    <n v="5236"/>
    <n v="17215"/>
    <x v="209"/>
    <n v="95362"/>
    <n v="28504"/>
    <n v="123867"/>
    <x v="209"/>
    <n v="107341"/>
    <n v="33740"/>
    <n v="123867"/>
    <n v="143304"/>
  </r>
  <r>
    <x v="4"/>
    <x v="18"/>
    <s v="E09000019"/>
    <n v="25751"/>
    <n v="8298"/>
    <n v="34049"/>
    <x v="210"/>
    <n v="126184"/>
    <n v="41402"/>
    <n v="167586"/>
    <x v="210"/>
    <n v="151936"/>
    <n v="49699"/>
    <n v="167586"/>
    <n v="207900"/>
  </r>
  <r>
    <x v="4"/>
    <x v="19"/>
    <s v="E09000020"/>
    <n v="15092"/>
    <n v="3443"/>
    <n v="18534"/>
    <x v="211"/>
    <n v="72511"/>
    <n v="29747"/>
    <n v="102258"/>
    <x v="211"/>
    <n v="87603"/>
    <n v="33190"/>
    <n v="102258"/>
    <n v="125102"/>
  </r>
  <r>
    <x v="4"/>
    <x v="20"/>
    <s v="E09000021"/>
    <n v="7449"/>
    <n v="5794"/>
    <n v="13243"/>
    <x v="212"/>
    <n v="37445"/>
    <n v="21380"/>
    <n v="58825"/>
    <x v="212"/>
    <n v="44894"/>
    <n v="27174"/>
    <n v="58825"/>
    <n v="73794"/>
  </r>
  <r>
    <x v="4"/>
    <x v="21"/>
    <s v="E09000022"/>
    <n v="25370"/>
    <n v="7488"/>
    <n v="32858"/>
    <x v="213"/>
    <n v="73752"/>
    <n v="33117"/>
    <n v="106869"/>
    <x v="213"/>
    <n v="99122"/>
    <n v="40605"/>
    <n v="106869"/>
    <n v="142981"/>
  </r>
  <r>
    <x v="4"/>
    <x v="22"/>
    <s v="E09000023"/>
    <n v="9119"/>
    <n v="6694"/>
    <n v="15814"/>
    <x v="214"/>
    <n v="29983"/>
    <n v="17151"/>
    <n v="47134"/>
    <x v="214"/>
    <n v="39102"/>
    <n v="23845"/>
    <n v="47134"/>
    <n v="65112"/>
  </r>
  <r>
    <x v="4"/>
    <x v="23"/>
    <s v="E09000024"/>
    <n v="6920"/>
    <n v="3976"/>
    <n v="10896"/>
    <x v="215"/>
    <n v="47151"/>
    <n v="21002"/>
    <n v="68153"/>
    <x v="215"/>
    <n v="54071"/>
    <n v="24978"/>
    <n v="68153"/>
    <n v="81064"/>
  </r>
  <r>
    <x v="4"/>
    <x v="24"/>
    <s v="E09000025"/>
    <n v="15958"/>
    <n v="6169"/>
    <n v="22127"/>
    <x v="216"/>
    <n v="42279"/>
    <n v="23394"/>
    <n v="65673"/>
    <x v="216"/>
    <n v="58237"/>
    <n v="29563"/>
    <n v="65673"/>
    <n v="89626"/>
  </r>
  <r>
    <x v="4"/>
    <x v="25"/>
    <s v="E09000026"/>
    <n v="11245"/>
    <n v="5967"/>
    <n v="17212"/>
    <x v="217"/>
    <n v="34214"/>
    <n v="18415"/>
    <n v="52630"/>
    <x v="217"/>
    <n v="45460"/>
    <n v="24382"/>
    <n v="52630"/>
    <n v="71957"/>
  </r>
  <r>
    <x v="4"/>
    <x v="26"/>
    <s v="E09000027"/>
    <n v="5882"/>
    <n v="2961"/>
    <n v="8843"/>
    <x v="218"/>
    <n v="46657"/>
    <n v="18479"/>
    <n v="65136"/>
    <x v="218"/>
    <n v="52539"/>
    <n v="21440"/>
    <n v="65136"/>
    <n v="77418"/>
  </r>
  <r>
    <x v="4"/>
    <x v="27"/>
    <s v="E09000028"/>
    <n v="33675"/>
    <n v="6619"/>
    <n v="40294"/>
    <x v="219"/>
    <n v="119387"/>
    <n v="37558"/>
    <n v="156946"/>
    <x v="219"/>
    <n v="153062"/>
    <n v="44178"/>
    <n v="156946"/>
    <n v="203358"/>
  </r>
  <r>
    <x v="4"/>
    <x v="28"/>
    <s v="E09000029"/>
    <n v="9389"/>
    <n v="4718"/>
    <n v="14107"/>
    <x v="220"/>
    <n v="35390"/>
    <n v="18389"/>
    <n v="53779"/>
    <x v="220"/>
    <n v="44779"/>
    <n v="23106"/>
    <n v="53779"/>
    <n v="69795"/>
  </r>
  <r>
    <x v="4"/>
    <x v="29"/>
    <s v="E09000030"/>
    <n v="31385"/>
    <n v="8928"/>
    <n v="40313"/>
    <x v="221"/>
    <n v="166986"/>
    <n v="42864"/>
    <n v="209850"/>
    <x v="221"/>
    <n v="198371"/>
    <n v="51792"/>
    <n v="209850"/>
    <n v="254192"/>
  </r>
  <r>
    <x v="4"/>
    <x v="30"/>
    <s v="E09000031"/>
    <n v="11598"/>
    <n v="5252"/>
    <n v="16850"/>
    <x v="222"/>
    <n v="35030"/>
    <n v="15544"/>
    <n v="50574"/>
    <x v="222"/>
    <n v="46628"/>
    <n v="20796"/>
    <n v="50574"/>
    <n v="69545"/>
  </r>
  <r>
    <x v="4"/>
    <x v="31"/>
    <s v="E09000032"/>
    <n v="17205"/>
    <n v="6717"/>
    <n v="23921"/>
    <x v="223"/>
    <n v="57955"/>
    <n v="26751"/>
    <n v="84706"/>
    <x v="223"/>
    <n v="75160"/>
    <n v="33467"/>
    <n v="84706"/>
    <n v="111509"/>
  </r>
  <r>
    <x v="4"/>
    <x v="32"/>
    <s v="E09000033"/>
    <n v="83369"/>
    <n v="10923"/>
    <n v="94292"/>
    <x v="224"/>
    <n v="441433"/>
    <n v="129514"/>
    <n v="570947"/>
    <x v="224"/>
    <n v="524803"/>
    <n v="140437"/>
    <n v="570947"/>
    <n v="693407"/>
  </r>
  <r>
    <x v="4"/>
    <x v="33"/>
    <s v="E13000001"/>
    <n v="348475"/>
    <n v="87664"/>
    <n v="436139"/>
    <x v="225"/>
    <n v="1805610"/>
    <n v="565486"/>
    <n v="2371093"/>
    <x v="225"/>
    <n v="2154085"/>
    <n v="653150"/>
    <n v="2371093"/>
    <n v="2902505"/>
  </r>
  <r>
    <x v="4"/>
    <x v="34"/>
    <s v="E13000002"/>
    <n v="200542"/>
    <n v="116087"/>
    <n v="316629"/>
    <x v="226"/>
    <n v="991458"/>
    <n v="444020"/>
    <n v="1435477"/>
    <x v="226"/>
    <n v="1192000"/>
    <n v="560107"/>
    <n v="1435477"/>
    <n v="1803644"/>
  </r>
  <r>
    <x v="4"/>
    <x v="35"/>
    <s v="E12000001"/>
    <n v="157914"/>
    <n v="90671"/>
    <n v="248584"/>
    <x v="227"/>
    <n v="513540"/>
    <n v="244259"/>
    <n v="757800"/>
    <x v="227"/>
    <n v="671454"/>
    <n v="334930"/>
    <n v="757800"/>
    <n v="1038926"/>
  </r>
  <r>
    <x v="4"/>
    <x v="36"/>
    <s v="E12000002"/>
    <n v="399108"/>
    <n v="239708"/>
    <n v="638815"/>
    <x v="228"/>
    <n v="1646148"/>
    <n v="731779"/>
    <n v="2377926"/>
    <x v="228"/>
    <n v="2045255"/>
    <n v="971486"/>
    <n v="2377926"/>
    <n v="3115572"/>
  </r>
  <r>
    <x v="4"/>
    <x v="37"/>
    <s v="E12000003"/>
    <n v="300856"/>
    <n v="185386"/>
    <n v="486242"/>
    <x v="229"/>
    <n v="1170098"/>
    <n v="536501"/>
    <n v="1706598"/>
    <x v="229"/>
    <n v="1470953"/>
    <n v="721887"/>
    <n v="1706598"/>
    <n v="2284393"/>
  </r>
  <r>
    <x v="4"/>
    <x v="38"/>
    <s v="E12000004"/>
    <n v="229831"/>
    <n v="132973"/>
    <n v="362805"/>
    <x v="230"/>
    <n v="1066869"/>
    <n v="477733"/>
    <n v="1544603"/>
    <x v="230"/>
    <n v="1296700"/>
    <n v="610706"/>
    <n v="1544603"/>
    <n v="1982068"/>
  </r>
  <r>
    <x v="4"/>
    <x v="39"/>
    <s v="E12000005"/>
    <n v="289212"/>
    <n v="198203"/>
    <n v="487415"/>
    <x v="231"/>
    <n v="1297593"/>
    <n v="554928"/>
    <n v="1852521"/>
    <x v="231"/>
    <n v="1586805"/>
    <n v="753131"/>
    <n v="1852521"/>
    <n v="2431535"/>
  </r>
  <r>
    <x v="4"/>
    <x v="40"/>
    <s v="E12000006"/>
    <n v="256029"/>
    <n v="197679"/>
    <n v="453708"/>
    <x v="232"/>
    <n v="1344985"/>
    <n v="648366"/>
    <n v="1993352"/>
    <x v="232"/>
    <n v="1601014"/>
    <n v="846045"/>
    <n v="1993352"/>
    <n v="2552679"/>
  </r>
  <r>
    <x v="4"/>
    <x v="41"/>
    <s v="E12000007"/>
    <n v="549451"/>
    <n v="203857"/>
    <n v="753309"/>
    <x v="233"/>
    <n v="2797068"/>
    <n v="1009506"/>
    <n v="3806569"/>
    <x v="233"/>
    <n v="3346519"/>
    <n v="1213363"/>
    <n v="3806569"/>
    <n v="4706983"/>
  </r>
  <r>
    <x v="4"/>
    <x v="42"/>
    <s v="E12000008"/>
    <n v="396466"/>
    <n v="250721"/>
    <n v="647187"/>
    <x v="234"/>
    <n v="2149012"/>
    <n v="1028433"/>
    <n v="3177446"/>
    <x v="234"/>
    <n v="2545478"/>
    <n v="1279154"/>
    <n v="3177446"/>
    <n v="3975204"/>
  </r>
  <r>
    <x v="4"/>
    <x v="43"/>
    <s v="E12000009"/>
    <n v="261079"/>
    <n v="192718"/>
    <n v="453797"/>
    <x v="235"/>
    <n v="1170459"/>
    <n v="641637"/>
    <n v="1812096"/>
    <x v="235"/>
    <n v="1431538"/>
    <n v="834355"/>
    <n v="1812096"/>
    <n v="2394099"/>
  </r>
  <r>
    <x v="4"/>
    <x v="44"/>
    <s v="W92000004"/>
    <n v="206916"/>
    <n v="139567"/>
    <n v="346483"/>
    <x v="236"/>
    <n v="560863"/>
    <n v="279827"/>
    <n v="840689"/>
    <x v="236"/>
    <n v="767779"/>
    <n v="419394"/>
    <n v="840689"/>
    <n v="1274941"/>
  </r>
  <r>
    <x v="4"/>
    <x v="45"/>
    <s v="S92000003"/>
    <n v="392780"/>
    <n v="238205"/>
    <n v="630985"/>
    <x v="237"/>
    <n v="1171275"/>
    <n v="546123"/>
    <n v="1717397"/>
    <x v="237"/>
    <n v="1564055"/>
    <n v="784328"/>
    <n v="1717397"/>
    <n v="2461055"/>
  </r>
  <r>
    <x v="4"/>
    <x v="46"/>
    <s v="E92000001"/>
    <n v="2839945"/>
    <n v="1691915"/>
    <n v="4531862"/>
    <x v="238"/>
    <n v="13155772"/>
    <n v="5873141"/>
    <n v="19028910"/>
    <x v="238"/>
    <n v="15995717"/>
    <n v="7565056"/>
    <n v="19028910"/>
    <n v="24481459"/>
  </r>
  <r>
    <x v="4"/>
    <x v="47"/>
    <s v="K03000001"/>
    <n v="3439641"/>
    <n v="2069687"/>
    <n v="5509330"/>
    <x v="239"/>
    <n v="14887909"/>
    <n v="6699091"/>
    <n v="21586997"/>
    <x v="239"/>
    <n v="18327550"/>
    <n v="8768778"/>
    <n v="21586997"/>
    <n v="28217456"/>
  </r>
  <r>
    <x v="5"/>
    <x v="0"/>
    <s v="E09000001"/>
    <n v="12055"/>
    <n v="2071"/>
    <n v="14126"/>
    <x v="240"/>
    <n v="336903"/>
    <n v="49134"/>
    <n v="386037"/>
    <x v="240"/>
    <n v="348958"/>
    <n v="51205"/>
    <n v="386037"/>
    <n v="413505"/>
  </r>
  <r>
    <x v="5"/>
    <x v="1"/>
    <s v="E09000002"/>
    <n v="6397"/>
    <n v="4314"/>
    <n v="10711"/>
    <x v="241"/>
    <n v="27899"/>
    <n v="11157"/>
    <n v="39056"/>
    <x v="241"/>
    <n v="34296"/>
    <n v="15471"/>
    <n v="39056"/>
    <n v="50701"/>
  </r>
  <r>
    <x v="5"/>
    <x v="2"/>
    <s v="E09000003"/>
    <n v="15301"/>
    <n v="8309"/>
    <n v="23610"/>
    <x v="242"/>
    <n v="66134"/>
    <n v="33615"/>
    <n v="99749"/>
    <x v="242"/>
    <n v="81435"/>
    <n v="41924"/>
    <n v="99749"/>
    <n v="127568"/>
  </r>
  <r>
    <x v="5"/>
    <x v="3"/>
    <s v="E09000004"/>
    <n v="6563"/>
    <n v="4554"/>
    <n v="11117"/>
    <x v="243"/>
    <n v="36968"/>
    <n v="19958"/>
    <n v="56926"/>
    <x v="243"/>
    <n v="43531"/>
    <n v="24511"/>
    <n v="56926"/>
    <n v="69913"/>
  </r>
  <r>
    <x v="5"/>
    <x v="4"/>
    <s v="E09000005"/>
    <n v="14606"/>
    <n v="5610"/>
    <n v="20216"/>
    <x v="244"/>
    <n v="63917"/>
    <n v="27834"/>
    <n v="91751"/>
    <x v="244"/>
    <n v="78523"/>
    <n v="33444"/>
    <n v="91751"/>
    <n v="114658"/>
  </r>
  <r>
    <x v="5"/>
    <x v="5"/>
    <s v="E09000006"/>
    <n v="8011"/>
    <n v="6710"/>
    <n v="14722"/>
    <x v="245"/>
    <n v="56807"/>
    <n v="31541"/>
    <n v="88348"/>
    <x v="245"/>
    <n v="64818"/>
    <n v="38252"/>
    <n v="88348"/>
    <n v="106063"/>
  </r>
  <r>
    <x v="5"/>
    <x v="6"/>
    <s v="E09000007"/>
    <n v="35476"/>
    <n v="8613"/>
    <n v="44089"/>
    <x v="246"/>
    <n v="220751"/>
    <n v="73355"/>
    <n v="294106"/>
    <x v="246"/>
    <n v="256227"/>
    <n v="81968"/>
    <n v="294106"/>
    <n v="347879"/>
  </r>
  <r>
    <x v="5"/>
    <x v="7"/>
    <s v="E09000008"/>
    <n v="15804"/>
    <n v="7875"/>
    <n v="23679"/>
    <x v="247"/>
    <n v="61904"/>
    <n v="29586"/>
    <n v="91490"/>
    <x v="247"/>
    <n v="77708"/>
    <n v="37460"/>
    <n v="91490"/>
    <n v="117861"/>
  </r>
  <r>
    <x v="5"/>
    <x v="8"/>
    <s v="E09000009"/>
    <n v="12174"/>
    <n v="5765"/>
    <n v="17940"/>
    <x v="248"/>
    <n v="81205"/>
    <n v="30664"/>
    <n v="111869"/>
    <x v="248"/>
    <n v="93379"/>
    <n v="36429"/>
    <n v="111869"/>
    <n v="132534"/>
  </r>
  <r>
    <x v="5"/>
    <x v="9"/>
    <s v="E09000010"/>
    <n v="15300"/>
    <n v="6708"/>
    <n v="22008"/>
    <x v="249"/>
    <n v="51817"/>
    <n v="25588"/>
    <n v="77404"/>
    <x v="249"/>
    <n v="67117"/>
    <n v="32295"/>
    <n v="77404"/>
    <n v="101494"/>
  </r>
  <r>
    <x v="5"/>
    <x v="10"/>
    <s v="E09000011"/>
    <n v="12320"/>
    <n v="8205"/>
    <n v="20525"/>
    <x v="250"/>
    <n v="33524"/>
    <n v="19573"/>
    <n v="53097"/>
    <x v="250"/>
    <n v="45843"/>
    <n v="27779"/>
    <n v="53097"/>
    <n v="75194"/>
  </r>
  <r>
    <x v="5"/>
    <x v="11"/>
    <s v="E09000012"/>
    <n v="13635"/>
    <n v="5552"/>
    <n v="19187"/>
    <x v="251"/>
    <n v="60834"/>
    <n v="22457"/>
    <n v="83291"/>
    <x v="251"/>
    <n v="74469"/>
    <n v="28009"/>
    <n v="83291"/>
    <n v="106150"/>
  </r>
  <r>
    <x v="5"/>
    <x v="12"/>
    <s v="E09000013"/>
    <n v="18275"/>
    <n v="3168"/>
    <n v="21443"/>
    <x v="252"/>
    <n v="72791"/>
    <n v="33648"/>
    <n v="106439"/>
    <x v="252"/>
    <n v="91066"/>
    <n v="36816"/>
    <n v="106439"/>
    <n v="130426"/>
  </r>
  <r>
    <x v="5"/>
    <x v="13"/>
    <s v="E09000014"/>
    <n v="8742"/>
    <n v="3701"/>
    <n v="12443"/>
    <x v="253"/>
    <n v="36037"/>
    <n v="19648"/>
    <n v="55685"/>
    <x v="253"/>
    <n v="44779"/>
    <n v="23349"/>
    <n v="55685"/>
    <n v="70230"/>
  </r>
  <r>
    <x v="5"/>
    <x v="14"/>
    <s v="E09000015"/>
    <n v="5882"/>
    <n v="4852"/>
    <n v="10734"/>
    <x v="254"/>
    <n v="41387"/>
    <n v="19674"/>
    <n v="61061"/>
    <x v="254"/>
    <n v="47269"/>
    <n v="24526"/>
    <n v="61061"/>
    <n v="74064"/>
  </r>
  <r>
    <x v="5"/>
    <x v="15"/>
    <s v="E09000016"/>
    <n v="10605"/>
    <n v="5791"/>
    <n v="16396"/>
    <x v="255"/>
    <n v="40136"/>
    <n v="20860"/>
    <n v="60996"/>
    <x v="255"/>
    <n v="50741"/>
    <n v="26651"/>
    <n v="60996"/>
    <n v="79298"/>
  </r>
  <r>
    <x v="5"/>
    <x v="16"/>
    <s v="E09000017"/>
    <n v="16159"/>
    <n v="7097"/>
    <n v="23256"/>
    <x v="256"/>
    <n v="134672"/>
    <n v="43910"/>
    <n v="178582"/>
    <x v="256"/>
    <n v="150831"/>
    <n v="51007"/>
    <n v="178582"/>
    <n v="204258"/>
  </r>
  <r>
    <x v="5"/>
    <x v="17"/>
    <s v="E09000018"/>
    <n v="11710"/>
    <n v="4956"/>
    <n v="16665"/>
    <x v="257"/>
    <n v="92866"/>
    <n v="28901"/>
    <n v="121768"/>
    <x v="257"/>
    <n v="104576"/>
    <n v="33857"/>
    <n v="121768"/>
    <n v="140482"/>
  </r>
  <r>
    <x v="5"/>
    <x v="18"/>
    <s v="E09000019"/>
    <n v="21694"/>
    <n v="9272"/>
    <n v="30966"/>
    <x v="258"/>
    <n v="135290"/>
    <n v="42203"/>
    <n v="177493"/>
    <x v="258"/>
    <n v="156985"/>
    <n v="51475"/>
    <n v="177493"/>
    <n v="213640"/>
  </r>
  <r>
    <x v="5"/>
    <x v="19"/>
    <s v="E09000020"/>
    <n v="14692"/>
    <n v="3572"/>
    <n v="18264"/>
    <x v="259"/>
    <n v="74179"/>
    <n v="29758"/>
    <n v="103937"/>
    <x v="259"/>
    <n v="88872"/>
    <n v="33330"/>
    <n v="103937"/>
    <n v="125623"/>
  </r>
  <r>
    <x v="5"/>
    <x v="20"/>
    <s v="E09000021"/>
    <n v="7450"/>
    <n v="4940"/>
    <n v="12389"/>
    <x v="260"/>
    <n v="38103"/>
    <n v="20563"/>
    <n v="58666"/>
    <x v="260"/>
    <n v="45553"/>
    <n v="25502"/>
    <n v="58666"/>
    <n v="72516"/>
  </r>
  <r>
    <x v="5"/>
    <x v="21"/>
    <s v="E09000022"/>
    <n v="26931"/>
    <n v="7629"/>
    <n v="34559"/>
    <x v="261"/>
    <n v="77237"/>
    <n v="35118"/>
    <n v="112356"/>
    <x v="261"/>
    <n v="104168"/>
    <n v="42747"/>
    <n v="112356"/>
    <n v="149457"/>
  </r>
  <r>
    <x v="5"/>
    <x v="22"/>
    <s v="E09000023"/>
    <n v="10048"/>
    <n v="6304"/>
    <n v="16352"/>
    <x v="262"/>
    <n v="30746"/>
    <n v="17364"/>
    <n v="48110"/>
    <x v="262"/>
    <n v="40794"/>
    <n v="23668"/>
    <n v="48110"/>
    <n v="66157"/>
  </r>
  <r>
    <x v="5"/>
    <x v="23"/>
    <s v="E09000024"/>
    <n v="6727"/>
    <n v="3077"/>
    <n v="9803"/>
    <x v="263"/>
    <n v="47767"/>
    <n v="21035"/>
    <n v="68802"/>
    <x v="263"/>
    <n v="54494"/>
    <n v="24112"/>
    <n v="68802"/>
    <n v="80084"/>
  </r>
  <r>
    <x v="5"/>
    <x v="24"/>
    <s v="E09000025"/>
    <n v="16070"/>
    <n v="5999"/>
    <n v="22069"/>
    <x v="264"/>
    <n v="48576"/>
    <n v="24141"/>
    <n v="72717"/>
    <x v="264"/>
    <n v="64647"/>
    <n v="30140"/>
    <n v="72717"/>
    <n v="96492"/>
  </r>
  <r>
    <x v="5"/>
    <x v="25"/>
    <s v="E09000026"/>
    <n v="11418"/>
    <n v="6045"/>
    <n v="17463"/>
    <x v="265"/>
    <n v="37860"/>
    <n v="19086"/>
    <n v="56946"/>
    <x v="265"/>
    <n v="49278"/>
    <n v="25131"/>
    <n v="56946"/>
    <n v="76325"/>
  </r>
  <r>
    <x v="5"/>
    <x v="26"/>
    <s v="E09000027"/>
    <n v="5662"/>
    <n v="3095"/>
    <n v="8758"/>
    <x v="266"/>
    <n v="48168"/>
    <n v="19285"/>
    <n v="67453"/>
    <x v="266"/>
    <n v="53830"/>
    <n v="22380"/>
    <n v="67453"/>
    <n v="78463"/>
  </r>
  <r>
    <x v="5"/>
    <x v="27"/>
    <s v="E09000028"/>
    <n v="33674"/>
    <n v="6730"/>
    <n v="40404"/>
    <x v="267"/>
    <n v="132133"/>
    <n v="37875"/>
    <n v="170008"/>
    <x v="267"/>
    <n v="165807"/>
    <n v="44605"/>
    <n v="170008"/>
    <n v="215677"/>
  </r>
  <r>
    <x v="5"/>
    <x v="28"/>
    <s v="E09000029"/>
    <n v="8603"/>
    <n v="4663"/>
    <n v="13266"/>
    <x v="268"/>
    <n v="35840"/>
    <n v="19795"/>
    <n v="55635"/>
    <x v="268"/>
    <n v="44444"/>
    <n v="24458"/>
    <n v="55635"/>
    <n v="70496"/>
  </r>
  <r>
    <x v="5"/>
    <x v="29"/>
    <s v="E09000030"/>
    <n v="33142"/>
    <n v="8837"/>
    <n v="41979"/>
    <x v="269"/>
    <n v="170739"/>
    <n v="42806"/>
    <n v="213545"/>
    <x v="269"/>
    <n v="203881"/>
    <n v="51644"/>
    <n v="213545"/>
    <n v="260008"/>
  </r>
  <r>
    <x v="5"/>
    <x v="30"/>
    <s v="E09000031"/>
    <n v="11293"/>
    <n v="5261"/>
    <n v="16554"/>
    <x v="270"/>
    <n v="37639"/>
    <n v="16497"/>
    <n v="54135"/>
    <x v="270"/>
    <n v="48931"/>
    <n v="21758"/>
    <n v="54135"/>
    <n v="72489"/>
  </r>
  <r>
    <x v="5"/>
    <x v="31"/>
    <s v="E09000032"/>
    <n v="17340"/>
    <n v="7289"/>
    <n v="24628"/>
    <x v="271"/>
    <n v="59850"/>
    <n v="27511"/>
    <n v="87361"/>
    <x v="271"/>
    <n v="77189"/>
    <n v="34800"/>
    <n v="87361"/>
    <n v="114693"/>
  </r>
  <r>
    <x v="5"/>
    <x v="32"/>
    <s v="E09000033"/>
    <n v="82582"/>
    <n v="10360"/>
    <n v="92942"/>
    <x v="272"/>
    <n v="457360"/>
    <n v="130693"/>
    <n v="588053"/>
    <x v="272"/>
    <n v="539941"/>
    <n v="141053"/>
    <n v="588053"/>
    <n v="702108"/>
  </r>
  <r>
    <x v="5"/>
    <x v="33"/>
    <s v="E13000001"/>
    <n v="344356"/>
    <n v="89097"/>
    <n v="433452"/>
    <x v="273"/>
    <n v="1913427"/>
    <n v="585712"/>
    <n v="2499138"/>
    <x v="273"/>
    <n v="2257782"/>
    <n v="674809"/>
    <n v="2499138"/>
    <n v="3012045"/>
  </r>
  <r>
    <x v="5"/>
    <x v="34"/>
    <s v="E13000002"/>
    <n v="201986"/>
    <n v="107826"/>
    <n v="309812"/>
    <x v="274"/>
    <n v="1034614"/>
    <n v="459121"/>
    <n v="1493734"/>
    <x v="274"/>
    <n v="1236600"/>
    <n v="566947"/>
    <n v="1493734"/>
    <n v="1844460"/>
  </r>
  <r>
    <x v="5"/>
    <x v="35"/>
    <s v="E12000001"/>
    <n v="150050"/>
    <n v="91241"/>
    <n v="241291"/>
    <x v="275"/>
    <n v="535840"/>
    <n v="256595"/>
    <n v="792436"/>
    <x v="275"/>
    <n v="685890"/>
    <n v="347836"/>
    <n v="792436"/>
    <n v="1065932"/>
  </r>
  <r>
    <x v="5"/>
    <x v="36"/>
    <s v="E12000002"/>
    <n v="380717"/>
    <n v="229649"/>
    <n v="610366"/>
    <x v="276"/>
    <n v="1709176"/>
    <n v="766094"/>
    <n v="2475270"/>
    <x v="276"/>
    <n v="2089893"/>
    <n v="995743"/>
    <n v="2475270"/>
    <n v="3183904"/>
  </r>
  <r>
    <x v="5"/>
    <x v="37"/>
    <s v="E12000003"/>
    <n v="282011"/>
    <n v="177839"/>
    <n v="459851"/>
    <x v="277"/>
    <n v="1242834"/>
    <n v="558512"/>
    <n v="1801346"/>
    <x v="277"/>
    <n v="1524845"/>
    <n v="736351"/>
    <n v="1801346"/>
    <n v="2341861"/>
  </r>
  <r>
    <x v="5"/>
    <x v="38"/>
    <s v="E12000004"/>
    <n v="218870"/>
    <n v="129342"/>
    <n v="348212"/>
    <x v="278"/>
    <n v="1121307"/>
    <n v="477828"/>
    <n v="1599136"/>
    <x v="278"/>
    <n v="1340177"/>
    <n v="607170"/>
    <n v="1599136"/>
    <n v="2017200"/>
  </r>
  <r>
    <x v="5"/>
    <x v="39"/>
    <s v="E12000005"/>
    <n v="276884"/>
    <n v="180903"/>
    <n v="457787"/>
    <x v="279"/>
    <n v="1375035"/>
    <n v="571149"/>
    <n v="1946184"/>
    <x v="279"/>
    <n v="1651919"/>
    <n v="752052"/>
    <n v="1946184"/>
    <n v="2486752"/>
  </r>
  <r>
    <x v="5"/>
    <x v="40"/>
    <s v="E12000006"/>
    <n v="243557"/>
    <n v="186169"/>
    <n v="429726"/>
    <x v="280"/>
    <n v="1446664"/>
    <n v="680442"/>
    <n v="2127105"/>
    <x v="280"/>
    <n v="1690222"/>
    <n v="866611"/>
    <n v="2127105"/>
    <n v="2659308"/>
  </r>
  <r>
    <x v="5"/>
    <x v="41"/>
    <s v="E12000007"/>
    <n v="546771"/>
    <n v="197019"/>
    <n v="743790"/>
    <x v="281"/>
    <n v="2948041"/>
    <n v="1044833"/>
    <n v="3992872"/>
    <x v="281"/>
    <n v="3494811"/>
    <n v="1241852"/>
    <n v="3992872"/>
    <n v="4857311"/>
  </r>
  <r>
    <x v="5"/>
    <x v="42"/>
    <s v="E12000008"/>
    <n v="368402"/>
    <n v="246491"/>
    <n v="614893"/>
    <x v="282"/>
    <n v="2281395"/>
    <n v="1011750"/>
    <n v="3293145"/>
    <x v="282"/>
    <n v="2649797"/>
    <n v="1258241"/>
    <n v="3293145"/>
    <n v="4046690"/>
  </r>
  <r>
    <x v="5"/>
    <x v="43"/>
    <s v="E12000009"/>
    <n v="246179"/>
    <n v="180255"/>
    <n v="426435"/>
    <x v="283"/>
    <n v="1276542"/>
    <n v="649455"/>
    <n v="1925997"/>
    <x v="283"/>
    <n v="1522721"/>
    <n v="829710"/>
    <n v="1925997"/>
    <n v="2478219"/>
  </r>
  <r>
    <x v="5"/>
    <x v="44"/>
    <s v="W92000004"/>
    <n v="192275"/>
    <n v="136481"/>
    <n v="328756"/>
    <x v="284"/>
    <n v="594577"/>
    <n v="285351"/>
    <n v="879929"/>
    <x v="284"/>
    <n v="786853"/>
    <n v="421832"/>
    <n v="879929"/>
    <n v="1292672"/>
  </r>
  <r>
    <x v="5"/>
    <x v="45"/>
    <s v="S92000003"/>
    <n v="376825"/>
    <n v="222300"/>
    <n v="599125"/>
    <x v="285"/>
    <n v="1267634"/>
    <n v="570331"/>
    <n v="1837965"/>
    <x v="285"/>
    <n v="1644459"/>
    <n v="792632"/>
    <n v="1837965"/>
    <n v="2540169"/>
  </r>
  <r>
    <x v="5"/>
    <x v="46"/>
    <s v="E92000001"/>
    <n v="2713440"/>
    <n v="1618908"/>
    <n v="4332349"/>
    <x v="286"/>
    <n v="13936834"/>
    <n v="6016658"/>
    <n v="19953490"/>
    <x v="286"/>
    <n v="16650274"/>
    <n v="7635566"/>
    <n v="19953490"/>
    <n v="25137178"/>
  </r>
  <r>
    <x v="5"/>
    <x v="47"/>
    <s v="K03000001"/>
    <n v="3282540"/>
    <n v="1977689"/>
    <n v="5260230"/>
    <x v="287"/>
    <n v="15799045"/>
    <n v="6872341"/>
    <n v="22671383"/>
    <x v="287"/>
    <n v="19081585"/>
    <n v="8850029"/>
    <n v="22671383"/>
    <n v="28970019"/>
  </r>
  <r>
    <x v="6"/>
    <x v="0"/>
    <s v="E09000001"/>
    <n v="13236"/>
    <n v="2391"/>
    <n v="15627"/>
    <x v="288"/>
    <n v="366110"/>
    <n v="57463"/>
    <n v="423572"/>
    <x v="288"/>
    <n v="379345"/>
    <n v="59854"/>
    <n v="423572"/>
    <n v="455505"/>
  </r>
  <r>
    <x v="6"/>
    <x v="1"/>
    <s v="E09000002"/>
    <n v="7034"/>
    <n v="3972"/>
    <n v="11006"/>
    <x v="289"/>
    <n v="28116"/>
    <n v="11466"/>
    <n v="39582"/>
    <x v="289"/>
    <n v="35150"/>
    <n v="15438"/>
    <n v="39582"/>
    <n v="52184"/>
  </r>
  <r>
    <x v="6"/>
    <x v="2"/>
    <s v="E09000003"/>
    <n v="14598"/>
    <n v="8113"/>
    <n v="22712"/>
    <x v="290"/>
    <n v="70951"/>
    <n v="34887"/>
    <n v="105839"/>
    <x v="290"/>
    <n v="85550"/>
    <n v="43001"/>
    <n v="105839"/>
    <n v="133543"/>
  </r>
  <r>
    <x v="6"/>
    <x v="3"/>
    <s v="E09000004"/>
    <n v="6577"/>
    <n v="4271"/>
    <n v="10848"/>
    <x v="291"/>
    <n v="39348"/>
    <n v="20891"/>
    <n v="60238"/>
    <x v="291"/>
    <n v="45925"/>
    <n v="25162"/>
    <n v="60238"/>
    <n v="73161"/>
  </r>
  <r>
    <x v="6"/>
    <x v="4"/>
    <s v="E09000005"/>
    <n v="16057"/>
    <n v="4465"/>
    <n v="20523"/>
    <x v="292"/>
    <n v="67006"/>
    <n v="26842"/>
    <n v="93848"/>
    <x v="292"/>
    <n v="83063"/>
    <n v="31308"/>
    <n v="93848"/>
    <n v="117152"/>
  </r>
  <r>
    <x v="6"/>
    <x v="5"/>
    <s v="E09000006"/>
    <n v="8555"/>
    <n v="5869"/>
    <n v="14424"/>
    <x v="293"/>
    <n v="58365"/>
    <n v="32029"/>
    <n v="90393"/>
    <x v="293"/>
    <n v="66920"/>
    <n v="37898"/>
    <n v="90393"/>
    <n v="108914"/>
  </r>
  <r>
    <x v="6"/>
    <x v="6"/>
    <s v="E09000007"/>
    <n v="35304"/>
    <n v="8867"/>
    <n v="44171"/>
    <x v="294"/>
    <n v="228579"/>
    <n v="68303"/>
    <n v="296882"/>
    <x v="294"/>
    <n v="263883"/>
    <n v="77170"/>
    <n v="296882"/>
    <n v="353552"/>
  </r>
  <r>
    <x v="6"/>
    <x v="7"/>
    <s v="E09000008"/>
    <n v="15663"/>
    <n v="7688"/>
    <n v="23351"/>
    <x v="295"/>
    <n v="62416"/>
    <n v="30663"/>
    <n v="93079"/>
    <x v="295"/>
    <n v="78079"/>
    <n v="38351"/>
    <n v="93079"/>
    <n v="119507"/>
  </r>
  <r>
    <x v="6"/>
    <x v="8"/>
    <s v="E09000009"/>
    <n v="13605"/>
    <n v="4323"/>
    <n v="17928"/>
    <x v="296"/>
    <n v="78782"/>
    <n v="31660"/>
    <n v="110442"/>
    <x v="296"/>
    <n v="92387"/>
    <n v="35983"/>
    <n v="110442"/>
    <n v="131313"/>
  </r>
  <r>
    <x v="6"/>
    <x v="9"/>
    <s v="E09000010"/>
    <n v="14369"/>
    <n v="7707"/>
    <n v="22075"/>
    <x v="297"/>
    <n v="54380"/>
    <n v="25966"/>
    <n v="80345"/>
    <x v="297"/>
    <n v="68749"/>
    <n v="33672"/>
    <n v="80345"/>
    <n v="105460"/>
  </r>
  <r>
    <x v="6"/>
    <x v="10"/>
    <s v="E09000011"/>
    <n v="12794"/>
    <n v="8977"/>
    <n v="21771"/>
    <x v="298"/>
    <n v="36370"/>
    <n v="21751"/>
    <n v="58121"/>
    <x v="298"/>
    <n v="49164"/>
    <n v="30727"/>
    <n v="58121"/>
    <n v="81889"/>
  </r>
  <r>
    <x v="6"/>
    <x v="11"/>
    <s v="E09000012"/>
    <n v="14244"/>
    <n v="5430"/>
    <n v="19674"/>
    <x v="299"/>
    <n v="65585"/>
    <n v="23396"/>
    <n v="88981"/>
    <x v="299"/>
    <n v="79829"/>
    <n v="28826"/>
    <n v="88981"/>
    <n v="112962"/>
  </r>
  <r>
    <x v="6"/>
    <x v="12"/>
    <s v="E09000013"/>
    <n v="17729"/>
    <n v="3277"/>
    <n v="21006"/>
    <x v="300"/>
    <n v="79464"/>
    <n v="34098"/>
    <n v="113562"/>
    <x v="300"/>
    <n v="97194"/>
    <n v="37374"/>
    <n v="113562"/>
    <n v="137598"/>
  </r>
  <r>
    <x v="6"/>
    <x v="13"/>
    <s v="E09000014"/>
    <n v="9366"/>
    <n v="3602"/>
    <n v="12969"/>
    <x v="301"/>
    <n v="35564"/>
    <n v="19326"/>
    <n v="54889"/>
    <x v="301"/>
    <n v="44930"/>
    <n v="22928"/>
    <n v="54889"/>
    <n v="70669"/>
  </r>
  <r>
    <x v="6"/>
    <x v="14"/>
    <s v="E09000015"/>
    <n v="5887"/>
    <n v="4916"/>
    <n v="10803"/>
    <x v="302"/>
    <n v="41783"/>
    <n v="18443"/>
    <n v="60226"/>
    <x v="302"/>
    <n v="47670"/>
    <n v="23359"/>
    <n v="60226"/>
    <n v="73477"/>
  </r>
  <r>
    <x v="6"/>
    <x v="15"/>
    <s v="E09000016"/>
    <n v="10902"/>
    <n v="5619"/>
    <n v="16521"/>
    <x v="303"/>
    <n v="41099"/>
    <n v="21440"/>
    <n v="62537"/>
    <x v="303"/>
    <n v="52001"/>
    <n v="27059"/>
    <n v="62537"/>
    <n v="81336"/>
  </r>
  <r>
    <x v="6"/>
    <x v="16"/>
    <s v="E09000017"/>
    <n v="14607"/>
    <n v="8881"/>
    <n v="23488"/>
    <x v="304"/>
    <n v="120552"/>
    <n v="37029"/>
    <n v="157581"/>
    <x v="304"/>
    <n v="135159"/>
    <n v="45910"/>
    <n v="157581"/>
    <n v="184303"/>
  </r>
  <r>
    <x v="6"/>
    <x v="17"/>
    <s v="E09000018"/>
    <n v="10249"/>
    <n v="3775"/>
    <n v="14024"/>
    <x v="305"/>
    <n v="105622"/>
    <n v="41435"/>
    <n v="147057"/>
    <x v="305"/>
    <n v="115871"/>
    <n v="45211"/>
    <n v="147057"/>
    <n v="163376"/>
  </r>
  <r>
    <x v="6"/>
    <x v="18"/>
    <s v="E09000019"/>
    <n v="22338"/>
    <n v="5256"/>
    <n v="27594"/>
    <x v="306"/>
    <n v="155832"/>
    <n v="39141"/>
    <n v="194973"/>
    <x v="306"/>
    <n v="178170"/>
    <n v="44397"/>
    <n v="194973"/>
    <n v="228624"/>
  </r>
  <r>
    <x v="6"/>
    <x v="19"/>
    <s v="E09000020"/>
    <n v="13634"/>
    <n v="6015"/>
    <n v="19649"/>
    <x v="307"/>
    <n v="79006"/>
    <n v="29119"/>
    <n v="108126"/>
    <x v="307"/>
    <n v="92640"/>
    <n v="35135"/>
    <n v="108126"/>
    <n v="132523"/>
  </r>
  <r>
    <x v="6"/>
    <x v="20"/>
    <s v="E09000021"/>
    <n v="7229"/>
    <n v="4858"/>
    <n v="12087"/>
    <x v="308"/>
    <n v="44317"/>
    <n v="25264"/>
    <n v="69581"/>
    <x v="308"/>
    <n v="51547"/>
    <n v="30121"/>
    <n v="69581"/>
    <n v="83552"/>
  </r>
  <r>
    <x v="6"/>
    <x v="21"/>
    <s v="E09000022"/>
    <n v="27420"/>
    <n v="8961"/>
    <n v="36381"/>
    <x v="309"/>
    <n v="80498"/>
    <n v="36252"/>
    <n v="116750"/>
    <x v="309"/>
    <n v="107918"/>
    <n v="45213"/>
    <n v="116750"/>
    <n v="162479"/>
  </r>
  <r>
    <x v="6"/>
    <x v="22"/>
    <s v="E09000023"/>
    <n v="10096"/>
    <n v="6659"/>
    <n v="16755"/>
    <x v="310"/>
    <n v="32097"/>
    <n v="18443"/>
    <n v="50540"/>
    <x v="310"/>
    <n v="42193"/>
    <n v="25102"/>
    <n v="50540"/>
    <n v="69729"/>
  </r>
  <r>
    <x v="6"/>
    <x v="23"/>
    <s v="E09000024"/>
    <n v="6553"/>
    <n v="3241"/>
    <n v="9794"/>
    <x v="311"/>
    <n v="47529"/>
    <n v="21630"/>
    <n v="69159"/>
    <x v="311"/>
    <n v="54082"/>
    <n v="24871"/>
    <n v="69159"/>
    <n v="80869"/>
  </r>
  <r>
    <x v="6"/>
    <x v="24"/>
    <s v="E09000025"/>
    <n v="16118"/>
    <n v="5896"/>
    <n v="22015"/>
    <x v="312"/>
    <n v="50465"/>
    <n v="27110"/>
    <n v="77575"/>
    <x v="312"/>
    <n v="66583"/>
    <n v="33006"/>
    <n v="77575"/>
    <n v="101832"/>
  </r>
  <r>
    <x v="6"/>
    <x v="25"/>
    <s v="E09000026"/>
    <n v="11325"/>
    <n v="6065"/>
    <n v="17391"/>
    <x v="313"/>
    <n v="39788"/>
    <n v="19711"/>
    <n v="59499"/>
    <x v="313"/>
    <n v="51113"/>
    <n v="25777"/>
    <n v="59499"/>
    <n v="79226"/>
  </r>
  <r>
    <x v="6"/>
    <x v="26"/>
    <s v="E09000027"/>
    <n v="6636"/>
    <n v="2736"/>
    <n v="9371"/>
    <x v="314"/>
    <n v="50158"/>
    <n v="21497"/>
    <n v="71655"/>
    <x v="314"/>
    <n v="56794"/>
    <n v="24233"/>
    <n v="71655"/>
    <n v="84074"/>
  </r>
  <r>
    <x v="6"/>
    <x v="27"/>
    <s v="E09000028"/>
    <n v="34141"/>
    <n v="7242"/>
    <n v="41383"/>
    <x v="315"/>
    <n v="145696"/>
    <n v="38014"/>
    <n v="183710"/>
    <x v="315"/>
    <n v="179837"/>
    <n v="45256"/>
    <n v="183710"/>
    <n v="232193"/>
  </r>
  <r>
    <x v="6"/>
    <x v="28"/>
    <s v="E09000029"/>
    <n v="8352"/>
    <n v="4624"/>
    <n v="12977"/>
    <x v="316"/>
    <n v="37152"/>
    <n v="20010"/>
    <n v="57162"/>
    <x v="316"/>
    <n v="45504"/>
    <n v="24634"/>
    <n v="57162"/>
    <n v="72109"/>
  </r>
  <r>
    <x v="6"/>
    <x v="29"/>
    <s v="E09000030"/>
    <n v="32392"/>
    <n v="10864"/>
    <n v="43255"/>
    <x v="317"/>
    <n v="190877"/>
    <n v="41442"/>
    <n v="232319"/>
    <x v="317"/>
    <n v="223269"/>
    <n v="52306"/>
    <n v="232319"/>
    <n v="280913"/>
  </r>
  <r>
    <x v="6"/>
    <x v="30"/>
    <s v="E09000031"/>
    <n v="10646"/>
    <n v="4918"/>
    <n v="15564"/>
    <x v="318"/>
    <n v="36181"/>
    <n v="16437"/>
    <n v="52619"/>
    <x v="318"/>
    <n v="46827"/>
    <n v="21355"/>
    <n v="52619"/>
    <n v="70478"/>
  </r>
  <r>
    <x v="6"/>
    <x v="31"/>
    <s v="E09000032"/>
    <n v="17704"/>
    <n v="7656"/>
    <n v="25360"/>
    <x v="319"/>
    <n v="63507"/>
    <n v="27581"/>
    <n v="91088"/>
    <x v="319"/>
    <n v="81210"/>
    <n v="35237"/>
    <n v="91088"/>
    <n v="119730"/>
  </r>
  <r>
    <x v="6"/>
    <x v="32"/>
    <s v="E09000033"/>
    <n v="82634"/>
    <n v="11573"/>
    <n v="94206"/>
    <x v="320"/>
    <n v="470251"/>
    <n v="134641"/>
    <n v="604893"/>
    <x v="320"/>
    <n v="552885"/>
    <n v="146214"/>
    <n v="604893"/>
    <n v="726500"/>
  </r>
  <r>
    <x v="6"/>
    <x v="33"/>
    <s v="E13000001"/>
    <n v="346355"/>
    <n v="93689"/>
    <n v="440043"/>
    <x v="321"/>
    <n v="2043531"/>
    <n v="594329"/>
    <n v="2637860"/>
    <x v="321"/>
    <n v="2389886"/>
    <n v="688017"/>
    <n v="2637860"/>
    <n v="3184810"/>
  </r>
  <r>
    <x v="6"/>
    <x v="34"/>
    <s v="E13000002"/>
    <n v="201639"/>
    <n v="105018"/>
    <n v="306658"/>
    <x v="322"/>
    <n v="1059915"/>
    <n v="479051"/>
    <n v="1538964"/>
    <x v="322"/>
    <n v="1261554"/>
    <n v="584069"/>
    <n v="1538964"/>
    <n v="1895923"/>
  </r>
  <r>
    <x v="6"/>
    <x v="35"/>
    <s v="E12000001"/>
    <n v="144051"/>
    <n v="85022"/>
    <n v="229073"/>
    <x v="323"/>
    <n v="568508"/>
    <n v="265888"/>
    <n v="834395"/>
    <x v="323"/>
    <n v="712559"/>
    <n v="350910"/>
    <n v="834395"/>
    <n v="1094425"/>
  </r>
  <r>
    <x v="6"/>
    <x v="36"/>
    <s v="E12000002"/>
    <n v="375007"/>
    <n v="229337"/>
    <n v="604344"/>
    <x v="324"/>
    <n v="1782013"/>
    <n v="776005"/>
    <n v="2558017"/>
    <x v="324"/>
    <n v="2157020"/>
    <n v="1005343"/>
    <n v="2558017"/>
    <n v="3263197"/>
  </r>
  <r>
    <x v="6"/>
    <x v="37"/>
    <s v="E12000003"/>
    <n v="274504"/>
    <n v="175898"/>
    <n v="450402"/>
    <x v="325"/>
    <n v="1294666"/>
    <n v="585265"/>
    <n v="1879930"/>
    <x v="325"/>
    <n v="1569170"/>
    <n v="761163"/>
    <n v="1879930"/>
    <n v="2414867"/>
  </r>
  <r>
    <x v="6"/>
    <x v="38"/>
    <s v="E12000004"/>
    <n v="194883"/>
    <n v="134820"/>
    <n v="329703"/>
    <x v="326"/>
    <n v="1185365"/>
    <n v="495247"/>
    <n v="1680611"/>
    <x v="326"/>
    <n v="1380248"/>
    <n v="630067"/>
    <n v="1680611"/>
    <n v="2091256"/>
  </r>
  <r>
    <x v="6"/>
    <x v="39"/>
    <s v="E12000005"/>
    <n v="264869"/>
    <n v="169698"/>
    <n v="434642"/>
    <x v="327"/>
    <n v="1441913"/>
    <n v="587978"/>
    <n v="2029896"/>
    <x v="327"/>
    <n v="1706783"/>
    <n v="757676"/>
    <n v="2029896"/>
    <n v="2546846"/>
  </r>
  <r>
    <x v="6"/>
    <x v="40"/>
    <s v="E12000006"/>
    <n v="227937"/>
    <n v="176063"/>
    <n v="404000"/>
    <x v="328"/>
    <n v="1527686"/>
    <n v="697804"/>
    <n v="2225489"/>
    <x v="328"/>
    <n v="1755622"/>
    <n v="873867"/>
    <n v="2225489"/>
    <n v="2720742"/>
  </r>
  <r>
    <x v="6"/>
    <x v="41"/>
    <s v="E12000007"/>
    <n v="547994"/>
    <n v="198707"/>
    <n v="746701"/>
    <x v="329"/>
    <n v="3103446"/>
    <n v="1073379"/>
    <n v="4176825"/>
    <x v="329"/>
    <n v="3651440"/>
    <n v="1272086"/>
    <n v="4176825"/>
    <n v="5080733"/>
  </r>
  <r>
    <x v="6"/>
    <x v="42"/>
    <s v="E12000008"/>
    <n v="359384"/>
    <n v="238190"/>
    <n v="597574"/>
    <x v="330"/>
    <n v="2416315"/>
    <n v="1059298"/>
    <n v="3475613"/>
    <x v="330"/>
    <n v="2775699"/>
    <n v="1297488"/>
    <n v="3475613"/>
    <n v="4205954"/>
  </r>
  <r>
    <x v="6"/>
    <x v="43"/>
    <s v="E12000009"/>
    <n v="231457"/>
    <n v="166853"/>
    <n v="398310"/>
    <x v="331"/>
    <n v="1327147"/>
    <n v="661820"/>
    <n v="1988967"/>
    <x v="331"/>
    <n v="1558604"/>
    <n v="828673"/>
    <n v="1988967"/>
    <n v="2515624"/>
  </r>
  <r>
    <x v="6"/>
    <x v="44"/>
    <s v="W92000004"/>
    <n v="171414"/>
    <n v="127341"/>
    <n v="298755"/>
    <x v="332"/>
    <n v="620323"/>
    <n v="313162"/>
    <n v="933485"/>
    <x v="332"/>
    <n v="791738"/>
    <n v="440503"/>
    <n v="933485"/>
    <n v="1321537"/>
  </r>
  <r>
    <x v="6"/>
    <x v="45"/>
    <s v="S92000003"/>
    <n v="356731"/>
    <n v="220209"/>
    <n v="576940"/>
    <x v="333"/>
    <n v="1269109"/>
    <n v="615823"/>
    <n v="1884931"/>
    <x v="333"/>
    <n v="1625840"/>
    <n v="836032"/>
    <n v="1884931"/>
    <n v="2564009"/>
  </r>
  <r>
    <x v="6"/>
    <x v="46"/>
    <s v="E92000001"/>
    <n v="2620087"/>
    <n v="1574587"/>
    <n v="4194749"/>
    <x v="334"/>
    <n v="14647058"/>
    <n v="6202684"/>
    <n v="20849743"/>
    <x v="334"/>
    <n v="17267145"/>
    <n v="7777272"/>
    <n v="20849743"/>
    <n v="25933644"/>
  </r>
  <r>
    <x v="6"/>
    <x v="47"/>
    <s v="K03000001"/>
    <n v="3148232"/>
    <n v="1922138"/>
    <n v="5070445"/>
    <x v="335"/>
    <n v="16536490"/>
    <n v="7131668"/>
    <n v="23668158"/>
    <x v="335"/>
    <n v="19684722"/>
    <n v="9053806"/>
    <n v="23668158"/>
    <n v="29819189"/>
  </r>
  <r>
    <x v="7"/>
    <x v="0"/>
    <s v="E09000001"/>
    <n v="14769"/>
    <n v="2773"/>
    <n v="17542"/>
    <x v="336"/>
    <n v="390521"/>
    <n v="63578"/>
    <n v="454099"/>
    <x v="336"/>
    <n v="405290"/>
    <n v="66351"/>
    <n v="454099"/>
    <n v="488795"/>
  </r>
  <r>
    <x v="7"/>
    <x v="1"/>
    <s v="E09000002"/>
    <n v="6573"/>
    <n v="3884"/>
    <n v="10456"/>
    <x v="337"/>
    <n v="29737"/>
    <n v="12040"/>
    <n v="41777"/>
    <x v="337"/>
    <n v="36310"/>
    <n v="15923"/>
    <n v="41777"/>
    <n v="53296"/>
  </r>
  <r>
    <x v="7"/>
    <x v="2"/>
    <s v="E09000003"/>
    <n v="13901"/>
    <n v="7915"/>
    <n v="21816"/>
    <x v="338"/>
    <n v="70943"/>
    <n v="35197"/>
    <n v="106140"/>
    <x v="338"/>
    <n v="84844"/>
    <n v="43112"/>
    <n v="106140"/>
    <n v="131921"/>
  </r>
  <r>
    <x v="7"/>
    <x v="3"/>
    <s v="E09000004"/>
    <n v="6838"/>
    <n v="3985"/>
    <n v="10823"/>
    <x v="339"/>
    <n v="39948"/>
    <n v="21867"/>
    <n v="61816"/>
    <x v="339"/>
    <n v="46787"/>
    <n v="25852"/>
    <n v="61816"/>
    <n v="74599"/>
  </r>
  <r>
    <x v="7"/>
    <x v="4"/>
    <s v="E09000005"/>
    <n v="14023"/>
    <n v="7769"/>
    <n v="21792"/>
    <x v="340"/>
    <n v="71046"/>
    <n v="27547"/>
    <n v="98594"/>
    <x v="340"/>
    <n v="85069"/>
    <n v="35316"/>
    <n v="98594"/>
    <n v="123136"/>
  </r>
  <r>
    <x v="7"/>
    <x v="5"/>
    <s v="E09000006"/>
    <n v="8262"/>
    <n v="5639"/>
    <n v="13901"/>
    <x v="341"/>
    <n v="59695"/>
    <n v="31761"/>
    <n v="91455"/>
    <x v="341"/>
    <n v="67957"/>
    <n v="37399"/>
    <n v="91455"/>
    <n v="108637"/>
  </r>
  <r>
    <x v="7"/>
    <x v="6"/>
    <s v="E09000007"/>
    <n v="36427"/>
    <n v="9636"/>
    <n v="46063"/>
    <x v="342"/>
    <n v="237330"/>
    <n v="71410"/>
    <n v="308740"/>
    <x v="342"/>
    <n v="273757"/>
    <n v="81046"/>
    <n v="308740"/>
    <n v="364826"/>
  </r>
  <r>
    <x v="7"/>
    <x v="7"/>
    <s v="E09000008"/>
    <n v="15679"/>
    <n v="7551"/>
    <n v="23230"/>
    <x v="343"/>
    <n v="63419"/>
    <n v="30578"/>
    <n v="93997"/>
    <x v="343"/>
    <n v="79098"/>
    <n v="38129"/>
    <n v="93997"/>
    <n v="120182"/>
  </r>
  <r>
    <x v="7"/>
    <x v="8"/>
    <s v="E09000009"/>
    <n v="11993"/>
    <n v="6216"/>
    <n v="18210"/>
    <x v="344"/>
    <n v="80392"/>
    <n v="32970"/>
    <n v="113362"/>
    <x v="344"/>
    <n v="92386"/>
    <n v="39186"/>
    <n v="113362"/>
    <n v="134167"/>
  </r>
  <r>
    <x v="7"/>
    <x v="9"/>
    <s v="E09000010"/>
    <n v="12436"/>
    <n v="8373"/>
    <n v="20809"/>
    <x v="345"/>
    <n v="53586"/>
    <n v="26035"/>
    <n v="79621"/>
    <x v="345"/>
    <n v="66022"/>
    <n v="34407"/>
    <n v="79621"/>
    <n v="102566"/>
  </r>
  <r>
    <x v="7"/>
    <x v="10"/>
    <s v="E09000011"/>
    <n v="12341"/>
    <n v="8042"/>
    <n v="20383"/>
    <x v="346"/>
    <n v="37413"/>
    <n v="21308"/>
    <n v="58721"/>
    <x v="346"/>
    <n v="49754"/>
    <n v="29350"/>
    <n v="58721"/>
    <n v="80660"/>
  </r>
  <r>
    <x v="7"/>
    <x v="11"/>
    <s v="E09000012"/>
    <n v="13567"/>
    <n v="5274"/>
    <n v="18841"/>
    <x v="347"/>
    <n v="75805"/>
    <n v="26811"/>
    <n v="102616"/>
    <x v="347"/>
    <n v="89372"/>
    <n v="32085"/>
    <n v="102616"/>
    <n v="124861"/>
  </r>
  <r>
    <x v="7"/>
    <x v="12"/>
    <s v="E09000013"/>
    <n v="17135"/>
    <n v="3168"/>
    <n v="20303"/>
    <x v="348"/>
    <n v="81173"/>
    <n v="35841"/>
    <n v="117014"/>
    <x v="348"/>
    <n v="98309"/>
    <n v="39009"/>
    <n v="117014"/>
    <n v="139490"/>
  </r>
  <r>
    <x v="7"/>
    <x v="13"/>
    <s v="E09000014"/>
    <n v="9251"/>
    <n v="3255"/>
    <n v="12506"/>
    <x v="349"/>
    <n v="34421"/>
    <n v="19151"/>
    <n v="53572"/>
    <x v="349"/>
    <n v="43672"/>
    <n v="22406"/>
    <n v="53572"/>
    <n v="68456"/>
  </r>
  <r>
    <x v="7"/>
    <x v="14"/>
    <s v="E09000015"/>
    <n v="5974"/>
    <n v="5052"/>
    <n v="11026"/>
    <x v="350"/>
    <n v="42721"/>
    <n v="18548"/>
    <n v="61269"/>
    <x v="350"/>
    <n v="48695"/>
    <n v="23600"/>
    <n v="61269"/>
    <n v="74347"/>
  </r>
  <r>
    <x v="7"/>
    <x v="15"/>
    <s v="E09000016"/>
    <n v="10531"/>
    <n v="5942"/>
    <n v="16474"/>
    <x v="351"/>
    <n v="43726"/>
    <n v="22226"/>
    <n v="65952"/>
    <x v="351"/>
    <n v="54257"/>
    <n v="28168"/>
    <n v="65952"/>
    <n v="84497"/>
  </r>
  <r>
    <x v="7"/>
    <x v="16"/>
    <s v="E09000017"/>
    <n v="14116"/>
    <n v="8605"/>
    <n v="22721"/>
    <x v="352"/>
    <n v="122995"/>
    <n v="39100"/>
    <n v="162096"/>
    <x v="352"/>
    <n v="137112"/>
    <n v="47705"/>
    <n v="162096"/>
    <n v="187436"/>
  </r>
  <r>
    <x v="7"/>
    <x v="17"/>
    <s v="E09000018"/>
    <n v="12748"/>
    <n v="4252"/>
    <n v="17000"/>
    <x v="353"/>
    <n v="113102"/>
    <n v="40685"/>
    <n v="153787"/>
    <x v="353"/>
    <n v="125850"/>
    <n v="44938"/>
    <n v="153787"/>
    <n v="172841"/>
  </r>
  <r>
    <x v="7"/>
    <x v="18"/>
    <s v="E09000019"/>
    <n v="20099"/>
    <n v="4497"/>
    <n v="24597"/>
    <x v="354"/>
    <n v="161794"/>
    <n v="41468"/>
    <n v="203262"/>
    <x v="354"/>
    <n v="181894"/>
    <n v="45965"/>
    <n v="203262"/>
    <n v="232650"/>
  </r>
  <r>
    <x v="7"/>
    <x v="19"/>
    <s v="E09000020"/>
    <n v="13723"/>
    <n v="4626"/>
    <n v="18349"/>
    <x v="355"/>
    <n v="79487"/>
    <n v="29472"/>
    <n v="108959"/>
    <x v="355"/>
    <n v="93210"/>
    <n v="34098"/>
    <n v="108959"/>
    <n v="130332"/>
  </r>
  <r>
    <x v="7"/>
    <x v="20"/>
    <s v="E09000021"/>
    <n v="7078"/>
    <n v="4346"/>
    <n v="11424"/>
    <x v="356"/>
    <n v="44101"/>
    <n v="24868"/>
    <n v="68970"/>
    <x v="356"/>
    <n v="51179"/>
    <n v="29214"/>
    <n v="68970"/>
    <n v="81919"/>
  </r>
  <r>
    <x v="7"/>
    <x v="21"/>
    <s v="E09000022"/>
    <n v="26524"/>
    <n v="8787"/>
    <n v="35311"/>
    <x v="357"/>
    <n v="76139"/>
    <n v="31109"/>
    <n v="107249"/>
    <x v="357"/>
    <n v="102664"/>
    <n v="39896"/>
    <n v="107249"/>
    <n v="145251"/>
  </r>
  <r>
    <x v="7"/>
    <x v="22"/>
    <s v="E09000023"/>
    <n v="9210"/>
    <n v="6143"/>
    <n v="15353"/>
    <x v="358"/>
    <n v="31604"/>
    <n v="19128"/>
    <n v="50732"/>
    <x v="358"/>
    <n v="40815"/>
    <n v="25270"/>
    <n v="50732"/>
    <n v="68257"/>
  </r>
  <r>
    <x v="7"/>
    <x v="23"/>
    <s v="E09000024"/>
    <n v="6073"/>
    <n v="2561"/>
    <n v="8634"/>
    <x v="359"/>
    <n v="49834"/>
    <n v="22095"/>
    <n v="71929"/>
    <x v="359"/>
    <n v="55907"/>
    <n v="24657"/>
    <n v="71929"/>
    <n v="81992"/>
  </r>
  <r>
    <x v="7"/>
    <x v="24"/>
    <s v="E09000025"/>
    <n v="16203"/>
    <n v="7430"/>
    <n v="23632"/>
    <x v="360"/>
    <n v="52323"/>
    <n v="26894"/>
    <n v="79217"/>
    <x v="360"/>
    <n v="68526"/>
    <n v="34324"/>
    <n v="79217"/>
    <n v="104767"/>
  </r>
  <r>
    <x v="7"/>
    <x v="25"/>
    <s v="E09000026"/>
    <n v="10585"/>
    <n v="5406"/>
    <n v="15991"/>
    <x v="361"/>
    <n v="39543"/>
    <n v="19764"/>
    <n v="59307"/>
    <x v="361"/>
    <n v="50128"/>
    <n v="25170"/>
    <n v="59307"/>
    <n v="77277"/>
  </r>
  <r>
    <x v="7"/>
    <x v="26"/>
    <s v="E09000027"/>
    <n v="6525"/>
    <n v="3423"/>
    <n v="9947"/>
    <x v="362"/>
    <n v="49330"/>
    <n v="21505"/>
    <n v="70835"/>
    <x v="362"/>
    <n v="55855"/>
    <n v="24927"/>
    <n v="70835"/>
    <n v="83108"/>
  </r>
  <r>
    <x v="7"/>
    <x v="27"/>
    <s v="E09000028"/>
    <n v="34085"/>
    <n v="6366"/>
    <n v="40451"/>
    <x v="363"/>
    <n v="149264"/>
    <n v="40845"/>
    <n v="190108"/>
    <x v="363"/>
    <n v="183349"/>
    <n v="47211"/>
    <n v="190108"/>
    <n v="236772"/>
  </r>
  <r>
    <x v="7"/>
    <x v="28"/>
    <s v="E09000029"/>
    <n v="8637"/>
    <n v="4955"/>
    <n v="13592"/>
    <x v="364"/>
    <n v="36907"/>
    <n v="21192"/>
    <n v="58098"/>
    <x v="364"/>
    <n v="45544"/>
    <n v="26147"/>
    <n v="58098"/>
    <n v="73522"/>
  </r>
  <r>
    <x v="7"/>
    <x v="29"/>
    <s v="E09000030"/>
    <n v="29878"/>
    <n v="13438"/>
    <n v="43316"/>
    <x v="365"/>
    <n v="188660"/>
    <n v="45030"/>
    <n v="233690"/>
    <x v="365"/>
    <n v="218537"/>
    <n v="58468"/>
    <n v="233690"/>
    <n v="281717"/>
  </r>
  <r>
    <x v="7"/>
    <x v="30"/>
    <s v="E09000031"/>
    <n v="10049"/>
    <n v="4403"/>
    <n v="14451"/>
    <x v="366"/>
    <n v="38140"/>
    <n v="17012"/>
    <n v="55152"/>
    <x v="366"/>
    <n v="48189"/>
    <n v="21414"/>
    <n v="55152"/>
    <n v="71435"/>
  </r>
  <r>
    <x v="7"/>
    <x v="31"/>
    <s v="E09000032"/>
    <n v="17737"/>
    <n v="7369"/>
    <n v="25105"/>
    <x v="367"/>
    <n v="63093"/>
    <n v="28788"/>
    <n v="91881"/>
    <x v="367"/>
    <n v="80829"/>
    <n v="36157"/>
    <n v="91881"/>
    <n v="119575"/>
  </r>
  <r>
    <x v="7"/>
    <x v="32"/>
    <s v="E09000033"/>
    <n v="81142"/>
    <n v="10973"/>
    <n v="92115"/>
    <x v="368"/>
    <n v="472910"/>
    <n v="135969"/>
    <n v="608880"/>
    <x v="368"/>
    <n v="554052"/>
    <n v="146942"/>
    <n v="608880"/>
    <n v="723913"/>
  </r>
  <r>
    <x v="7"/>
    <x v="33"/>
    <s v="E13000001"/>
    <n v="339751"/>
    <n v="93734"/>
    <n v="433485"/>
    <x v="369"/>
    <n v="2094525"/>
    <n v="615494"/>
    <n v="2710018"/>
    <x v="369"/>
    <n v="2434276"/>
    <n v="709228"/>
    <n v="2710018"/>
    <n v="3229662"/>
  </r>
  <r>
    <x v="7"/>
    <x v="34"/>
    <s v="E13000002"/>
    <n v="194362"/>
    <n v="108318"/>
    <n v="302680"/>
    <x v="370"/>
    <n v="1086581"/>
    <n v="486296"/>
    <n v="1572878"/>
    <x v="370"/>
    <n v="1280943"/>
    <n v="594614"/>
    <n v="1572878"/>
    <n v="1917540"/>
  </r>
  <r>
    <x v="7"/>
    <x v="35"/>
    <s v="E12000001"/>
    <n v="143848"/>
    <n v="84257"/>
    <n v="228105"/>
    <x v="371"/>
    <n v="542628"/>
    <n v="266115"/>
    <n v="808743"/>
    <x v="371"/>
    <n v="686476"/>
    <n v="350372"/>
    <n v="808743"/>
    <n v="1072428"/>
  </r>
  <r>
    <x v="7"/>
    <x v="36"/>
    <s v="E12000002"/>
    <n v="378912"/>
    <n v="225875"/>
    <n v="604787"/>
    <x v="372"/>
    <n v="1800545"/>
    <n v="840867"/>
    <n v="2641414"/>
    <x v="372"/>
    <n v="2179457"/>
    <n v="1066742"/>
    <n v="2641414"/>
    <n v="3343977"/>
  </r>
  <r>
    <x v="7"/>
    <x v="37"/>
    <s v="E12000003"/>
    <n v="271781"/>
    <n v="174397"/>
    <n v="446178"/>
    <x v="373"/>
    <n v="1284904"/>
    <n v="609060"/>
    <n v="1893965"/>
    <x v="373"/>
    <n v="1556685"/>
    <n v="783457"/>
    <n v="1893965"/>
    <n v="2419129"/>
  </r>
  <r>
    <x v="7"/>
    <x v="38"/>
    <s v="E12000004"/>
    <n v="192686"/>
    <n v="138312"/>
    <n v="330998"/>
    <x v="374"/>
    <n v="1197212"/>
    <n v="533520"/>
    <n v="1730733"/>
    <x v="374"/>
    <n v="1389898"/>
    <n v="671832"/>
    <n v="1730733"/>
    <n v="2133285"/>
  </r>
  <r>
    <x v="7"/>
    <x v="39"/>
    <s v="E12000005"/>
    <n v="265397"/>
    <n v="168415"/>
    <n v="433812"/>
    <x v="375"/>
    <n v="1440959"/>
    <n v="630605"/>
    <n v="2071563"/>
    <x v="375"/>
    <n v="1706356"/>
    <n v="799020"/>
    <n v="2071563"/>
    <n v="2586273"/>
  </r>
  <r>
    <x v="7"/>
    <x v="40"/>
    <s v="E12000006"/>
    <n v="233722"/>
    <n v="190298"/>
    <n v="424020"/>
    <x v="376"/>
    <n v="1536382"/>
    <n v="740960"/>
    <n v="2277341"/>
    <x v="376"/>
    <n v="1770104"/>
    <n v="931258"/>
    <n v="2277341"/>
    <n v="2801358"/>
  </r>
  <r>
    <x v="7"/>
    <x v="41"/>
    <s v="E12000007"/>
    <n v="534113"/>
    <n v="202052"/>
    <n v="736164"/>
    <x v="377"/>
    <n v="3181105"/>
    <n v="1101790"/>
    <n v="4282895"/>
    <x v="377"/>
    <n v="3715218"/>
    <n v="1303842"/>
    <n v="4282895"/>
    <n v="5147202"/>
  </r>
  <r>
    <x v="7"/>
    <x v="42"/>
    <s v="E12000008"/>
    <n v="355313"/>
    <n v="239898"/>
    <n v="595211"/>
    <x v="378"/>
    <n v="2444334"/>
    <n v="1107613"/>
    <n v="3551945"/>
    <x v="378"/>
    <n v="2799647"/>
    <n v="1347511"/>
    <n v="3551945"/>
    <n v="4277983"/>
  </r>
  <r>
    <x v="7"/>
    <x v="43"/>
    <s v="E12000009"/>
    <n v="233842"/>
    <n v="165447"/>
    <n v="399289"/>
    <x v="379"/>
    <n v="1338127"/>
    <n v="682135"/>
    <n v="2020261"/>
    <x v="379"/>
    <n v="1571969"/>
    <n v="847582"/>
    <n v="2020261"/>
    <n v="2548747"/>
  </r>
  <r>
    <x v="7"/>
    <x v="44"/>
    <s v="W92000004"/>
    <n v="179809"/>
    <n v="119215"/>
    <n v="299024"/>
    <x v="380"/>
    <n v="632598"/>
    <n v="323938"/>
    <n v="956536"/>
    <x v="380"/>
    <n v="812407"/>
    <n v="443154"/>
    <n v="956536"/>
    <n v="1333501"/>
  </r>
  <r>
    <x v="7"/>
    <x v="45"/>
    <s v="S92000003"/>
    <n v="353048"/>
    <n v="224762"/>
    <n v="577809"/>
    <x v="381"/>
    <n v="1296265"/>
    <n v="607059"/>
    <n v="1903325"/>
    <x v="381"/>
    <n v="1649313"/>
    <n v="831821"/>
    <n v="1903325"/>
    <n v="2586270"/>
  </r>
  <r>
    <x v="7"/>
    <x v="46"/>
    <s v="E92000001"/>
    <n v="2609614"/>
    <n v="1588951"/>
    <n v="4198565"/>
    <x v="382"/>
    <n v="14766196"/>
    <n v="6512666"/>
    <n v="21278860"/>
    <x v="382"/>
    <n v="17375809"/>
    <n v="8101617"/>
    <n v="21278860"/>
    <n v="26330381"/>
  </r>
  <r>
    <x v="7"/>
    <x v="47"/>
    <s v="K03000001"/>
    <n v="3142470"/>
    <n v="1932928"/>
    <n v="5075399"/>
    <x v="383"/>
    <n v="16695059"/>
    <n v="7443663"/>
    <n v="24138720"/>
    <x v="383"/>
    <n v="19837529"/>
    <n v="9376592"/>
    <n v="24138720"/>
    <n v="30250152"/>
  </r>
  <r>
    <x v="8"/>
    <x v="0"/>
    <s v="E09000001"/>
    <n v="14953"/>
    <n v="2628"/>
    <n v="17581"/>
    <x v="384"/>
    <n v="407119"/>
    <n v="70899"/>
    <n v="478018"/>
    <x v="384"/>
    <n v="422072"/>
    <n v="73527"/>
    <n v="478018"/>
    <n v="512832"/>
  </r>
  <r>
    <x v="8"/>
    <x v="1"/>
    <s v="E09000002"/>
    <n v="5975"/>
    <n v="3742"/>
    <n v="9717"/>
    <x v="385"/>
    <n v="31597"/>
    <n v="13678"/>
    <n v="45275"/>
    <x v="385"/>
    <n v="37572"/>
    <n v="17420"/>
    <n v="45275"/>
    <n v="56056"/>
  </r>
  <r>
    <x v="8"/>
    <x v="2"/>
    <s v="E09000003"/>
    <n v="13500"/>
    <n v="7824"/>
    <n v="21324"/>
    <x v="386"/>
    <n v="72135"/>
    <n v="38876"/>
    <n v="111011"/>
    <x v="386"/>
    <n v="85635"/>
    <n v="46700"/>
    <n v="111011"/>
    <n v="136116"/>
  </r>
  <r>
    <x v="8"/>
    <x v="3"/>
    <s v="E09000004"/>
    <n v="6745"/>
    <n v="4283"/>
    <n v="11027"/>
    <x v="387"/>
    <n v="40867"/>
    <n v="23231"/>
    <n v="64097"/>
    <x v="387"/>
    <n v="47611"/>
    <n v="27513"/>
    <n v="64097"/>
    <n v="77055"/>
  </r>
  <r>
    <x v="8"/>
    <x v="4"/>
    <s v="E09000005"/>
    <n v="19075"/>
    <n v="5480"/>
    <n v="24556"/>
    <x v="388"/>
    <n v="72074"/>
    <n v="28941"/>
    <n v="101015"/>
    <x v="388"/>
    <n v="91149"/>
    <n v="34421"/>
    <n v="101015"/>
    <n v="128232"/>
  </r>
  <r>
    <x v="8"/>
    <x v="5"/>
    <s v="E09000006"/>
    <n v="9046"/>
    <n v="6424"/>
    <n v="15470"/>
    <x v="389"/>
    <n v="59957"/>
    <n v="34284"/>
    <n v="94241"/>
    <x v="389"/>
    <n v="69003"/>
    <n v="40708"/>
    <n v="94241"/>
    <n v="112577"/>
  </r>
  <r>
    <x v="8"/>
    <x v="6"/>
    <s v="E09000007"/>
    <n v="35214"/>
    <n v="12980"/>
    <n v="48194"/>
    <x v="390"/>
    <n v="233397"/>
    <n v="79449"/>
    <n v="312846"/>
    <x v="390"/>
    <n v="268611"/>
    <n v="92429"/>
    <n v="312846"/>
    <n v="373028"/>
  </r>
  <r>
    <x v="8"/>
    <x v="7"/>
    <s v="E09000008"/>
    <n v="17234"/>
    <n v="8127"/>
    <n v="25361"/>
    <x v="391"/>
    <n v="65674"/>
    <n v="32988"/>
    <n v="98662"/>
    <x v="391"/>
    <n v="82908"/>
    <n v="41115"/>
    <n v="98662"/>
    <n v="127236"/>
  </r>
  <r>
    <x v="8"/>
    <x v="8"/>
    <s v="E09000009"/>
    <n v="11946"/>
    <n v="5402"/>
    <n v="17348"/>
    <x v="392"/>
    <n v="83007"/>
    <n v="34149"/>
    <n v="117156"/>
    <x v="392"/>
    <n v="94953"/>
    <n v="39551"/>
    <n v="117156"/>
    <n v="137755"/>
  </r>
  <r>
    <x v="8"/>
    <x v="9"/>
    <s v="E09000010"/>
    <n v="12654"/>
    <n v="7968"/>
    <n v="20622"/>
    <x v="393"/>
    <n v="56104"/>
    <n v="29092"/>
    <n v="85196"/>
    <x v="393"/>
    <n v="68758"/>
    <n v="37060"/>
    <n v="85196"/>
    <n v="108039"/>
  </r>
  <r>
    <x v="8"/>
    <x v="10"/>
    <s v="E09000011"/>
    <n v="12914"/>
    <n v="8700"/>
    <n v="21614"/>
    <x v="394"/>
    <n v="39079"/>
    <n v="24281"/>
    <n v="63360"/>
    <x v="394"/>
    <n v="51993"/>
    <n v="32981"/>
    <n v="63360"/>
    <n v="87132"/>
  </r>
  <r>
    <x v="8"/>
    <x v="11"/>
    <s v="E09000012"/>
    <n v="13599"/>
    <n v="5452"/>
    <n v="19052"/>
    <x v="395"/>
    <n v="73492"/>
    <n v="27163"/>
    <n v="100655"/>
    <x v="395"/>
    <n v="87091"/>
    <n v="32615"/>
    <n v="100655"/>
    <n v="123343"/>
  </r>
  <r>
    <x v="8"/>
    <x v="12"/>
    <s v="E09000013"/>
    <n v="17142"/>
    <n v="3527"/>
    <n v="20669"/>
    <x v="396"/>
    <n v="80464"/>
    <n v="34103"/>
    <n v="114566"/>
    <x v="396"/>
    <n v="97606"/>
    <n v="37630"/>
    <n v="114566"/>
    <n v="137579"/>
  </r>
  <r>
    <x v="8"/>
    <x v="13"/>
    <s v="E09000014"/>
    <n v="8786"/>
    <n v="3238"/>
    <n v="12024"/>
    <x v="397"/>
    <n v="37215"/>
    <n v="20626"/>
    <n v="57841"/>
    <x v="397"/>
    <n v="46001"/>
    <n v="23864"/>
    <n v="57841"/>
    <n v="72579"/>
  </r>
  <r>
    <x v="8"/>
    <x v="14"/>
    <s v="E09000015"/>
    <n v="6105"/>
    <n v="4818"/>
    <n v="10922"/>
    <x v="145"/>
    <n v="42138"/>
    <n v="21166"/>
    <n v="63303"/>
    <x v="398"/>
    <n v="48242"/>
    <n v="25983"/>
    <n v="63303"/>
    <n v="76496"/>
  </r>
  <r>
    <x v="8"/>
    <x v="15"/>
    <s v="E09000016"/>
    <n v="10336"/>
    <n v="6080"/>
    <n v="16415"/>
    <x v="398"/>
    <n v="43820"/>
    <n v="23864"/>
    <n v="67684"/>
    <x v="399"/>
    <n v="54156"/>
    <n v="29944"/>
    <n v="67684"/>
    <n v="86087"/>
  </r>
  <r>
    <x v="8"/>
    <x v="16"/>
    <s v="E09000017"/>
    <n v="14910"/>
    <n v="9884"/>
    <n v="24795"/>
    <x v="399"/>
    <n v="123953"/>
    <n v="40611"/>
    <n v="164564"/>
    <x v="400"/>
    <n v="138863"/>
    <n v="50496"/>
    <n v="164564"/>
    <n v="192389"/>
  </r>
  <r>
    <x v="8"/>
    <x v="17"/>
    <s v="E09000018"/>
    <n v="12002"/>
    <n v="4061"/>
    <n v="16063"/>
    <x v="400"/>
    <n v="105039"/>
    <n v="40976"/>
    <n v="146015"/>
    <x v="401"/>
    <n v="117042"/>
    <n v="45036"/>
    <n v="146015"/>
    <n v="164343"/>
  </r>
  <r>
    <x v="8"/>
    <x v="18"/>
    <s v="E09000019"/>
    <n v="14583"/>
    <n v="4019"/>
    <n v="18602"/>
    <x v="401"/>
    <n v="160657"/>
    <n v="41400"/>
    <n v="202058"/>
    <x v="402"/>
    <n v="175241"/>
    <n v="45419"/>
    <n v="202058"/>
    <n v="226239"/>
  </r>
  <r>
    <x v="8"/>
    <x v="19"/>
    <s v="E09000020"/>
    <n v="14861"/>
    <n v="4933"/>
    <n v="19794"/>
    <x v="402"/>
    <n v="84524"/>
    <n v="31192"/>
    <n v="115716"/>
    <x v="403"/>
    <n v="99385"/>
    <n v="36125"/>
    <n v="115716"/>
    <n v="139166"/>
  </r>
  <r>
    <x v="8"/>
    <x v="20"/>
    <s v="E09000021"/>
    <n v="7068"/>
    <n v="4478"/>
    <n v="11546"/>
    <x v="403"/>
    <n v="45923"/>
    <n v="28260"/>
    <n v="74183"/>
    <x v="404"/>
    <n v="52991"/>
    <n v="32738"/>
    <n v="74183"/>
    <n v="87057"/>
  </r>
  <r>
    <x v="8"/>
    <x v="21"/>
    <s v="E09000022"/>
    <n v="26993"/>
    <n v="9036"/>
    <n v="36029"/>
    <x v="404"/>
    <n v="77009"/>
    <n v="34990"/>
    <n v="111999"/>
    <x v="405"/>
    <n v="104003"/>
    <n v="44025"/>
    <n v="111999"/>
    <n v="151973"/>
  </r>
  <r>
    <x v="8"/>
    <x v="22"/>
    <s v="E09000023"/>
    <n v="9742"/>
    <n v="6024"/>
    <n v="15765"/>
    <x v="405"/>
    <n v="31585"/>
    <n v="19945"/>
    <n v="51530"/>
    <x v="406"/>
    <n v="41327"/>
    <n v="25969"/>
    <n v="51530"/>
    <n v="69406"/>
  </r>
  <r>
    <x v="8"/>
    <x v="23"/>
    <s v="E09000024"/>
    <n v="6015"/>
    <n v="2851"/>
    <n v="8866"/>
    <x v="406"/>
    <n v="50464"/>
    <n v="23511"/>
    <n v="73976"/>
    <x v="407"/>
    <n v="56480"/>
    <n v="26363"/>
    <n v="73976"/>
    <n v="84557"/>
  </r>
  <r>
    <x v="8"/>
    <x v="24"/>
    <s v="E09000025"/>
    <n v="15917"/>
    <n v="6776"/>
    <n v="22693"/>
    <x v="407"/>
    <n v="54446"/>
    <n v="29946"/>
    <n v="84392"/>
    <x v="408"/>
    <n v="70363"/>
    <n v="36722"/>
    <n v="84392"/>
    <n v="109116"/>
  </r>
  <r>
    <x v="8"/>
    <x v="25"/>
    <s v="E09000026"/>
    <n v="11932"/>
    <n v="5638"/>
    <n v="17570"/>
    <x v="408"/>
    <n v="40376"/>
    <n v="22190"/>
    <n v="62566"/>
    <x v="409"/>
    <n v="52308"/>
    <n v="27829"/>
    <n v="62566"/>
    <n v="82288"/>
  </r>
  <r>
    <x v="8"/>
    <x v="26"/>
    <s v="E09000027"/>
    <n v="6339"/>
    <n v="3150"/>
    <n v="9489"/>
    <x v="409"/>
    <n v="48841"/>
    <n v="22942"/>
    <n v="71783"/>
    <x v="410"/>
    <n v="55180"/>
    <n v="26092"/>
    <n v="71783"/>
    <n v="83626"/>
  </r>
  <r>
    <x v="8"/>
    <x v="27"/>
    <s v="E09000028"/>
    <n v="34914"/>
    <n v="7765"/>
    <n v="42679"/>
    <x v="410"/>
    <n v="150375"/>
    <n v="41482"/>
    <n v="191858"/>
    <x v="411"/>
    <n v="185290"/>
    <n v="49247"/>
    <n v="191858"/>
    <n v="239952"/>
  </r>
  <r>
    <x v="8"/>
    <x v="28"/>
    <s v="E09000029"/>
    <n v="8773"/>
    <n v="5863"/>
    <n v="14636"/>
    <x v="411"/>
    <n v="36084"/>
    <n v="20750"/>
    <n v="56834"/>
    <x v="412"/>
    <n v="44857"/>
    <n v="26613"/>
    <n v="56834"/>
    <n v="73170"/>
  </r>
  <r>
    <x v="8"/>
    <x v="29"/>
    <s v="E09000030"/>
    <n v="30403"/>
    <n v="15342"/>
    <n v="45746"/>
    <x v="412"/>
    <n v="196378"/>
    <n v="48388"/>
    <n v="244766"/>
    <x v="413"/>
    <n v="226782"/>
    <n v="63731"/>
    <n v="244766"/>
    <n v="295136"/>
  </r>
  <r>
    <x v="8"/>
    <x v="30"/>
    <s v="E09000031"/>
    <n v="10775"/>
    <n v="4907"/>
    <n v="15682"/>
    <x v="413"/>
    <n v="38338"/>
    <n v="18077"/>
    <n v="56415"/>
    <x v="414"/>
    <n v="49113"/>
    <n v="22984"/>
    <n v="56415"/>
    <n v="74242"/>
  </r>
  <r>
    <x v="8"/>
    <x v="31"/>
    <s v="E09000032"/>
    <n v="17223"/>
    <n v="8016"/>
    <n v="25239"/>
    <x v="414"/>
    <n v="62976"/>
    <n v="31282"/>
    <n v="94258"/>
    <x v="415"/>
    <n v="80199"/>
    <n v="39298"/>
    <n v="94258"/>
    <n v="122458"/>
  </r>
  <r>
    <x v="8"/>
    <x v="32"/>
    <s v="E09000033"/>
    <n v="87796"/>
    <n v="11846"/>
    <n v="99642"/>
    <x v="415"/>
    <n v="458105"/>
    <n v="141434"/>
    <n v="599539"/>
    <x v="416"/>
    <n v="545901"/>
    <n v="153281"/>
    <n v="599539"/>
    <n v="720635"/>
  </r>
  <r>
    <x v="8"/>
    <x v="33"/>
    <s v="E13000001"/>
    <n v="342127"/>
    <n v="101581"/>
    <n v="443709"/>
    <x v="416"/>
    <n v="2107743"/>
    <n v="652299"/>
    <n v="2760042"/>
    <x v="417"/>
    <n v="2449870"/>
    <n v="753880"/>
    <n v="2760042"/>
    <n v="3293441"/>
  </r>
  <r>
    <x v="8"/>
    <x v="34"/>
    <s v="E13000002"/>
    <n v="203345"/>
    <n v="109680"/>
    <n v="313024"/>
    <x v="417"/>
    <n v="1095468"/>
    <n v="521868"/>
    <n v="1617336"/>
    <x v="418"/>
    <n v="1298813"/>
    <n v="631547"/>
    <n v="1617336"/>
    <n v="1974451"/>
  </r>
  <r>
    <x v="8"/>
    <x v="35"/>
    <s v="E12000001"/>
    <n v="140240"/>
    <n v="85422"/>
    <n v="225662"/>
    <x v="418"/>
    <n v="559804"/>
    <n v="278593"/>
    <n v="838397"/>
    <x v="419"/>
    <n v="700044"/>
    <n v="364015"/>
    <n v="838397"/>
    <n v="1096104"/>
  </r>
  <r>
    <x v="8"/>
    <x v="36"/>
    <s v="E12000002"/>
    <n v="377623"/>
    <n v="231607"/>
    <n v="609230"/>
    <x v="419"/>
    <n v="1841019"/>
    <n v="840654"/>
    <n v="2681672"/>
    <x v="420"/>
    <n v="2218642"/>
    <n v="1072261"/>
    <n v="2681672"/>
    <n v="3384297"/>
  </r>
  <r>
    <x v="8"/>
    <x v="37"/>
    <s v="E12000003"/>
    <n v="271779"/>
    <n v="168719"/>
    <n v="440498"/>
    <x v="420"/>
    <n v="1323059"/>
    <n v="613183"/>
    <n v="1936241"/>
    <x v="421"/>
    <n v="1594838"/>
    <n v="781902"/>
    <n v="1936241"/>
    <n v="2463155"/>
  </r>
  <r>
    <x v="8"/>
    <x v="38"/>
    <s v="E12000004"/>
    <n v="192976"/>
    <n v="134685"/>
    <n v="327662"/>
    <x v="421"/>
    <n v="1227833"/>
    <n v="532265"/>
    <n v="1760098"/>
    <x v="422"/>
    <n v="1420809"/>
    <n v="666950"/>
    <n v="1760098"/>
    <n v="2155682"/>
  </r>
  <r>
    <x v="8"/>
    <x v="39"/>
    <s v="E12000005"/>
    <n v="265691"/>
    <n v="169278"/>
    <n v="434969"/>
    <x v="422"/>
    <n v="1478165"/>
    <n v="665386"/>
    <n v="2143551"/>
    <x v="423"/>
    <n v="1743856"/>
    <n v="834664"/>
    <n v="2143551"/>
    <n v="2664480"/>
  </r>
  <r>
    <x v="8"/>
    <x v="40"/>
    <s v="E12000006"/>
    <n v="229508"/>
    <n v="192885"/>
    <n v="422392"/>
    <x v="423"/>
    <n v="1573021"/>
    <n v="761640"/>
    <n v="2334662"/>
    <x v="424"/>
    <n v="1802529"/>
    <n v="954525"/>
    <n v="2334662"/>
    <n v="2849826"/>
  </r>
  <r>
    <x v="8"/>
    <x v="41"/>
    <s v="E12000007"/>
    <n v="545472"/>
    <n v="211261"/>
    <n v="756733"/>
    <x v="424"/>
    <n v="3203211"/>
    <n v="1174167"/>
    <n v="4377378"/>
    <x v="425"/>
    <n v="3748683"/>
    <n v="1385428"/>
    <n v="4377378"/>
    <n v="5267893"/>
  </r>
  <r>
    <x v="8"/>
    <x v="42"/>
    <s v="E12000008"/>
    <n v="356041"/>
    <n v="239439"/>
    <n v="595480"/>
    <x v="425"/>
    <n v="2362704"/>
    <n v="1144813"/>
    <n v="3507516"/>
    <x v="426"/>
    <n v="2718745"/>
    <n v="1384252"/>
    <n v="3507516"/>
    <n v="4239582"/>
  </r>
  <r>
    <x v="8"/>
    <x v="43"/>
    <s v="E12000009"/>
    <n v="233275"/>
    <n v="170225"/>
    <n v="403500"/>
    <x v="426"/>
    <n v="1330922"/>
    <n v="693927"/>
    <n v="2024848"/>
    <x v="427"/>
    <n v="1564197"/>
    <n v="864152"/>
    <n v="2024848"/>
    <n v="2560741"/>
  </r>
  <r>
    <x v="8"/>
    <x v="44"/>
    <s v="W92000004"/>
    <n v="184080"/>
    <n v="112019"/>
    <n v="296099"/>
    <x v="427"/>
    <n v="620838"/>
    <n v="324299"/>
    <n v="945137"/>
    <x v="428"/>
    <n v="804918"/>
    <n v="436318"/>
    <n v="945137"/>
    <n v="1322063"/>
  </r>
  <r>
    <x v="8"/>
    <x v="45"/>
    <s v="S92000003"/>
    <n v="359929"/>
    <n v="223764"/>
    <n v="583693"/>
    <x v="428"/>
    <n v="1277637"/>
    <n v="626836"/>
    <n v="1904472"/>
    <x v="429"/>
    <n v="1637566"/>
    <n v="850600"/>
    <n v="1904472"/>
    <n v="2589365"/>
  </r>
  <r>
    <x v="8"/>
    <x v="46"/>
    <s v="E92000001"/>
    <n v="2612605"/>
    <n v="1603521"/>
    <n v="4216127"/>
    <x v="429"/>
    <n v="14899738"/>
    <n v="6704627"/>
    <n v="21604363"/>
    <x v="430"/>
    <n v="17512344"/>
    <n v="8308149"/>
    <n v="21604363"/>
    <n v="26681761"/>
  </r>
  <r>
    <x v="8"/>
    <x v="47"/>
    <s v="K03000001"/>
    <n v="3156614"/>
    <n v="1939304"/>
    <n v="5095918"/>
    <x v="430"/>
    <n v="16798213"/>
    <n v="7655762"/>
    <n v="24453972"/>
    <x v="431"/>
    <n v="19954827"/>
    <n v="9595066"/>
    <n v="24453972"/>
    <n v="30593189"/>
  </r>
  <r>
    <x v="9"/>
    <x v="0"/>
    <s v="E09000001"/>
    <n v="14558"/>
    <n v="2527"/>
    <n v="17085"/>
    <x v="431"/>
    <n v="423716"/>
    <n v="65988"/>
    <n v="489704"/>
    <x v="432"/>
    <n v="438274"/>
    <n v="68515"/>
    <n v="489704"/>
    <n v="522391"/>
  </r>
  <r>
    <x v="9"/>
    <x v="1"/>
    <s v="E09000002"/>
    <n v="5538"/>
    <n v="3055"/>
    <n v="8594"/>
    <x v="432"/>
    <n v="31252"/>
    <n v="14063"/>
    <n v="45316"/>
    <x v="433"/>
    <n v="36791"/>
    <n v="17118"/>
    <n v="45316"/>
    <n v="54824"/>
  </r>
  <r>
    <x v="9"/>
    <x v="2"/>
    <s v="E09000003"/>
    <n v="13672"/>
    <n v="6309"/>
    <n v="19981"/>
    <x v="433"/>
    <n v="72463"/>
    <n v="38149"/>
    <n v="110613"/>
    <x v="434"/>
    <n v="86136"/>
    <n v="44458"/>
    <n v="110613"/>
    <n v="134505"/>
  </r>
  <r>
    <x v="9"/>
    <x v="3"/>
    <s v="E09000004"/>
    <n v="6868"/>
    <n v="4169"/>
    <n v="11037"/>
    <x v="434"/>
    <n v="40606"/>
    <n v="22774"/>
    <n v="63380"/>
    <x v="435"/>
    <n v="47474"/>
    <n v="26944"/>
    <n v="63380"/>
    <n v="75952"/>
  </r>
  <r>
    <x v="9"/>
    <x v="4"/>
    <s v="E09000005"/>
    <n v="18760"/>
    <n v="5430"/>
    <n v="24190"/>
    <x v="435"/>
    <n v="69974"/>
    <n v="29444"/>
    <n v="99418"/>
    <x v="436"/>
    <n v="88733"/>
    <n v="34875"/>
    <n v="99418"/>
    <n v="126308"/>
  </r>
  <r>
    <x v="9"/>
    <x v="5"/>
    <s v="E09000006"/>
    <n v="8993"/>
    <n v="5911"/>
    <n v="14904"/>
    <x v="436"/>
    <n v="58654"/>
    <n v="33354"/>
    <n v="92008"/>
    <x v="437"/>
    <n v="67647"/>
    <n v="39265"/>
    <n v="92008"/>
    <n v="109660"/>
  </r>
  <r>
    <x v="9"/>
    <x v="6"/>
    <s v="E09000007"/>
    <n v="34428"/>
    <n v="11548"/>
    <n v="45976"/>
    <x v="437"/>
    <n v="244550"/>
    <n v="72786"/>
    <n v="317336"/>
    <x v="438"/>
    <n v="278979"/>
    <n v="84334"/>
    <n v="317336"/>
    <n v="374790"/>
  </r>
  <r>
    <x v="9"/>
    <x v="7"/>
    <s v="E09000008"/>
    <n v="18202"/>
    <n v="7783"/>
    <n v="25985"/>
    <x v="438"/>
    <n v="63988"/>
    <n v="32164"/>
    <n v="96152"/>
    <x v="439"/>
    <n v="82190"/>
    <n v="39947"/>
    <n v="96152"/>
    <n v="124811"/>
  </r>
  <r>
    <x v="9"/>
    <x v="8"/>
    <s v="E09000009"/>
    <n v="10940"/>
    <n v="5514"/>
    <n v="16454"/>
    <x v="439"/>
    <n v="79372"/>
    <n v="31344"/>
    <n v="110716"/>
    <x v="440"/>
    <n v="90312"/>
    <n v="36858"/>
    <n v="110716"/>
    <n v="129467"/>
  </r>
  <r>
    <x v="9"/>
    <x v="9"/>
    <s v="E09000010"/>
    <n v="11876"/>
    <n v="8179"/>
    <n v="20055"/>
    <x v="440"/>
    <n v="54407"/>
    <n v="29030"/>
    <n v="83437"/>
    <x v="441"/>
    <n v="66283"/>
    <n v="37209"/>
    <n v="83437"/>
    <n v="105703"/>
  </r>
  <r>
    <x v="9"/>
    <x v="10"/>
    <s v="E09000011"/>
    <n v="13016"/>
    <n v="8659"/>
    <n v="21675"/>
    <x v="441"/>
    <n v="39574"/>
    <n v="23163"/>
    <n v="62736"/>
    <x v="442"/>
    <n v="52590"/>
    <n v="31821"/>
    <n v="62736"/>
    <n v="86405"/>
  </r>
  <r>
    <x v="9"/>
    <x v="11"/>
    <s v="E09000012"/>
    <n v="13813"/>
    <n v="4222"/>
    <n v="18035"/>
    <x v="442"/>
    <n v="78293"/>
    <n v="29473"/>
    <n v="107766"/>
    <x v="443"/>
    <n v="92106"/>
    <n v="33695"/>
    <n v="107766"/>
    <n v="128948"/>
  </r>
  <r>
    <x v="9"/>
    <x v="12"/>
    <s v="E09000013"/>
    <n v="18127"/>
    <n v="3177"/>
    <n v="21304"/>
    <x v="443"/>
    <n v="80568"/>
    <n v="35539"/>
    <n v="116107"/>
    <x v="444"/>
    <n v="98695"/>
    <n v="38716"/>
    <n v="116107"/>
    <n v="139345"/>
  </r>
  <r>
    <x v="9"/>
    <x v="13"/>
    <s v="E09000014"/>
    <n v="8153"/>
    <n v="2757"/>
    <n v="10911"/>
    <x v="444"/>
    <n v="35919"/>
    <n v="19375"/>
    <n v="55294"/>
    <x v="445"/>
    <n v="44073"/>
    <n v="22132"/>
    <n v="55294"/>
    <n v="68135"/>
  </r>
  <r>
    <x v="9"/>
    <x v="14"/>
    <s v="E09000015"/>
    <n v="6336"/>
    <n v="4205"/>
    <n v="10541"/>
    <x v="445"/>
    <n v="38911"/>
    <n v="21072"/>
    <n v="59984"/>
    <x v="446"/>
    <n v="45248"/>
    <n v="25277"/>
    <n v="59984"/>
    <n v="72466"/>
  </r>
  <r>
    <x v="9"/>
    <x v="15"/>
    <s v="E09000016"/>
    <n v="9959"/>
    <n v="5170"/>
    <n v="15128"/>
    <x v="446"/>
    <n v="48088"/>
    <n v="24371"/>
    <n v="72459"/>
    <x v="447"/>
    <n v="58047"/>
    <n v="29540"/>
    <n v="72459"/>
    <n v="89379"/>
  </r>
  <r>
    <x v="9"/>
    <x v="16"/>
    <s v="E09000017"/>
    <n v="13996"/>
    <n v="10122"/>
    <n v="24117"/>
    <x v="447"/>
    <n v="119938"/>
    <n v="40392"/>
    <n v="160329"/>
    <x v="448"/>
    <n v="133933"/>
    <n v="50513"/>
    <n v="160329"/>
    <n v="186829"/>
  </r>
  <r>
    <x v="9"/>
    <x v="17"/>
    <s v="E09000018"/>
    <n v="12308"/>
    <n v="4309"/>
    <n v="16617"/>
    <x v="448"/>
    <n v="102050"/>
    <n v="38785"/>
    <n v="140836"/>
    <x v="449"/>
    <n v="114358"/>
    <n v="43095"/>
    <n v="140836"/>
    <n v="159284"/>
  </r>
  <r>
    <x v="9"/>
    <x v="18"/>
    <s v="E09000019"/>
    <n v="15358"/>
    <n v="4091"/>
    <n v="19449"/>
    <x v="449"/>
    <n v="167158"/>
    <n v="44411"/>
    <n v="211569"/>
    <x v="450"/>
    <n v="182517"/>
    <n v="48501"/>
    <n v="211569"/>
    <n v="236273"/>
  </r>
  <r>
    <x v="9"/>
    <x v="19"/>
    <s v="E09000020"/>
    <n v="15473"/>
    <n v="4604"/>
    <n v="20077"/>
    <x v="450"/>
    <n v="84325"/>
    <n v="33524"/>
    <n v="117849"/>
    <x v="451"/>
    <n v="99798"/>
    <n v="38128"/>
    <n v="117849"/>
    <n v="141674"/>
  </r>
  <r>
    <x v="9"/>
    <x v="20"/>
    <s v="E09000021"/>
    <n v="7011"/>
    <n v="3885"/>
    <n v="10896"/>
    <x v="451"/>
    <n v="43346"/>
    <n v="26658"/>
    <n v="70004"/>
    <x v="452"/>
    <n v="50358"/>
    <n v="30543"/>
    <n v="70004"/>
    <n v="82212"/>
  </r>
  <r>
    <x v="9"/>
    <x v="21"/>
    <s v="E09000022"/>
    <n v="29205"/>
    <n v="8046"/>
    <n v="37251"/>
    <x v="452"/>
    <n v="80922"/>
    <n v="37660"/>
    <n v="118582"/>
    <x v="453"/>
    <n v="110127"/>
    <n v="45706"/>
    <n v="118582"/>
    <n v="157993"/>
  </r>
  <r>
    <x v="9"/>
    <x v="22"/>
    <s v="E09000023"/>
    <n v="9805"/>
    <n v="5828"/>
    <n v="15633"/>
    <x v="453"/>
    <n v="30759"/>
    <n v="19589"/>
    <n v="50348"/>
    <x v="454"/>
    <n v="40564"/>
    <n v="25417"/>
    <n v="50348"/>
    <n v="67429"/>
  </r>
  <r>
    <x v="9"/>
    <x v="23"/>
    <s v="E09000024"/>
    <n v="5617"/>
    <n v="2608"/>
    <n v="8225"/>
    <x v="454"/>
    <n v="49076"/>
    <n v="24776"/>
    <n v="73852"/>
    <x v="455"/>
    <n v="54693"/>
    <n v="27383"/>
    <n v="73852"/>
    <n v="83450"/>
  </r>
  <r>
    <x v="9"/>
    <x v="24"/>
    <s v="E09000025"/>
    <n v="18221"/>
    <n v="4494"/>
    <n v="22715"/>
    <x v="455"/>
    <n v="57812"/>
    <n v="30896"/>
    <n v="88708"/>
    <x v="456"/>
    <n v="76033"/>
    <n v="35390"/>
    <n v="88708"/>
    <n v="113302"/>
  </r>
  <r>
    <x v="9"/>
    <x v="25"/>
    <s v="E09000026"/>
    <n v="11740"/>
    <n v="4906"/>
    <n v="16646"/>
    <x v="456"/>
    <n v="39337"/>
    <n v="22073"/>
    <n v="61411"/>
    <x v="457"/>
    <n v="51077"/>
    <n v="26979"/>
    <n v="61411"/>
    <n v="79833"/>
  </r>
  <r>
    <x v="9"/>
    <x v="26"/>
    <s v="E09000027"/>
    <n v="6372"/>
    <n v="3107"/>
    <n v="9479"/>
    <x v="457"/>
    <n v="46982"/>
    <n v="22813"/>
    <n v="69795"/>
    <x v="458"/>
    <n v="53354"/>
    <n v="25920"/>
    <n v="69795"/>
    <n v="81159"/>
  </r>
  <r>
    <x v="9"/>
    <x v="27"/>
    <s v="E09000028"/>
    <n v="34312"/>
    <n v="6876"/>
    <n v="41188"/>
    <x v="458"/>
    <n v="155797"/>
    <n v="43265"/>
    <n v="199062"/>
    <x v="459"/>
    <n v="190109"/>
    <n v="50141"/>
    <n v="199062"/>
    <n v="245689"/>
  </r>
  <r>
    <x v="9"/>
    <x v="28"/>
    <s v="E09000029"/>
    <n v="8462"/>
    <n v="5357"/>
    <n v="13819"/>
    <x v="459"/>
    <n v="35460"/>
    <n v="20058"/>
    <n v="55517"/>
    <x v="460"/>
    <n v="43921"/>
    <n v="25415"/>
    <n v="55517"/>
    <n v="70792"/>
  </r>
  <r>
    <x v="9"/>
    <x v="29"/>
    <s v="E09000030"/>
    <n v="34359"/>
    <n v="17219"/>
    <n v="51578"/>
    <x v="460"/>
    <n v="197631"/>
    <n v="49260"/>
    <n v="246891"/>
    <x v="461"/>
    <n v="231990"/>
    <n v="66479"/>
    <n v="246891"/>
    <n v="302638"/>
  </r>
  <r>
    <x v="9"/>
    <x v="30"/>
    <s v="E09000031"/>
    <n v="12301"/>
    <n v="4254"/>
    <n v="16555"/>
    <x v="461"/>
    <n v="37358"/>
    <n v="18205"/>
    <n v="55564"/>
    <x v="462"/>
    <n v="49660"/>
    <n v="22459"/>
    <n v="55564"/>
    <n v="73825"/>
  </r>
  <r>
    <x v="9"/>
    <x v="31"/>
    <s v="E09000032"/>
    <n v="17974"/>
    <n v="7799"/>
    <n v="25772"/>
    <x v="462"/>
    <n v="62214"/>
    <n v="30693"/>
    <n v="92907"/>
    <x v="463"/>
    <n v="80188"/>
    <n v="38491"/>
    <n v="92907"/>
    <n v="121111"/>
  </r>
  <r>
    <x v="9"/>
    <x v="32"/>
    <s v="E09000033"/>
    <n v="86271"/>
    <n v="12436"/>
    <n v="98707"/>
    <x v="463"/>
    <n v="472792"/>
    <n v="143475"/>
    <n v="616268"/>
    <x v="464"/>
    <n v="559063"/>
    <n v="155911"/>
    <n v="616268"/>
    <n v="734254"/>
  </r>
  <r>
    <x v="9"/>
    <x v="33"/>
    <s v="E13000001"/>
    <n v="350059"/>
    <n v="95624"/>
    <n v="445682"/>
    <x v="464"/>
    <n v="2172457"/>
    <n v="655934"/>
    <n v="2828393"/>
    <x v="465"/>
    <n v="2522515"/>
    <n v="751557"/>
    <n v="2828393"/>
    <n v="3353972"/>
  </r>
  <r>
    <x v="9"/>
    <x v="34"/>
    <s v="E13000002"/>
    <n v="201967"/>
    <n v="102932"/>
    <n v="304899"/>
    <x v="465"/>
    <n v="1070837"/>
    <n v="512689"/>
    <n v="1583529"/>
    <x v="466"/>
    <n v="1272804"/>
    <n v="615620"/>
    <n v="1583529"/>
    <n v="1926864"/>
  </r>
  <r>
    <x v="9"/>
    <x v="35"/>
    <s v="E12000001"/>
    <n v="142046"/>
    <n v="83961"/>
    <n v="226008"/>
    <x v="466"/>
    <n v="562239"/>
    <n v="266449"/>
    <n v="828687"/>
    <x v="467"/>
    <n v="704285"/>
    <n v="350410"/>
    <n v="828687"/>
    <n v="1083502"/>
  </r>
  <r>
    <x v="9"/>
    <x v="36"/>
    <s v="E12000002"/>
    <n v="384819"/>
    <n v="222207"/>
    <n v="607027"/>
    <x v="467"/>
    <n v="1876454"/>
    <n v="845429"/>
    <n v="2721883"/>
    <x v="468"/>
    <n v="2261274"/>
    <n v="1067636"/>
    <n v="2721883"/>
    <n v="3431408"/>
  </r>
  <r>
    <x v="9"/>
    <x v="37"/>
    <s v="E12000003"/>
    <n v="276325"/>
    <n v="167985"/>
    <n v="444310"/>
    <x v="468"/>
    <n v="1327673"/>
    <n v="625828"/>
    <n v="1953500"/>
    <x v="469"/>
    <n v="1603998"/>
    <n v="793813"/>
    <n v="1953500"/>
    <n v="2489706"/>
  </r>
  <r>
    <x v="9"/>
    <x v="38"/>
    <s v="E12000004"/>
    <n v="200080"/>
    <n v="133300"/>
    <n v="333380"/>
    <x v="469"/>
    <n v="1203554"/>
    <n v="534129"/>
    <n v="1737683"/>
    <x v="470"/>
    <n v="1403635"/>
    <n v="667429"/>
    <n v="1737683"/>
    <n v="2151490"/>
  </r>
  <r>
    <x v="9"/>
    <x v="39"/>
    <s v="E12000005"/>
    <n v="266425"/>
    <n v="163945"/>
    <n v="430370"/>
    <x v="470"/>
    <n v="1487674"/>
    <n v="642695"/>
    <n v="2130369"/>
    <x v="471"/>
    <n v="1754100"/>
    <n v="806640"/>
    <n v="2130369"/>
    <n v="2642037"/>
  </r>
  <r>
    <x v="9"/>
    <x v="40"/>
    <s v="E12000006"/>
    <n v="237847"/>
    <n v="198392"/>
    <n v="436239"/>
    <x v="471"/>
    <n v="1565452"/>
    <n v="778851"/>
    <n v="2344303"/>
    <x v="472"/>
    <n v="1803299"/>
    <n v="977243"/>
    <n v="2344303"/>
    <n v="2880216"/>
  </r>
  <r>
    <x v="9"/>
    <x v="41"/>
    <s v="E12000007"/>
    <n v="552026"/>
    <n v="198555"/>
    <n v="750581"/>
    <x v="472"/>
    <n v="3243294"/>
    <n v="1168622"/>
    <n v="4411922"/>
    <x v="473"/>
    <n v="3795320"/>
    <n v="1367178"/>
    <n v="4411922"/>
    <n v="5280836"/>
  </r>
  <r>
    <x v="9"/>
    <x v="42"/>
    <s v="E12000008"/>
    <n v="367730"/>
    <n v="231637"/>
    <n v="599368"/>
    <x v="473"/>
    <n v="2390198"/>
    <n v="1161300"/>
    <n v="3551495"/>
    <x v="474"/>
    <n v="2757928"/>
    <n v="1392938"/>
    <n v="3551495"/>
    <n v="4285249"/>
  </r>
  <r>
    <x v="9"/>
    <x v="43"/>
    <s v="E12000009"/>
    <n v="233174"/>
    <n v="173549"/>
    <n v="406723"/>
    <x v="474"/>
    <n v="1340695"/>
    <n v="721704"/>
    <n v="2062399"/>
    <x v="475"/>
    <n v="1573869"/>
    <n v="895253"/>
    <n v="2062399"/>
    <n v="2597062"/>
  </r>
  <r>
    <x v="9"/>
    <x v="44"/>
    <s v="W92000004"/>
    <n v="179855"/>
    <n v="119938"/>
    <n v="299793"/>
    <x v="475"/>
    <n v="636883"/>
    <n v="336458"/>
    <n v="973342"/>
    <x v="476"/>
    <n v="816739"/>
    <n v="456396"/>
    <n v="973342"/>
    <n v="1361344"/>
  </r>
  <r>
    <x v="9"/>
    <x v="45"/>
    <s v="S92000003"/>
    <n v="355001"/>
    <n v="224408"/>
    <n v="579409"/>
    <x v="476"/>
    <n v="1302749"/>
    <n v="626311"/>
    <n v="1929059"/>
    <x v="477"/>
    <n v="1657750"/>
    <n v="850719"/>
    <n v="1929059"/>
    <n v="2611695"/>
  </r>
  <r>
    <x v="9"/>
    <x v="46"/>
    <s v="E92000001"/>
    <n v="2660473"/>
    <n v="1573533"/>
    <n v="4234006"/>
    <x v="477"/>
    <n v="14997233"/>
    <n v="6745007"/>
    <n v="21742242"/>
    <x v="478"/>
    <n v="17657707"/>
    <n v="8318540"/>
    <n v="21742242"/>
    <n v="26841506"/>
  </r>
  <r>
    <x v="9"/>
    <x v="47"/>
    <s v="K03000001"/>
    <n v="3195330"/>
    <n v="1917879"/>
    <n v="5113209"/>
    <x v="478"/>
    <n v="16936865"/>
    <n v="7707776"/>
    <n v="24644642"/>
    <x v="479"/>
    <n v="20132195"/>
    <n v="9625655"/>
    <n v="24644642"/>
    <n v="30814545"/>
  </r>
  <r>
    <x v="10"/>
    <x v="0"/>
    <s v="E09000001"/>
    <n v="13892"/>
    <n v="2729"/>
    <n v="16621"/>
    <x v="479"/>
    <n v="439554"/>
    <n v="68773"/>
    <n v="508327"/>
    <x v="480"/>
    <n v="453446"/>
    <n v="71502"/>
    <n v="508327"/>
    <n v="541817"/>
  </r>
  <r>
    <x v="10"/>
    <x v="1"/>
    <s v="E09000002"/>
    <n v="6360"/>
    <n v="3458"/>
    <n v="9819"/>
    <x v="480"/>
    <n v="32959"/>
    <n v="13919"/>
    <n v="46878"/>
    <x v="481"/>
    <n v="39319"/>
    <n v="17378"/>
    <n v="46878"/>
    <n v="57644"/>
  </r>
  <r>
    <x v="10"/>
    <x v="2"/>
    <s v="E09000003"/>
    <n v="12590"/>
    <n v="7269"/>
    <n v="19859"/>
    <x v="481"/>
    <n v="74046"/>
    <n v="36906"/>
    <n v="110953"/>
    <x v="482"/>
    <n v="86636"/>
    <n v="44175"/>
    <n v="110953"/>
    <n v="134254"/>
  </r>
  <r>
    <x v="10"/>
    <x v="3"/>
    <s v="E09000004"/>
    <n v="6981"/>
    <n v="3913"/>
    <n v="10894"/>
    <x v="482"/>
    <n v="41869"/>
    <n v="23790"/>
    <n v="65659"/>
    <x v="483"/>
    <n v="48850"/>
    <n v="27703"/>
    <n v="65659"/>
    <n v="78110"/>
  </r>
  <r>
    <x v="10"/>
    <x v="4"/>
    <s v="E09000005"/>
    <n v="15376"/>
    <n v="6004"/>
    <n v="21380"/>
    <x v="483"/>
    <n v="72005"/>
    <n v="28887"/>
    <n v="100892"/>
    <x v="484"/>
    <n v="87381"/>
    <n v="34891"/>
    <n v="100892"/>
    <n v="124656"/>
  </r>
  <r>
    <x v="10"/>
    <x v="5"/>
    <s v="E09000006"/>
    <n v="8516"/>
    <n v="6452"/>
    <n v="14968"/>
    <x v="484"/>
    <n v="58536"/>
    <n v="33286"/>
    <n v="91822"/>
    <x v="485"/>
    <n v="67051"/>
    <n v="39738"/>
    <n v="91822"/>
    <n v="109345"/>
  </r>
  <r>
    <x v="10"/>
    <x v="6"/>
    <s v="E09000007"/>
    <n v="35717"/>
    <n v="10442"/>
    <n v="46159"/>
    <x v="485"/>
    <n v="251501"/>
    <n v="73110"/>
    <n v="324611"/>
    <x v="486"/>
    <n v="287218"/>
    <n v="83552"/>
    <n v="324611"/>
    <n v="382158"/>
  </r>
  <r>
    <x v="10"/>
    <x v="7"/>
    <s v="E09000008"/>
    <n v="18750"/>
    <n v="7488"/>
    <n v="26238"/>
    <x v="486"/>
    <n v="63658"/>
    <n v="33365"/>
    <n v="97023"/>
    <x v="487"/>
    <n v="82407"/>
    <n v="40854"/>
    <n v="97023"/>
    <n v="125875"/>
  </r>
  <r>
    <x v="10"/>
    <x v="8"/>
    <s v="E09000009"/>
    <n v="11060"/>
    <n v="6336"/>
    <n v="17396"/>
    <x v="487"/>
    <n v="85029"/>
    <n v="32266"/>
    <n v="117295"/>
    <x v="488"/>
    <n v="96089"/>
    <n v="38602"/>
    <n v="117295"/>
    <n v="137098"/>
  </r>
  <r>
    <x v="10"/>
    <x v="9"/>
    <s v="E09000010"/>
    <n v="11917"/>
    <n v="8198"/>
    <n v="20115"/>
    <x v="488"/>
    <n v="56215"/>
    <n v="28276"/>
    <n v="84491"/>
    <x v="489"/>
    <n v="68133"/>
    <n v="36474"/>
    <n v="84491"/>
    <n v="106777"/>
  </r>
  <r>
    <x v="10"/>
    <x v="10"/>
    <s v="E09000011"/>
    <n v="13073"/>
    <n v="9145"/>
    <n v="22218"/>
    <x v="168"/>
    <n v="39651"/>
    <n v="23744"/>
    <n v="63395"/>
    <x v="490"/>
    <n v="52724"/>
    <n v="32889"/>
    <n v="63395"/>
    <n v="87022"/>
  </r>
  <r>
    <x v="10"/>
    <x v="11"/>
    <s v="E09000012"/>
    <n v="13845"/>
    <n v="4008"/>
    <n v="17853"/>
    <x v="489"/>
    <n v="83091"/>
    <n v="29568"/>
    <n v="112659"/>
    <x v="491"/>
    <n v="96935"/>
    <n v="33576"/>
    <n v="112659"/>
    <n v="133372"/>
  </r>
  <r>
    <x v="10"/>
    <x v="12"/>
    <s v="E09000013"/>
    <n v="18415"/>
    <n v="3318"/>
    <n v="21733"/>
    <x v="490"/>
    <n v="80973"/>
    <n v="33859"/>
    <n v="114832"/>
    <x v="492"/>
    <n v="99388"/>
    <n v="37177"/>
    <n v="114832"/>
    <n v="138458"/>
  </r>
  <r>
    <x v="10"/>
    <x v="13"/>
    <s v="E09000014"/>
    <n v="7900"/>
    <n v="3289"/>
    <n v="11189"/>
    <x v="491"/>
    <n v="35623"/>
    <n v="19554"/>
    <n v="55177"/>
    <x v="493"/>
    <n v="43523"/>
    <n v="22843"/>
    <n v="55177"/>
    <n v="68475"/>
  </r>
  <r>
    <x v="10"/>
    <x v="14"/>
    <s v="E09000015"/>
    <n v="5868"/>
    <n v="4372"/>
    <n v="10239"/>
    <x v="492"/>
    <n v="40693"/>
    <n v="19847"/>
    <n v="60541"/>
    <x v="494"/>
    <n v="46561"/>
    <n v="24219"/>
    <n v="60541"/>
    <n v="72510"/>
  </r>
  <r>
    <x v="10"/>
    <x v="15"/>
    <s v="E09000016"/>
    <n v="10394"/>
    <n v="4296"/>
    <n v="14689"/>
    <x v="493"/>
    <n v="46632"/>
    <n v="23701"/>
    <n v="70333"/>
    <x v="495"/>
    <n v="57026"/>
    <n v="27996"/>
    <n v="70333"/>
    <n v="86697"/>
  </r>
  <r>
    <x v="10"/>
    <x v="16"/>
    <s v="E09000017"/>
    <n v="15621"/>
    <n v="8245"/>
    <n v="23866"/>
    <x v="494"/>
    <n v="124100"/>
    <n v="41028"/>
    <n v="165128"/>
    <x v="496"/>
    <n v="139721"/>
    <n v="49273"/>
    <n v="165128"/>
    <n v="191115"/>
  </r>
  <r>
    <x v="10"/>
    <x v="17"/>
    <s v="E09000018"/>
    <n v="12858"/>
    <n v="4398"/>
    <n v="17256"/>
    <x v="495"/>
    <n v="107258"/>
    <n v="38254"/>
    <n v="145512"/>
    <x v="497"/>
    <n v="120116"/>
    <n v="42652"/>
    <n v="145512"/>
    <n v="164572"/>
  </r>
  <r>
    <x v="10"/>
    <x v="18"/>
    <s v="E09000019"/>
    <n v="15891"/>
    <n v="4282"/>
    <n v="20173"/>
    <x v="496"/>
    <n v="169572"/>
    <n v="44788"/>
    <n v="214360"/>
    <x v="498"/>
    <n v="185463"/>
    <n v="49070"/>
    <n v="214360"/>
    <n v="239444"/>
  </r>
  <r>
    <x v="10"/>
    <x v="19"/>
    <s v="E09000020"/>
    <n v="15272"/>
    <n v="4189"/>
    <n v="19462"/>
    <x v="497"/>
    <n v="89304"/>
    <n v="30290"/>
    <n v="119595"/>
    <x v="499"/>
    <n v="104577"/>
    <n v="34479"/>
    <n v="119595"/>
    <n v="141886"/>
  </r>
  <r>
    <x v="10"/>
    <x v="20"/>
    <s v="E09000021"/>
    <n v="6610"/>
    <n v="4318"/>
    <n v="10927"/>
    <x v="498"/>
    <n v="41912"/>
    <n v="25274"/>
    <n v="67186"/>
    <x v="500"/>
    <n v="48522"/>
    <n v="29591"/>
    <n v="67186"/>
    <n v="79309"/>
  </r>
  <r>
    <x v="10"/>
    <x v="21"/>
    <s v="E09000022"/>
    <n v="29291"/>
    <n v="8754"/>
    <n v="38044"/>
    <x v="499"/>
    <n v="79078"/>
    <n v="33991"/>
    <n v="113070"/>
    <x v="501"/>
    <n v="108369"/>
    <n v="42745"/>
    <n v="113070"/>
    <n v="153381"/>
  </r>
  <r>
    <x v="10"/>
    <x v="22"/>
    <s v="E09000023"/>
    <n v="9721"/>
    <n v="5807"/>
    <n v="15527"/>
    <x v="500"/>
    <n v="31395"/>
    <n v="19151"/>
    <n v="50547"/>
    <x v="502"/>
    <n v="41116"/>
    <n v="24958"/>
    <n v="50547"/>
    <n v="67548"/>
  </r>
  <r>
    <x v="10"/>
    <x v="23"/>
    <s v="E09000024"/>
    <n v="5608"/>
    <n v="2484"/>
    <n v="8092"/>
    <x v="501"/>
    <n v="49418"/>
    <n v="23029"/>
    <n v="72447"/>
    <x v="503"/>
    <n v="55026"/>
    <n v="25513"/>
    <n v="72447"/>
    <n v="81926"/>
  </r>
  <r>
    <x v="10"/>
    <x v="24"/>
    <s v="E09000025"/>
    <n v="18678"/>
    <n v="4298"/>
    <n v="22976"/>
    <x v="502"/>
    <n v="58016"/>
    <n v="30718"/>
    <n v="88735"/>
    <x v="504"/>
    <n v="76694"/>
    <n v="35016"/>
    <n v="88735"/>
    <n v="113195"/>
  </r>
  <r>
    <x v="10"/>
    <x v="25"/>
    <s v="E09000026"/>
    <n v="11517"/>
    <n v="4780"/>
    <n v="16297"/>
    <x v="503"/>
    <n v="40975"/>
    <n v="21202"/>
    <n v="62177"/>
    <x v="505"/>
    <n v="52491"/>
    <n v="25982"/>
    <n v="62177"/>
    <n v="80571"/>
  </r>
  <r>
    <x v="10"/>
    <x v="26"/>
    <s v="E09000027"/>
    <n v="6594"/>
    <n v="2986"/>
    <n v="9580"/>
    <x v="504"/>
    <n v="49608"/>
    <n v="22793"/>
    <n v="72401"/>
    <x v="506"/>
    <n v="56202"/>
    <n v="25779"/>
    <n v="72401"/>
    <n v="83958"/>
  </r>
  <r>
    <x v="10"/>
    <x v="27"/>
    <s v="E09000028"/>
    <n v="33191"/>
    <n v="7035"/>
    <n v="40226"/>
    <x v="505"/>
    <n v="162080"/>
    <n v="46529"/>
    <n v="208609"/>
    <x v="507"/>
    <n v="195270"/>
    <n v="53564"/>
    <n v="208609"/>
    <n v="253800"/>
  </r>
  <r>
    <x v="10"/>
    <x v="28"/>
    <s v="E09000029"/>
    <n v="8983"/>
    <n v="5311"/>
    <n v="14294"/>
    <x v="506"/>
    <n v="36008"/>
    <n v="20371"/>
    <n v="56380"/>
    <x v="508"/>
    <n v="44991"/>
    <n v="25682"/>
    <n v="56380"/>
    <n v="72209"/>
  </r>
  <r>
    <x v="10"/>
    <x v="29"/>
    <s v="E09000030"/>
    <n v="34793"/>
    <n v="18190"/>
    <n v="52983"/>
    <x v="507"/>
    <n v="203807"/>
    <n v="47909"/>
    <n v="251717"/>
    <x v="509"/>
    <n v="238600"/>
    <n v="66100"/>
    <n v="251717"/>
    <n v="309169"/>
  </r>
  <r>
    <x v="10"/>
    <x v="30"/>
    <s v="E09000031"/>
    <n v="12494"/>
    <n v="4468"/>
    <n v="16962"/>
    <x v="508"/>
    <n v="38025"/>
    <n v="17648"/>
    <n v="55673"/>
    <x v="510"/>
    <n v="50519"/>
    <n v="22116"/>
    <n v="55673"/>
    <n v="74311"/>
  </r>
  <r>
    <x v="10"/>
    <x v="31"/>
    <s v="E09000032"/>
    <n v="18299"/>
    <n v="7617"/>
    <n v="25915"/>
    <x v="509"/>
    <n v="63287"/>
    <n v="30639"/>
    <n v="93926"/>
    <x v="511"/>
    <n v="81585"/>
    <n v="38256"/>
    <n v="93926"/>
    <n v="122103"/>
  </r>
  <r>
    <x v="10"/>
    <x v="32"/>
    <s v="E09000033"/>
    <n v="92067"/>
    <n v="11843"/>
    <n v="103911"/>
    <x v="510"/>
    <n v="487625"/>
    <n v="145171"/>
    <n v="632797"/>
    <x v="512"/>
    <n v="579693"/>
    <n v="157015"/>
    <n v="632797"/>
    <n v="756031"/>
  </r>
  <r>
    <x v="10"/>
    <x v="33"/>
    <s v="E13000001"/>
    <n v="356971"/>
    <n v="95802"/>
    <n v="452772"/>
    <x v="511"/>
    <n v="2234907"/>
    <n v="654052"/>
    <n v="2888960"/>
    <x v="513"/>
    <n v="2591877"/>
    <n v="749853"/>
    <n v="2888960"/>
    <n v="3420838"/>
  </r>
  <r>
    <x v="10"/>
    <x v="34"/>
    <s v="E13000002"/>
    <n v="201169"/>
    <n v="103919"/>
    <n v="305089"/>
    <x v="512"/>
    <n v="1098597"/>
    <n v="507586"/>
    <n v="1606184"/>
    <x v="514"/>
    <n v="1299766"/>
    <n v="611505"/>
    <n v="1606184"/>
    <n v="1947958"/>
  </r>
  <r>
    <x v="10"/>
    <x v="35"/>
    <s v="E12000001"/>
    <n v="145336"/>
    <n v="82400"/>
    <n v="227736"/>
    <x v="513"/>
    <n v="562121"/>
    <n v="279317"/>
    <n v="841438"/>
    <x v="515"/>
    <n v="707456"/>
    <n v="361717"/>
    <n v="841438"/>
    <n v="1101371"/>
  </r>
  <r>
    <x v="10"/>
    <x v="36"/>
    <s v="E12000002"/>
    <n v="386569"/>
    <n v="228320"/>
    <n v="614888"/>
    <x v="514"/>
    <n v="1931101"/>
    <n v="856548"/>
    <n v="2787650"/>
    <x v="516"/>
    <n v="2317670"/>
    <n v="1084868"/>
    <n v="2787650"/>
    <n v="3498203"/>
  </r>
  <r>
    <x v="10"/>
    <x v="37"/>
    <s v="E12000003"/>
    <n v="274083"/>
    <n v="173943"/>
    <n v="448026"/>
    <x v="515"/>
    <n v="1321628"/>
    <n v="631404"/>
    <n v="1953032"/>
    <x v="517"/>
    <n v="1595711"/>
    <n v="805347"/>
    <n v="1953032"/>
    <n v="2492263"/>
  </r>
  <r>
    <x v="10"/>
    <x v="38"/>
    <s v="E12000004"/>
    <n v="197358"/>
    <n v="139754"/>
    <n v="337112"/>
    <x v="516"/>
    <n v="1215505"/>
    <n v="536915"/>
    <n v="1752420"/>
    <x v="518"/>
    <n v="1412863"/>
    <n v="676670"/>
    <n v="1752420"/>
    <n v="2168159"/>
  </r>
  <r>
    <x v="10"/>
    <x v="39"/>
    <s v="E12000005"/>
    <n v="263165"/>
    <n v="165883"/>
    <n v="429048"/>
    <x v="517"/>
    <n v="1466548"/>
    <n v="697744"/>
    <n v="2164292"/>
    <x v="519"/>
    <n v="1729713"/>
    <n v="863627"/>
    <n v="2164292"/>
    <n v="2676805"/>
  </r>
  <r>
    <x v="10"/>
    <x v="40"/>
    <s v="E12000006"/>
    <n v="246108"/>
    <n v="187338"/>
    <n v="433447"/>
    <x v="518"/>
    <n v="1584360"/>
    <n v="767599"/>
    <n v="2351958"/>
    <x v="520"/>
    <n v="1830469"/>
    <n v="954937"/>
    <n v="2351958"/>
    <n v="2870681"/>
  </r>
  <r>
    <x v="10"/>
    <x v="41"/>
    <s v="E12000007"/>
    <n v="558140"/>
    <n v="199721"/>
    <n v="757861"/>
    <x v="519"/>
    <n v="3333503"/>
    <n v="1161638"/>
    <n v="4495144"/>
    <x v="521"/>
    <n v="3891643"/>
    <n v="1361359"/>
    <n v="4495144"/>
    <n v="5368796"/>
  </r>
  <r>
    <x v="10"/>
    <x v="42"/>
    <s v="E12000008"/>
    <n v="377927"/>
    <n v="228935"/>
    <n v="606863"/>
    <x v="520"/>
    <n v="2443948"/>
    <n v="1164987"/>
    <n v="3608934"/>
    <x v="522"/>
    <n v="2821875"/>
    <n v="1393922"/>
    <n v="3608934"/>
    <n v="4341942"/>
  </r>
  <r>
    <x v="10"/>
    <x v="43"/>
    <s v="E12000009"/>
    <n v="237311"/>
    <n v="167197"/>
    <n v="404508"/>
    <x v="521"/>
    <n v="1364182"/>
    <n v="728887"/>
    <n v="2093069"/>
    <x v="523"/>
    <n v="1601493"/>
    <n v="896084"/>
    <n v="2093069"/>
    <n v="2635769"/>
  </r>
  <r>
    <x v="10"/>
    <x v="44"/>
    <s v="W92000004"/>
    <n v="185966"/>
    <n v="114504"/>
    <n v="300470"/>
    <x v="522"/>
    <n v="640843"/>
    <n v="327305"/>
    <n v="968148"/>
    <x v="524"/>
    <n v="826809"/>
    <n v="441809"/>
    <n v="968148"/>
    <n v="1331781"/>
  </r>
  <r>
    <x v="10"/>
    <x v="45"/>
    <s v="S92000003"/>
    <n v="356633"/>
    <n v="224475"/>
    <n v="581108"/>
    <x v="523"/>
    <n v="1296720"/>
    <n v="625120"/>
    <n v="1921841"/>
    <x v="525"/>
    <n v="1653354"/>
    <n v="849595"/>
    <n v="1921841"/>
    <n v="2601800"/>
  </r>
  <r>
    <x v="10"/>
    <x v="46"/>
    <s v="E92000001"/>
    <n v="2685997"/>
    <n v="1573492"/>
    <n v="4259489"/>
    <x v="524"/>
    <n v="15222896"/>
    <n v="6825040"/>
    <n v="22047937"/>
    <x v="526"/>
    <n v="17908893"/>
    <n v="8398532"/>
    <n v="22047937"/>
    <n v="27153990"/>
  </r>
  <r>
    <x v="10"/>
    <x v="47"/>
    <s v="K03000001"/>
    <n v="3228596"/>
    <n v="1912470"/>
    <n v="5141066"/>
    <x v="525"/>
    <n v="17160460"/>
    <n v="7777465"/>
    <n v="24937926"/>
    <x v="527"/>
    <n v="20389056"/>
    <n v="9689936"/>
    <n v="24937926"/>
    <n v="310875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96"/>
    <n v="132"/>
  </r>
  <r>
    <x v="1"/>
    <n v="309"/>
    <n v="219"/>
  </r>
  <r>
    <x v="2"/>
    <n v="299"/>
    <n v="229"/>
  </r>
  <r>
    <x v="3"/>
    <n v="399"/>
    <n v="1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A8C0C-1151-46D4-B003-88ABAADE51E1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88:C93" firstHeaderRow="0" firstDataRow="1" firstDataCol="1"/>
  <pivotFields count="3">
    <pivotField axis="axisRow" showAll="0">
      <items count="5">
        <item x="1"/>
        <item x="0"/>
        <item x="3"/>
        <item x="2"/>
        <item t="default"/>
      </items>
    </pivotField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K count" fld="1" baseField="0" baseItem="0"/>
    <dataField name="Sum of Mismatch C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106F2-50ED-403A-96A4-5470EBFE59D1}" name="PivotTable2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74:B76" firstHeaderRow="1" firstDataRow="1" firstDataCol="1"/>
  <pivotFields count="15">
    <pivotField compact="0" outline="0" showAll="0"/>
    <pivotField compact="0" outline="0" multipleItemSelectionAllowed="1" showAll="0">
      <items count="49">
        <item h="1" x="1"/>
        <item h="1" x="2"/>
        <item h="1" x="3"/>
        <item h="1" x="4"/>
        <item h="1" x="5"/>
        <item h="1" x="6"/>
        <item h="1" x="0"/>
        <item h="1" x="7"/>
        <item h="1" x="8"/>
        <item h="1" x="40"/>
        <item h="1" x="38"/>
        <item h="1" x="9"/>
        <item h="1" x="46"/>
        <item x="47"/>
        <item h="1" x="10"/>
        <item h="1" x="11"/>
        <item h="1" x="12"/>
        <item h="1" x="13"/>
        <item h="1" x="14"/>
        <item h="1" x="15"/>
        <item h="1" x="16"/>
        <item h="1" x="17"/>
        <item h="1" x="33"/>
        <item h="1" x="18"/>
        <item h="1" x="19"/>
        <item h="1" x="20"/>
        <item h="1" x="21"/>
        <item h="1" x="22"/>
        <item h="1" x="41"/>
        <item h="1" x="23"/>
        <item h="1" x="24"/>
        <item h="1" x="35"/>
        <item h="1" x="36"/>
        <item h="1" x="34"/>
        <item h="1" x="25"/>
        <item h="1" x="26"/>
        <item h="1" x="45"/>
        <item h="1" x="42"/>
        <item h="1" x="43"/>
        <item h="1" x="27"/>
        <item h="1" x="28"/>
        <item h="1" x="29"/>
        <item h="1" x="44"/>
        <item h="1" x="30"/>
        <item h="1" x="31"/>
        <item h="1" x="39"/>
        <item h="1" x="32"/>
        <item h="1" x="37"/>
        <item t="default"/>
      </items>
    </pivotField>
    <pivotField compact="0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>
      <items count="527">
        <item x="501"/>
        <item x="454"/>
        <item x="432"/>
        <item x="359"/>
        <item x="266"/>
        <item x="218"/>
        <item x="406"/>
        <item x="1"/>
        <item x="170"/>
        <item x="314"/>
        <item x="409"/>
        <item x="457"/>
        <item x="504"/>
        <item x="385"/>
        <item x="263"/>
        <item x="311"/>
        <item x="480"/>
        <item x="167"/>
        <item x="362"/>
        <item x="492"/>
        <item x="71"/>
        <item x="23"/>
        <item x="119"/>
        <item x="337"/>
        <item x="445"/>
        <item x="26"/>
        <item x="241"/>
        <item x="254"/>
        <item x="302"/>
        <item x="339"/>
        <item x="97"/>
        <item x="291"/>
        <item x="451"/>
        <item x="215"/>
        <item x="444"/>
        <item x="482"/>
        <item x="145"/>
        <item x="498"/>
        <item x="289"/>
        <item x="350"/>
        <item x="387"/>
        <item x="434"/>
        <item x="206"/>
        <item x="193"/>
        <item x="243"/>
        <item x="491"/>
        <item x="122"/>
        <item x="158"/>
        <item x="205"/>
        <item x="356"/>
        <item x="74"/>
        <item x="403"/>
        <item x="397"/>
        <item x="195"/>
        <item x="14"/>
        <item x="99"/>
        <item x="308"/>
        <item x="147"/>
        <item x="260"/>
        <item x="253"/>
        <item x="49"/>
        <item x="157"/>
        <item x="349"/>
        <item x="51"/>
        <item x="3"/>
        <item x="110"/>
        <item x="301"/>
        <item x="316"/>
        <item x="62"/>
        <item x="212"/>
        <item x="268"/>
        <item x="364"/>
        <item x="459"/>
        <item x="341"/>
        <item x="305"/>
        <item x="220"/>
        <item x="30"/>
        <item x="240"/>
        <item x="172"/>
        <item x="164"/>
        <item x="506"/>
        <item x="109"/>
        <item x="366"/>
        <item x="293"/>
        <item x="116"/>
        <item x="68"/>
        <item x="411"/>
        <item x="493"/>
        <item x="203"/>
        <item x="245"/>
        <item x="436"/>
        <item x="484"/>
        <item x="446"/>
        <item x="20"/>
        <item x="28"/>
        <item x="13"/>
        <item x="197"/>
        <item x="124"/>
        <item x="389"/>
        <item x="500"/>
        <item x="318"/>
        <item x="358"/>
        <item x="78"/>
        <item x="453"/>
        <item x="166"/>
        <item x="288"/>
        <item x="413"/>
        <item x="76"/>
        <item x="126"/>
        <item x="361"/>
        <item x="61"/>
        <item x="405"/>
        <item x="214"/>
        <item x="503"/>
        <item x="262"/>
        <item x="255"/>
        <item x="400"/>
        <item x="398"/>
        <item x="174"/>
        <item x="439"/>
        <item x="351"/>
        <item x="15"/>
        <item x="303"/>
        <item x="461"/>
        <item x="479"/>
        <item x="448"/>
        <item x="456"/>
        <item x="270"/>
        <item x="257"/>
        <item x="111"/>
        <item x="207"/>
        <item x="63"/>
        <item x="508"/>
        <item x="353"/>
        <item x="222"/>
        <item x="310"/>
        <item x="431"/>
        <item x="217"/>
        <item x="209"/>
        <item x="118"/>
        <item x="155"/>
        <item x="495"/>
        <item x="159"/>
        <item x="392"/>
        <item x="313"/>
        <item x="487"/>
        <item x="265"/>
        <item x="17"/>
        <item x="336"/>
        <item x="408"/>
        <item x="113"/>
        <item x="384"/>
        <item x="11"/>
        <item x="22"/>
        <item x="8"/>
        <item x="489"/>
        <item x="296"/>
        <item x="248"/>
        <item x="161"/>
        <item x="4"/>
        <item x="442"/>
        <item x="25"/>
        <item x="344"/>
        <item x="0"/>
        <item x="121"/>
        <item x="211"/>
        <item x="259"/>
        <item x="355"/>
        <item x="401"/>
        <item x="73"/>
        <item x="149"/>
        <item x="169"/>
        <item x="107"/>
        <item x="347"/>
        <item x="59"/>
        <item x="70"/>
        <item x="395"/>
        <item x="251"/>
        <item x="449"/>
        <item x="200"/>
        <item x="497"/>
        <item x="48"/>
        <item x="307"/>
        <item x="152"/>
        <item x="154"/>
        <item x="299"/>
        <item x="402"/>
        <item x="115"/>
        <item x="163"/>
        <item x="481"/>
        <item x="56"/>
        <item x="440"/>
        <item x="488"/>
        <item x="433"/>
        <item x="496"/>
        <item x="244"/>
        <item x="346"/>
        <item x="348"/>
        <item x="96"/>
        <item x="202"/>
        <item x="450"/>
        <item x="250"/>
        <item x="160"/>
        <item x="292"/>
        <item x="393"/>
        <item x="5"/>
        <item x="396"/>
        <item x="10"/>
        <item x="101"/>
        <item x="16"/>
        <item x="345"/>
        <item x="148"/>
        <item x="300"/>
        <item x="52"/>
        <item x="100"/>
        <item x="196"/>
        <item x="144"/>
        <item x="112"/>
        <item x="386"/>
        <item x="443"/>
        <item x="483"/>
        <item x="64"/>
        <item x="19"/>
        <item x="252"/>
        <item x="104"/>
        <item x="199"/>
        <item x="53"/>
        <item x="394"/>
        <item x="441"/>
        <item x="58"/>
        <item x="298"/>
        <item x="340"/>
        <item x="490"/>
        <item x="338"/>
        <item x="204"/>
        <item x="249"/>
        <item x="312"/>
        <item x="264"/>
        <item x="216"/>
        <item x="168"/>
        <item x="297"/>
        <item x="106"/>
        <item x="407"/>
        <item x="352"/>
        <item x="290"/>
        <item x="455"/>
        <item x="67"/>
        <item x="105"/>
        <item x="208"/>
        <item x="502"/>
        <item x="201"/>
        <item x="153"/>
        <item x="120"/>
        <item x="9"/>
        <item x="343"/>
        <item x="256"/>
        <item x="295"/>
        <item x="304"/>
        <item x="360"/>
        <item x="247"/>
        <item x="194"/>
        <item x="242"/>
        <item x="223"/>
        <item x="494"/>
        <item x="24"/>
        <item x="447"/>
        <item x="435"/>
        <item x="192"/>
        <item x="146"/>
        <item x="57"/>
        <item x="388"/>
        <item x="354"/>
        <item x="271"/>
        <item x="72"/>
        <item x="98"/>
        <item x="65"/>
        <item x="399"/>
        <item x="127"/>
        <item x="367"/>
        <item x="414"/>
        <item x="31"/>
        <item x="175"/>
        <item x="319"/>
        <item x="391"/>
        <item x="151"/>
        <item x="462"/>
        <item x="509"/>
        <item x="79"/>
        <item x="438"/>
        <item x="50"/>
        <item x="2"/>
        <item x="486"/>
        <item x="156"/>
        <item x="108"/>
        <item x="306"/>
        <item x="103"/>
        <item x="7"/>
        <item x="12"/>
        <item x="55"/>
        <item x="75"/>
        <item x="60"/>
        <item x="258"/>
        <item x="162"/>
        <item x="114"/>
        <item x="27"/>
        <item x="165"/>
        <item x="213"/>
        <item x="117"/>
        <item x="18"/>
        <item x="210"/>
        <item x="66"/>
        <item x="261"/>
        <item x="21"/>
        <item x="357"/>
        <item x="404"/>
        <item x="309"/>
        <item x="69"/>
        <item x="452"/>
        <item x="499"/>
        <item x="6"/>
        <item x="29"/>
        <item x="505"/>
        <item x="221"/>
        <item x="219"/>
        <item x="267"/>
        <item x="123"/>
        <item x="363"/>
        <item x="458"/>
        <item x="315"/>
        <item x="77"/>
        <item x="171"/>
        <item x="173"/>
        <item x="269"/>
        <item x="150"/>
        <item x="198"/>
        <item x="410"/>
        <item x="125"/>
        <item x="317"/>
        <item x="365"/>
        <item x="246"/>
        <item x="54"/>
        <item x="294"/>
        <item x="102"/>
        <item x="412"/>
        <item x="437"/>
        <item x="342"/>
        <item x="485"/>
        <item x="390"/>
        <item x="460"/>
        <item x="507"/>
        <item x="128"/>
        <item x="176"/>
        <item x="32"/>
        <item x="368"/>
        <item x="272"/>
        <item x="224"/>
        <item x="320"/>
        <item x="80"/>
        <item x="463"/>
        <item x="415"/>
        <item x="510"/>
        <item x="418"/>
        <item x="466"/>
        <item x="513"/>
        <item x="371"/>
        <item x="323"/>
        <item x="275"/>
        <item x="227"/>
        <item x="179"/>
        <item x="131"/>
        <item x="35"/>
        <item x="83"/>
        <item x="427"/>
        <item x="332"/>
        <item x="380"/>
        <item x="475"/>
        <item x="522"/>
        <item x="370"/>
        <item x="465"/>
        <item x="512"/>
        <item x="322"/>
        <item x="274"/>
        <item x="417"/>
        <item x="226"/>
        <item x="178"/>
        <item x="34"/>
        <item x="421"/>
        <item x="326"/>
        <item x="374"/>
        <item x="469"/>
        <item x="516"/>
        <item x="130"/>
        <item x="82"/>
        <item x="278"/>
        <item x="284"/>
        <item x="230"/>
        <item x="236"/>
        <item x="44"/>
        <item x="188"/>
        <item x="140"/>
        <item x="92"/>
        <item x="182"/>
        <item x="331"/>
        <item x="379"/>
        <item x="426"/>
        <item x="328"/>
        <item x="521"/>
        <item x="474"/>
        <item x="38"/>
        <item x="423"/>
        <item x="134"/>
        <item x="376"/>
        <item x="517"/>
        <item x="470"/>
        <item x="518"/>
        <item x="375"/>
        <item x="273"/>
        <item x="369"/>
        <item x="327"/>
        <item x="422"/>
        <item x="471"/>
        <item x="33"/>
        <item x="225"/>
        <item x="177"/>
        <item x="420"/>
        <item x="321"/>
        <item x="86"/>
        <item x="468"/>
        <item x="416"/>
        <item x="129"/>
        <item x="464"/>
        <item x="373"/>
        <item x="515"/>
        <item x="280"/>
        <item x="325"/>
        <item x="511"/>
        <item x="81"/>
        <item x="283"/>
        <item x="232"/>
        <item x="277"/>
        <item x="279"/>
        <item x="184"/>
        <item x="235"/>
        <item x="187"/>
        <item x="40"/>
        <item x="136"/>
        <item x="229"/>
        <item x="183"/>
        <item x="231"/>
        <item x="181"/>
        <item x="88"/>
        <item x="39"/>
        <item x="135"/>
        <item x="139"/>
        <item x="43"/>
        <item x="133"/>
        <item x="37"/>
        <item x="87"/>
        <item x="91"/>
        <item x="333"/>
        <item x="381"/>
        <item x="476"/>
        <item x="523"/>
        <item x="85"/>
        <item x="428"/>
        <item x="378"/>
        <item x="425"/>
        <item x="330"/>
        <item x="473"/>
        <item x="324"/>
        <item x="372"/>
        <item x="467"/>
        <item x="520"/>
        <item x="419"/>
        <item x="514"/>
        <item x="276"/>
        <item x="282"/>
        <item x="285"/>
        <item x="228"/>
        <item x="186"/>
        <item x="234"/>
        <item x="189"/>
        <item x="237"/>
        <item x="180"/>
        <item x="141"/>
        <item x="132"/>
        <item x="93"/>
        <item x="45"/>
        <item x="42"/>
        <item x="36"/>
        <item x="138"/>
        <item x="377"/>
        <item x="84"/>
        <item x="281"/>
        <item x="329"/>
        <item x="90"/>
        <item x="472"/>
        <item x="233"/>
        <item x="424"/>
        <item x="519"/>
        <item x="41"/>
        <item x="185"/>
        <item x="137"/>
        <item x="89"/>
        <item x="334"/>
        <item x="382"/>
        <item x="429"/>
        <item x="477"/>
        <item x="524"/>
        <item x="286"/>
        <item x="238"/>
        <item x="190"/>
        <item x="46"/>
        <item x="142"/>
        <item sd="0" x="335"/>
        <item sd="0" x="383"/>
        <item sd="0" x="430"/>
        <item sd="0" x="478"/>
        <item sd="0" x="525"/>
        <item x="94"/>
        <item x="287"/>
        <item sd="0" x="239"/>
        <item sd="0" x="191"/>
        <item sd="0" x="47"/>
        <item sd="0" x="143"/>
        <item x="95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>
      <items count="529">
        <item x="1"/>
        <item x="49"/>
        <item x="97"/>
        <item x="145"/>
        <item x="193"/>
        <item x="241"/>
        <item x="78"/>
        <item x="289"/>
        <item x="30"/>
        <item x="70"/>
        <item x="337"/>
        <item x="22"/>
        <item x="118"/>
        <item x="126"/>
        <item x="61"/>
        <item x="433"/>
        <item x="385"/>
        <item x="174"/>
        <item x="13"/>
        <item x="73"/>
        <item x="166"/>
        <item x="109"/>
        <item x="481"/>
        <item x="58"/>
        <item x="10"/>
        <item x="106"/>
        <item x="214"/>
        <item x="25"/>
        <item x="121"/>
        <item x="262"/>
        <item x="72"/>
        <item x="28"/>
        <item x="24"/>
        <item x="157"/>
        <item x="154"/>
        <item x="76"/>
        <item x="454"/>
        <item x="502"/>
        <item x="222"/>
        <item x="169"/>
        <item x="310"/>
        <item x="358"/>
        <item x="406"/>
        <item x="3"/>
        <item x="205"/>
        <item x="99"/>
        <item x="110"/>
        <item x="202"/>
        <item x="51"/>
        <item x="124"/>
        <item x="120"/>
        <item x="62"/>
        <item x="250"/>
        <item x="217"/>
        <item x="318"/>
        <item x="14"/>
        <item x="147"/>
        <item x="220"/>
        <item x="270"/>
        <item x="111"/>
        <item x="349"/>
        <item x="172"/>
        <item x="63"/>
        <item x="158"/>
        <item x="23"/>
        <item x="460"/>
        <item x="366"/>
        <item x="195"/>
        <item x="268"/>
        <item x="445"/>
        <item x="462"/>
        <item x="493"/>
        <item x="510"/>
        <item x="15"/>
        <item x="301"/>
        <item x="253"/>
        <item x="508"/>
        <item x="116"/>
        <item x="412"/>
        <item x="414"/>
        <item x="71"/>
        <item x="243"/>
        <item x="265"/>
        <item x="159"/>
        <item x="316"/>
        <item x="164"/>
        <item x="364"/>
        <item x="260"/>
        <item x="298"/>
        <item x="206"/>
        <item x="207"/>
        <item x="346"/>
        <item x="397"/>
        <item x="212"/>
        <item x="26"/>
        <item x="119"/>
        <item x="361"/>
        <item x="74"/>
        <item x="313"/>
        <item x="446"/>
        <item x="20"/>
        <item x="494"/>
        <item x="291"/>
        <item x="302"/>
        <item x="68"/>
        <item x="255"/>
        <item x="457"/>
        <item x="350"/>
        <item x="254"/>
        <item x="339"/>
        <item x="122"/>
        <item x="505"/>
        <item x="409"/>
        <item x="442"/>
        <item x="303"/>
        <item x="490"/>
        <item x="435"/>
        <item x="170"/>
        <item x="394"/>
        <item x="398"/>
        <item x="167"/>
        <item x="387"/>
        <item x="168"/>
        <item x="483"/>
        <item x="216"/>
        <item x="351"/>
        <item x="500"/>
        <item x="218"/>
        <item x="59"/>
        <item x="399"/>
        <item x="266"/>
        <item x="215"/>
        <item x="263"/>
        <item x="356"/>
        <item x="11"/>
        <item x="311"/>
        <item x="57"/>
        <item x="452"/>
        <item x="308"/>
        <item x="458"/>
        <item x="9"/>
        <item x="495"/>
        <item x="105"/>
        <item x="362"/>
        <item x="359"/>
        <item x="503"/>
        <item x="410"/>
        <item x="447"/>
        <item x="506"/>
        <item x="264"/>
        <item x="314"/>
        <item x="107"/>
        <item x="201"/>
        <item x="455"/>
        <item x="404"/>
        <item x="407"/>
        <item x="155"/>
        <item x="153"/>
        <item x="4"/>
        <item x="52"/>
        <item x="101"/>
        <item x="79"/>
        <item x="249"/>
        <item x="312"/>
        <item x="100"/>
        <item x="203"/>
        <item x="31"/>
        <item x="360"/>
        <item x="127"/>
        <item x="345"/>
        <item x="53"/>
        <item x="149"/>
        <item x="297"/>
        <item x="175"/>
        <item x="441"/>
        <item x="5"/>
        <item x="408"/>
        <item x="489"/>
        <item x="251"/>
        <item x="393"/>
        <item x="223"/>
        <item x="148"/>
        <item x="103"/>
        <item x="197"/>
        <item x="50"/>
        <item x="69"/>
        <item x="271"/>
        <item x="196"/>
        <item x="504"/>
        <item x="151"/>
        <item x="456"/>
        <item x="2"/>
        <item x="245"/>
        <item x="199"/>
        <item x="8"/>
        <item x="56"/>
        <item x="19"/>
        <item x="12"/>
        <item x="55"/>
        <item x="299"/>
        <item x="98"/>
        <item x="67"/>
        <item x="247"/>
        <item x="319"/>
        <item x="485"/>
        <item x="244"/>
        <item x="293"/>
        <item x="367"/>
        <item x="437"/>
        <item x="341"/>
        <item x="21"/>
        <item x="463"/>
        <item x="146"/>
        <item x="295"/>
        <item x="511"/>
        <item x="292"/>
        <item x="7"/>
        <item x="343"/>
        <item x="389"/>
        <item x="415"/>
        <item x="117"/>
        <item x="60"/>
        <item x="108"/>
        <item x="115"/>
        <item x="439"/>
        <item x="487"/>
        <item x="104"/>
        <item x="194"/>
        <item x="340"/>
        <item x="165"/>
        <item x="391"/>
        <item x="436"/>
        <item x="65"/>
        <item x="484"/>
        <item x="152"/>
        <item x="388"/>
        <item x="242"/>
        <item x="156"/>
        <item x="395"/>
        <item x="200"/>
        <item x="163"/>
        <item x="347"/>
        <item x="211"/>
        <item x="259"/>
        <item x="17"/>
        <item x="204"/>
        <item x="252"/>
        <item x="357"/>
        <item x="213"/>
        <item x="338"/>
        <item x="290"/>
        <item x="443"/>
        <item x="113"/>
        <item x="355"/>
        <item x="307"/>
        <item x="440"/>
        <item x="296"/>
        <item x="482"/>
        <item x="434"/>
        <item x="248"/>
        <item x="386"/>
        <item x="261"/>
        <item x="501"/>
        <item x="491"/>
        <item x="405"/>
        <item x="344"/>
        <item x="300"/>
        <item x="492"/>
        <item x="396"/>
        <item x="444"/>
        <item x="348"/>
        <item x="403"/>
        <item x="488"/>
        <item x="392"/>
        <item x="453"/>
        <item x="451"/>
        <item x="161"/>
        <item x="499"/>
        <item x="257"/>
        <item x="309"/>
        <item x="209"/>
        <item x="449"/>
        <item x="27"/>
        <item x="497"/>
        <item x="401"/>
        <item x="305"/>
        <item x="123"/>
        <item x="18"/>
        <item x="75"/>
        <item x="66"/>
        <item x="353"/>
        <item x="114"/>
        <item x="171"/>
        <item x="304"/>
        <item x="162"/>
        <item x="448"/>
        <item x="219"/>
        <item x="64"/>
        <item x="352"/>
        <item x="112"/>
        <item x="16"/>
        <item x="496"/>
        <item x="400"/>
        <item x="29"/>
        <item x="77"/>
        <item x="160"/>
        <item x="210"/>
        <item x="267"/>
        <item x="208"/>
        <item x="256"/>
        <item x="258"/>
        <item x="315"/>
        <item x="125"/>
        <item x="363"/>
        <item x="411"/>
        <item x="173"/>
        <item x="306"/>
        <item x="459"/>
        <item x="402"/>
        <item x="354"/>
        <item x="507"/>
        <item x="221"/>
        <item x="450"/>
        <item x="269"/>
        <item x="498"/>
        <item x="317"/>
        <item x="365"/>
        <item x="54"/>
        <item x="413"/>
        <item x="461"/>
        <item x="6"/>
        <item x="509"/>
        <item x="102"/>
        <item x="150"/>
        <item x="198"/>
        <item x="246"/>
        <item x="294"/>
        <item x="0"/>
        <item x="342"/>
        <item x="390"/>
        <item x="438"/>
        <item x="486"/>
        <item x="48"/>
        <item x="192"/>
        <item x="96"/>
        <item x="144"/>
        <item x="240"/>
        <item x="288"/>
        <item x="336"/>
        <item x="384"/>
        <item x="432"/>
        <item x="480"/>
        <item x="80"/>
        <item x="32"/>
        <item x="128"/>
        <item x="176"/>
        <item x="224"/>
        <item x="272"/>
        <item x="416"/>
        <item x="320"/>
        <item x="368"/>
        <item x="464"/>
        <item x="512"/>
        <item x="83"/>
        <item x="131"/>
        <item x="179"/>
        <item x="35"/>
        <item x="227"/>
        <item x="275"/>
        <item x="371"/>
        <item x="467"/>
        <item x="92"/>
        <item x="140"/>
        <item x="323"/>
        <item x="419"/>
        <item x="515"/>
        <item x="44"/>
        <item x="188"/>
        <item x="236"/>
        <item x="284"/>
        <item x="332"/>
        <item x="428"/>
        <item x="524"/>
        <item x="380"/>
        <item x="476"/>
        <item x="82"/>
        <item x="34"/>
        <item x="130"/>
        <item x="178"/>
        <item x="226"/>
        <item x="274"/>
        <item x="86"/>
        <item x="134"/>
        <item x="38"/>
        <item x="182"/>
        <item x="322"/>
        <item x="230"/>
        <item x="370"/>
        <item x="466"/>
        <item x="514"/>
        <item x="278"/>
        <item x="418"/>
        <item x="85"/>
        <item x="133"/>
        <item x="93"/>
        <item x="181"/>
        <item x="189"/>
        <item x="326"/>
        <item x="37"/>
        <item x="229"/>
        <item x="141"/>
        <item x="237"/>
        <item x="374"/>
        <item x="45"/>
        <item x="470"/>
        <item x="422"/>
        <item x="518"/>
        <item x="87"/>
        <item x="139"/>
        <item x="91"/>
        <item x="135"/>
        <item x="277"/>
        <item x="187"/>
        <item x="39"/>
        <item x="235"/>
        <item x="285"/>
        <item x="183"/>
        <item x="231"/>
        <item x="43"/>
        <item x="325"/>
        <item x="373"/>
        <item x="88"/>
        <item x="333"/>
        <item x="279"/>
        <item x="429"/>
        <item x="381"/>
        <item x="283"/>
        <item x="136"/>
        <item x="191"/>
        <item x="525"/>
        <item x="421"/>
        <item x="477"/>
        <item x="40"/>
        <item x="184"/>
        <item x="517"/>
        <item x="469"/>
        <item x="232"/>
        <item x="327"/>
        <item x="331"/>
        <item x="379"/>
        <item x="33"/>
        <item x="375"/>
        <item x="427"/>
        <item x="81"/>
        <item x="475"/>
        <item x="280"/>
        <item x="471"/>
        <item x="423"/>
        <item x="523"/>
        <item x="519"/>
        <item x="129"/>
        <item x="328"/>
        <item x="84"/>
        <item x="376"/>
        <item x="132"/>
        <item x="177"/>
        <item x="36"/>
        <item x="180"/>
        <item x="424"/>
        <item x="520"/>
        <item x="472"/>
        <item x="228"/>
        <item x="225"/>
        <item x="276"/>
        <item x="273"/>
        <item x="324"/>
        <item x="372"/>
        <item x="321"/>
        <item x="420"/>
        <item x="369"/>
        <item x="468"/>
        <item x="417"/>
        <item x="516"/>
        <item x="465"/>
        <item x="513"/>
        <item x="42"/>
        <item x="90"/>
        <item x="138"/>
        <item x="186"/>
        <item x="234"/>
        <item x="282"/>
        <item x="41"/>
        <item x="89"/>
        <item x="330"/>
        <item x="426"/>
        <item x="137"/>
        <item x="378"/>
        <item x="474"/>
        <item x="522"/>
        <item x="185"/>
        <item x="233"/>
        <item x="281"/>
        <item x="329"/>
        <item x="377"/>
        <item x="425"/>
        <item x="473"/>
        <item x="521"/>
        <item x="94"/>
        <item x="142"/>
        <item x="46"/>
        <item x="190"/>
        <item x="238"/>
        <item x="286"/>
        <item x="95"/>
        <item x="143"/>
        <item x="47"/>
        <item x="334"/>
        <item x="382"/>
        <item x="239"/>
        <item x="430"/>
        <item x="478"/>
        <item x="526"/>
        <item x="287"/>
        <item x="335"/>
        <item x="383"/>
        <item x="431"/>
        <item x="479"/>
        <item x="527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compact="0" numFmtId="1" outline="0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Public_Tot_employment" fld="6" baseField="0" baseItem="0" numFmtId="1"/>
    <dataField name="Sum of Private_Tot_employment" fld="10" baseField="0" baseItem="0" numFmtId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0603A-B0BE-4E34-A920-65C55C8A02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48" firstHeaderRow="1" firstDataRow="1" firstDataCol="1"/>
  <pivotFields count="15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49">
        <item sd="0" x="1"/>
        <item sd="0" x="2"/>
        <item sd="0" x="3"/>
        <item sd="0" x="4"/>
        <item sd="0" x="5"/>
        <item sd="0" x="6"/>
        <item sd="0" x="0"/>
        <item sd="0" x="7"/>
        <item sd="0" x="8"/>
        <item sd="0" x="40"/>
        <item sd="0" x="38"/>
        <item sd="0" x="9"/>
        <item h="1" sd="0" x="46"/>
        <item h="1" sd="0" x="47"/>
        <item sd="0" x="10"/>
        <item sd="0" x="11"/>
        <item sd="0" x="12"/>
        <item sd="0" x="13"/>
        <item sd="0" x="14"/>
        <item sd="0" x="15"/>
        <item sd="0" x="16"/>
        <item sd="0" x="17"/>
        <item sd="0" x="33"/>
        <item sd="0" x="18"/>
        <item sd="0" x="19"/>
        <item sd="0" x="20"/>
        <item sd="0" x="21"/>
        <item sd="0" x="22"/>
        <item sd="0" x="41"/>
        <item sd="0" x="23"/>
        <item sd="0" x="24"/>
        <item sd="0" x="35"/>
        <item sd="0" x="36"/>
        <item sd="0" x="34"/>
        <item sd="0" x="25"/>
        <item sd="0" x="26"/>
        <item sd="0" x="45"/>
        <item sd="0" x="42"/>
        <item sd="0" x="43"/>
        <item sd="0" x="27"/>
        <item sd="0" x="28"/>
        <item sd="0" x="29"/>
        <item sd="0" x="44"/>
        <item sd="0" x="30"/>
        <item sd="0" x="31"/>
        <item sd="0" x="39"/>
        <item sd="0" x="32"/>
        <item sd="0"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Total_Employment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3889B-29FB-47B8-B873-D4B3502AC57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55:B67" firstHeaderRow="1" firstDataRow="1" firstDataCol="1" rowPageCount="1" colPageCount="1"/>
  <pivotFields count="15">
    <pivotField axis="axisRow" compact="0" outline="0" showAll="0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compact="0" outline="0" multipleItemSelectionAllowed="1" showAll="0">
      <items count="49">
        <item h="1" x="1"/>
        <item h="1" x="2"/>
        <item h="1" x="3"/>
        <item h="1" x="4"/>
        <item h="1" x="5"/>
        <item h="1" x="6"/>
        <item h="1" x="0"/>
        <item h="1" x="7"/>
        <item h="1" x="8"/>
        <item h="1" x="40"/>
        <item h="1" x="38"/>
        <item h="1" x="9"/>
        <item h="1" x="46"/>
        <item x="47"/>
        <item h="1" x="10"/>
        <item h="1" x="11"/>
        <item h="1" x="12"/>
        <item h="1" x="13"/>
        <item h="1" x="14"/>
        <item h="1" x="15"/>
        <item h="1" x="16"/>
        <item h="1" x="17"/>
        <item h="1" x="33"/>
        <item h="1" x="18"/>
        <item h="1" x="19"/>
        <item h="1" x="20"/>
        <item h="1" x="21"/>
        <item h="1" x="22"/>
        <item h="1" x="41"/>
        <item h="1" x="23"/>
        <item h="1" x="24"/>
        <item h="1" x="35"/>
        <item h="1" x="36"/>
        <item h="1" x="34"/>
        <item h="1" x="25"/>
        <item h="1" x="26"/>
        <item h="1" x="45"/>
        <item h="1" x="42"/>
        <item h="1" x="43"/>
        <item h="1" x="27"/>
        <item h="1" x="28"/>
        <item h="1" x="29"/>
        <item h="1" x="44"/>
        <item h="1" x="30"/>
        <item h="1" x="31"/>
        <item h="1" x="39"/>
        <item h="1" x="32"/>
        <item h="1" x="37"/>
        <item t="default"/>
      </items>
    </pivotField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" hier="-1"/>
  </pageFields>
  <dataFields count="1">
    <dataField name="Sum of Total_Employment" fld="14" baseField="0" baseItem="0" numFmtId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7729D7-48F9-485E-AE0B-24E2AADB60DB}" name="Table1" displayName="Table1" ref="A1:O531" totalsRowShown="0" headerRowDxfId="48" dataDxfId="47" headerRowCellStyle="20% - Accent5" dataCellStyle="20% - Accent5">
  <autoFilter ref="A1:O531" xr:uid="{3C7729D7-48F9-485E-AE0B-24E2AADB60DB}"/>
  <tableColumns count="15">
    <tableColumn id="1" xr3:uid="{7200746C-2F5C-4E81-892E-870DBAFDC606}" name="Content.Column1"/>
    <tableColumn id="2" xr3:uid="{5721EB13-CEE7-4FD5-AB7F-9110857F4141}" name="Content.Column2"/>
    <tableColumn id="19" xr3:uid="{5C62A3F0-4EF5-4BD2-9A9A-5A5D6330BE38}" name="Content.Column3"/>
    <tableColumn id="4" xr3:uid="{0BCDCCFE-4A1F-4890-BF78-AE5D5FAEA206}" name="Content.Column4" dataDxfId="46" dataCellStyle="60% - Accent2"/>
    <tableColumn id="5" xr3:uid="{D112247F-5FD7-47BA-9330-A416E6D7D0B2}" name="Content.Column5" dataDxfId="45" dataCellStyle="60% - Accent2"/>
    <tableColumn id="6" xr3:uid="{E247B20C-2FB2-4B5D-B175-BE17392CE43A}" name="Content.Column6" dataDxfId="44" dataCellStyle="60% - Accent2"/>
    <tableColumn id="7" xr3:uid="{4F6FEB81-CFD9-4EAA-914C-94F25CB279C3}" name="Content.Column7" dataDxfId="43" dataCellStyle="20% - Accent3"/>
    <tableColumn id="8" xr3:uid="{7426B450-98AE-4FDD-987E-B4248F068319}" name="Content.Column8" dataDxfId="42" dataCellStyle="20% - Accent3"/>
    <tableColumn id="9" xr3:uid="{941E301A-839B-4F0A-91D9-2DAC9FB0BCEC}" name="Content.Column9" dataDxfId="41" dataCellStyle="20% - Accent3"/>
    <tableColumn id="10" xr3:uid="{BB4BACEA-A6BB-4555-AA3E-5D19554A8C5B}" name="Content.Column10" dataDxfId="40" dataCellStyle="20% - Accent3"/>
    <tableColumn id="11" xr3:uid="{D9362C52-0C52-4704-BCB9-66AB5701371D}" name="Content.Column11" dataDxfId="39" dataCellStyle="20% - Accent5"/>
    <tableColumn id="12" xr3:uid="{33B879BF-03D2-4092-B32F-0A8234CB08A6}" name="Content.Column12" dataDxfId="38" dataCellStyle="20% - Accent5"/>
    <tableColumn id="13" xr3:uid="{A8DC5C71-1AFE-4600-AD34-D0B93C8C4953}" name="Content.Column13" dataDxfId="37" dataCellStyle="20% - Accent5"/>
    <tableColumn id="14" xr3:uid="{9DC9C670-A170-4722-ACF3-11F8CCC0C24D}" name="Content.Column14" dataDxfId="36" dataCellStyle="20% - Accent5"/>
    <tableColumn id="15" xr3:uid="{786D97DF-45E8-45F9-B3AB-E831590D9DFB}" name="Content.Column15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680887-DD88-4E36-927B-BD18813DCA92}" name="Table2" displayName="Table2" ref="Q3:AB531" totalsRowShown="0" dataDxfId="35" headerRowCellStyle="20% - Accent3" dataCellStyle="20% - Accent3">
  <autoFilter ref="Q3:AB531" xr:uid="{64680887-DD88-4E36-927B-BD18813DCA92}"/>
  <tableColumns count="12">
    <tableColumn id="1" xr3:uid="{0D3954C2-D3BB-43CC-812B-10141D4252F5}" name="Public_FT_employees" dataDxfId="34" dataCellStyle="20% - Accent2">
      <calculatedColumnFormula>TEXT(VALUE(Table1[[#This Row],[Content.Column7]])*1000,"#,##0")</calculatedColumnFormula>
    </tableColumn>
    <tableColumn id="2" xr3:uid="{A438CAD5-8E1D-41E1-9860-9286614736C6}" name="Public_PT_employees" dataDxfId="33" dataCellStyle="20% - Accent2">
      <calculatedColumnFormula>TEXT(VALUE(Table1[[#This Row],[Content.Column8]])*1000,"#,##0")</calculatedColumnFormula>
    </tableColumn>
    <tableColumn id="3" xr3:uid="{EEE0C12B-DED7-4644-BB53-4624DE862EA7}" name="Public_Tot_employees" dataDxfId="32" dataCellStyle="20% - Accent2">
      <calculatedColumnFormula>TEXT(VALUE(Table1[[#This Row],[Content.Column9]])*1000,"#,##0")</calculatedColumnFormula>
    </tableColumn>
    <tableColumn id="4" xr3:uid="{C19DFFFF-6B9D-498D-A4BC-4C8801D977C1}" name="Public_Tot_employment" dataDxfId="31" dataCellStyle="20% - Accent2">
      <calculatedColumnFormula>TEXT(VALUE(Table1[[#This Row],[Content.Column10]])*1000,"#,##0")</calculatedColumnFormula>
    </tableColumn>
    <tableColumn id="5" xr3:uid="{0FF35DAE-7994-43B8-BE4E-CEC088DD812D}" name="Private_FT_employees" dataDxfId="30" dataCellStyle="20% - Accent4">
      <calculatedColumnFormula>TEXT(VALUE(Table1[[#This Row],[Content.Column11]])*1000,"#,##0")</calculatedColumnFormula>
    </tableColumn>
    <tableColumn id="6" xr3:uid="{028477B8-13E6-4941-8C09-83E7A9FF1804}" name="Private_PT_employees" dataDxfId="29" dataCellStyle="20% - Accent4">
      <calculatedColumnFormula>TEXT(VALUE(Table1[[#This Row],[Content.Column12]])*1000,"#,##0")</calculatedColumnFormula>
    </tableColumn>
    <tableColumn id="7" xr3:uid="{495DAFA4-B797-4F1D-B17F-6C3A0910842B}" name="Private_Tot_employees" dataDxfId="28" dataCellStyle="20% - Accent4">
      <calculatedColumnFormula>TEXT(VALUE(Table1[[#This Row],[Content.Column13]])*1000,"#,##0")</calculatedColumnFormula>
    </tableColumn>
    <tableColumn id="8" xr3:uid="{10608311-8CB8-42CE-99C9-5E4B70B56533}" name="Private_Tot_employment" dataDxfId="27" dataCellStyle="20% - Accent4">
      <calculatedColumnFormula>TEXT(VALUE(Table1[[#This Row],[Content.Column14]])*1000,"#,##0")</calculatedColumnFormula>
    </tableColumn>
    <tableColumn id="9" xr3:uid="{179F7059-1015-4ECC-8228-07BF873C83ED}" name="Total_FT_Employees" dataDxfId="26" dataCellStyle="20% - Accent3">
      <calculatedColumnFormula>TEXT(VALUE(Table1[[#This Row],[Content.Column3]])*1000,"#,##0")</calculatedColumnFormula>
    </tableColumn>
    <tableColumn id="10" xr3:uid="{FFC1ADA6-DB9F-4CF4-AFED-C117C51C49CC}" name="Total_PT_Employees" dataDxfId="25" dataCellStyle="20% - Accent3">
      <calculatedColumnFormula>TEXT(VALUE(Table1[[#This Row],[Content.Column4]])*1000,"#,##0")</calculatedColumnFormula>
    </tableColumn>
    <tableColumn id="11" xr3:uid="{A46B6902-6C83-468A-9C40-F936F610CF66}" name="Total_Tot_employees" dataDxfId="24" dataCellStyle="20% - Accent3">
      <calculatedColumnFormula>TEXT(VALUE(Table1[[#This Row],[Content.Column5]])*1000,"#,##0")</calculatedColumnFormula>
    </tableColumn>
    <tableColumn id="12" xr3:uid="{34CAF3E9-CADE-4AEF-844C-CCF9663DF3DE}" name="Total_Employment" dataDxfId="23" dataCellStyle="20% - Accent3">
      <calculatedColumnFormula>TEXT(VALUE(Table1[[#This Row],[Content.Column6]])*1000,"#,##0")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2AFB3E-4D47-479E-9DDC-5E284E51DF3E}" name="Table4" displayName="Table4" ref="A3:O531" totalsRowShown="0" headerRowDxfId="22" headerRowCellStyle="20% - Accent3" dataCellStyle="20% - Accent3">
  <autoFilter ref="A3:O531" xr:uid="{542AFB3E-4D47-479E-9DDC-5E284E51DF3E}"/>
  <tableColumns count="15">
    <tableColumn id="1" xr3:uid="{02EC1815-FEF3-4EF2-9DC3-3B502953505D}" name="Year"/>
    <tableColumn id="2" xr3:uid="{DBDD5C3F-905A-49D4-944C-C16419043D4E}" name="Local Authority County"/>
    <tableColumn id="17" xr3:uid="{F10100F3-469A-4F13-BAF5-765A20101FFF}" name="Code"/>
    <tableColumn id="3" xr3:uid="{9CBFDE31-3CFD-4DDD-B619-DAF1DDF856E5}" name="Public_FT_employees" dataDxfId="21" dataCellStyle="20% - Accent2">
      <calculatedColumnFormula>ROUND(Table1[[#This Row],[Content.Column7]] * 1000, 0)</calculatedColumnFormula>
    </tableColumn>
    <tableColumn id="4" xr3:uid="{63455998-E259-46C0-B242-D5D3EF5B1753}" name="Public_PT_employees" dataDxfId="20" dataCellStyle="20% - Accent2">
      <calculatedColumnFormula>ROUND(Table1[[#This Row],[Content.Column8]] * 1000, 0)</calculatedColumnFormula>
    </tableColumn>
    <tableColumn id="5" xr3:uid="{96414EC2-71D4-4A89-AB71-B5E5EF1EDCE5}" name="Public_Tot_employees" dataDxfId="19" dataCellStyle="20% - Accent2">
      <calculatedColumnFormula>ROUND(Table1[[#This Row],[Content.Column9]] * 1000, 0)</calculatedColumnFormula>
    </tableColumn>
    <tableColumn id="6" xr3:uid="{FEAEA41E-5A8D-481B-81DD-085D11E89326}" name="Public_Tot_employment" dataDxfId="18" dataCellStyle="20% - Accent2">
      <calculatedColumnFormula>ROUND(Table1[[#This Row],[Content.Column10]] * 1000, 0)</calculatedColumnFormula>
    </tableColumn>
    <tableColumn id="7" xr3:uid="{68AF3062-14C3-4495-AF4A-7DDF99109899}" name="Private_FT_employees" dataDxfId="17" dataCellStyle="20% - Accent4">
      <calculatedColumnFormula>ROUND(Table1[[#This Row],[Content.Column11]] * 1000, 0)</calculatedColumnFormula>
    </tableColumn>
    <tableColumn id="8" xr3:uid="{4067831D-24CD-4F27-8F89-B2A83EFD7F44}" name="Private_PT_employees" dataDxfId="16" dataCellStyle="20% - Accent4">
      <calculatedColumnFormula>ROUND(Table1[[#This Row],[Content.Column12]] * 1000, 0)</calculatedColumnFormula>
    </tableColumn>
    <tableColumn id="9" xr3:uid="{3ED5CFE0-A825-4888-8E37-46C212A5257C}" name="Private_Tot_employees" dataDxfId="15" dataCellStyle="20% - Accent4">
      <calculatedColumnFormula>ROUND(Table1[[#This Row],[Content.Column13]] * 1000, 0)</calculatedColumnFormula>
    </tableColumn>
    <tableColumn id="10" xr3:uid="{F798E8B5-B399-4EEA-A075-0A89376DFCF9}" name="Private_Tot_employment" dataDxfId="14" dataCellStyle="20% - Accent4">
      <calculatedColumnFormula>ROUND(Table1[[#This Row],[Content.Column14]] * 1000, 0)</calculatedColumnFormula>
    </tableColumn>
    <tableColumn id="11" xr3:uid="{84887F7C-1BA0-425B-9C96-8D1484F3EC83}" name="Total_FT_Employees" dataDxfId="13" dataCellStyle="20% - Accent3">
      <calculatedColumnFormula>ROUND(Table1[[#This Row],[Content.Column3]] * 1000, 0)</calculatedColumnFormula>
    </tableColumn>
    <tableColumn id="12" xr3:uid="{F9AFC01E-8B5B-4143-9EA2-3F5789FD04B7}" name="Total_PT_Employees" dataDxfId="12" dataCellStyle="20% - Accent3">
      <calculatedColumnFormula>ROUND(Table1[[#This Row],[Content.Column4]] * 1000, 0)</calculatedColumnFormula>
    </tableColumn>
    <tableColumn id="13" xr3:uid="{93F266F8-CB3F-4F58-879C-7DD7FAEC68A2}" name="Total_Tot_employees" dataDxfId="2" dataCellStyle="20% - Accent3">
      <calculatedColumnFormula>ROUND(Table1[[#This Row],[Content.Column5]] * 1000, 0)</calculatedColumnFormula>
    </tableColumn>
    <tableColumn id="14" xr3:uid="{B6A744AC-ABE0-49C4-AF52-E25EC0497A0B}" name="Total_Employment" dataDxfId="11" dataCellStyle="20% - Accent3">
      <calculatedColumnFormula>ROUND(Table1[[#This Row],[Content.Column6]] * 1000, 0)</calculatedColumnFormula>
    </tableColumn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19C4B7-C0D4-47AF-B58D-09D481C9AA90}" name="Table3" displayName="Table3" ref="S11:U23" totalsRowShown="0" headerRowDxfId="10">
  <autoFilter ref="S11:U23" xr:uid="{A119C4B7-C0D4-47AF-B58D-09D481C9AA90}"/>
  <tableColumns count="3">
    <tableColumn id="1" xr3:uid="{387EE960-8AD9-4682-BF44-EF7B6C1CA861}" name="Column name" dataDxfId="9" dataCellStyle="20% - Accent3"/>
    <tableColumn id="2" xr3:uid="{B747AF76-A687-4AAC-B8B3-56E19F88B281}" name="Sector" dataDxfId="8">
      <calculatedColumnFormula>IF(LEFT(S12,6)="Public","Public",IF(LEFT(S12,7)="Private","Private","Total"))</calculatedColumnFormula>
    </tableColumn>
    <tableColumn id="3" xr3:uid="{4E8A5DA2-9E65-44CB-973E-2F8CDE892B1C}" name="Employment type" dataDxfId="7">
      <calculatedColumnFormula>IF(ISNUMBER(SEARCH("FT",Table3[[#This Row],[Column name]])),"Full-Time",IF(ISNUMBER(SEARCH("PT",Table3[[#This Row],[Column name]])),"Part-Time","Total"))</calculatedColumnFormula>
    </tableColumn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606983-98F3-400B-94B3-BFC991C85142}" name="Table5" displayName="Table5" ref="A3:D531" totalsRowShown="0" headerRowBorderDxfId="6" tableBorderDxfId="5" totalsRowBorderDxfId="4" headerRowCellStyle="Normal 3" dataCellStyle="Normal 3">
  <autoFilter ref="A3:D531" xr:uid="{E4606983-98F3-400B-94B3-BFC991C85142}"/>
  <tableColumns count="4">
    <tableColumn id="1" xr3:uid="{6542402E-E272-4977-8C71-F10E0DE2F53B}" name="Public_Tot_emp_validation(PT+FT)" dataCellStyle="Normal 3">
      <calculatedColumnFormula>IF(ABS(Table4[[#This Row],[Public_FT_employees]] + Table4[[#This Row],[Public_PT_employees]] - Table4[[#This Row],[Public_Tot_employees]]) &lt; 1, "OK", "Mismatch")</calculatedColumnFormula>
    </tableColumn>
    <tableColumn id="2" xr3:uid="{A80348AC-8A9A-4DF3-B850-A5B32C72C31A}" name="Private_Tot_emp_validation(PT+FT)" dataCellStyle="Normal 3">
      <calculatedColumnFormula>IF(ABS(Table4[[#This Row],[Private_FT_employees]] + Table4[[#This Row],[Private_PT_employees]] - Table4[[#This Row],[Private_Tot_employees]]) &lt; 1, "OK", "Mismatch")</calculatedColumnFormula>
    </tableColumn>
    <tableColumn id="3" xr3:uid="{C5F5FF00-7B96-465C-8D3B-9E3B29B40B21}" name="Total_employees_validation" dataDxfId="3" dataCellStyle="Normal 3">
      <calculatedColumnFormula>IF(ABS(Table4[[#This Row],[Total_FT_Employees]] + Table4[[#This Row],[Total_PT_Employees]] - Table4[[#This Row],[Total_Tot_employees]]) &lt; 1, "OK", "Mismatch")</calculatedColumnFormula>
    </tableColumn>
    <tableColumn id="4" xr3:uid="{875DC8FA-3953-4D8E-B0B6-076AF63E84A3}" name="Total employment_Validation(private employment+public employment )" dataCellStyle="Normal 3">
      <calculatedColumnFormula>IF(ABS(Table4[[#This Row],[Public_Tot_employment]] + Table4[[#This Row],[Private_Tot_employment]] - Table4[[#This Row],[Total_Employment]]) &lt; 1, "OK", "Mismatch")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0B2756-6C5F-4C12-BAB6-D43087061BA7}" name="Table6" displayName="Table6" ref="G3:I7" totalsRowShown="0" headerRowCellStyle="Check Cell">
  <autoFilter ref="G3:I7" xr:uid="{3F0B2756-6C5F-4C12-BAB6-D43087061BA7}"/>
  <tableColumns count="3">
    <tableColumn id="1" xr3:uid="{710405B3-F742-402F-970C-90D5B13B069B}" name="Validation Check"/>
    <tableColumn id="2" xr3:uid="{E4AD280D-5821-4F78-85C4-571204B64F8D}" name="OK count"/>
    <tableColumn id="3" xr3:uid="{B121B6A2-ECD2-4E33-B4CB-FB192EC5B978}" name="Mismatch 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A839-C751-4445-B0DC-0B52B806DD3A}">
  <dimension ref="A1:C46"/>
  <sheetViews>
    <sheetView workbookViewId="0">
      <selection activeCell="B36" sqref="B36"/>
    </sheetView>
  </sheetViews>
  <sheetFormatPr defaultRowHeight="14.4" x14ac:dyDescent="0.3"/>
  <cols>
    <col min="2" max="2" width="10.5546875" bestFit="1" customWidth="1"/>
  </cols>
  <sheetData>
    <row r="1" spans="1:3" x14ac:dyDescent="0.3">
      <c r="A1" t="s">
        <v>153</v>
      </c>
      <c r="B1" t="s">
        <v>154</v>
      </c>
    </row>
    <row r="2" spans="1:3" x14ac:dyDescent="0.3">
      <c r="A2" t="s">
        <v>155</v>
      </c>
      <c r="B2" t="s">
        <v>156</v>
      </c>
    </row>
    <row r="4" spans="1:3" x14ac:dyDescent="0.3">
      <c r="A4" t="s">
        <v>136</v>
      </c>
      <c r="B4" t="s">
        <v>143</v>
      </c>
    </row>
    <row r="7" spans="1:3" x14ac:dyDescent="0.3">
      <c r="A7" t="s">
        <v>137</v>
      </c>
      <c r="B7" t="s">
        <v>157</v>
      </c>
    </row>
    <row r="8" spans="1:3" x14ac:dyDescent="0.3">
      <c r="B8" t="s">
        <v>158</v>
      </c>
    </row>
    <row r="9" spans="1:3" x14ac:dyDescent="0.3">
      <c r="C9" t="s">
        <v>138</v>
      </c>
    </row>
    <row r="10" spans="1:3" x14ac:dyDescent="0.3">
      <c r="C10" t="s">
        <v>139</v>
      </c>
    </row>
    <row r="11" spans="1:3" x14ac:dyDescent="0.3">
      <c r="C11" t="s">
        <v>140</v>
      </c>
    </row>
    <row r="12" spans="1:3" x14ac:dyDescent="0.3">
      <c r="C12" t="s">
        <v>141</v>
      </c>
    </row>
    <row r="15" spans="1:3" x14ac:dyDescent="0.3">
      <c r="A15" t="s">
        <v>142</v>
      </c>
    </row>
    <row r="17" spans="1:2" x14ac:dyDescent="0.3">
      <c r="A17" t="s">
        <v>159</v>
      </c>
    </row>
    <row r="18" spans="1:2" x14ac:dyDescent="0.3">
      <c r="B18" t="s">
        <v>152</v>
      </c>
    </row>
    <row r="19" spans="1:2" x14ac:dyDescent="0.3">
      <c r="B19" t="s">
        <v>144</v>
      </c>
    </row>
    <row r="21" spans="1:2" x14ac:dyDescent="0.3">
      <c r="A21" t="s">
        <v>160</v>
      </c>
    </row>
    <row r="22" spans="1:2" x14ac:dyDescent="0.3">
      <c r="B22" t="s">
        <v>162</v>
      </c>
    </row>
    <row r="23" spans="1:2" x14ac:dyDescent="0.3">
      <c r="B23" t="s">
        <v>161</v>
      </c>
    </row>
    <row r="25" spans="1:2" x14ac:dyDescent="0.3">
      <c r="A25" t="s">
        <v>163</v>
      </c>
    </row>
    <row r="26" spans="1:2" x14ac:dyDescent="0.3">
      <c r="B26" t="s">
        <v>145</v>
      </c>
    </row>
    <row r="27" spans="1:2" x14ac:dyDescent="0.3">
      <c r="B27" t="s">
        <v>146</v>
      </c>
    </row>
    <row r="28" spans="1:2" x14ac:dyDescent="0.3">
      <c r="B28" t="s">
        <v>147</v>
      </c>
    </row>
    <row r="30" spans="1:2" x14ac:dyDescent="0.3">
      <c r="A30" t="s">
        <v>164</v>
      </c>
    </row>
    <row r="31" spans="1:2" x14ac:dyDescent="0.3">
      <c r="B31" t="s">
        <v>148</v>
      </c>
    </row>
    <row r="32" spans="1:2" x14ac:dyDescent="0.3">
      <c r="B32" t="s">
        <v>149</v>
      </c>
    </row>
    <row r="33" spans="1:3" x14ac:dyDescent="0.3">
      <c r="C33" t="s">
        <v>185</v>
      </c>
    </row>
    <row r="34" spans="1:3" x14ac:dyDescent="0.3">
      <c r="B34" t="s">
        <v>149</v>
      </c>
    </row>
    <row r="35" spans="1:3" x14ac:dyDescent="0.3">
      <c r="B35" t="s">
        <v>186</v>
      </c>
    </row>
    <row r="36" spans="1:3" x14ac:dyDescent="0.3">
      <c r="B36" t="s">
        <v>150</v>
      </c>
    </row>
    <row r="38" spans="1:3" x14ac:dyDescent="0.3">
      <c r="A38" t="s">
        <v>165</v>
      </c>
    </row>
    <row r="39" spans="1:3" x14ac:dyDescent="0.3">
      <c r="B39" t="s">
        <v>151</v>
      </c>
    </row>
    <row r="40" spans="1:3" x14ac:dyDescent="0.3">
      <c r="B40" t="s">
        <v>179</v>
      </c>
    </row>
    <row r="41" spans="1:3" x14ac:dyDescent="0.3">
      <c r="B41" t="s">
        <v>180</v>
      </c>
    </row>
    <row r="42" spans="1:3" x14ac:dyDescent="0.3">
      <c r="B42" t="s">
        <v>181</v>
      </c>
    </row>
    <row r="45" spans="1:3" x14ac:dyDescent="0.3">
      <c r="A45" t="s">
        <v>166</v>
      </c>
      <c r="B45" t="s">
        <v>167</v>
      </c>
    </row>
    <row r="46" spans="1:3" x14ac:dyDescent="0.3">
      <c r="A46" t="s">
        <v>168</v>
      </c>
      <c r="B46" s="16">
        <v>45968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8CD3-5C0E-483B-A2FD-54F66B1549B4}">
  <dimension ref="A1:AB535"/>
  <sheetViews>
    <sheetView topLeftCell="E1" zoomScale="99" zoomScaleNormal="99" workbookViewId="0">
      <selection activeCell="AA4" sqref="AA4"/>
    </sheetView>
  </sheetViews>
  <sheetFormatPr defaultRowHeight="14.4" x14ac:dyDescent="0.3"/>
  <cols>
    <col min="1" max="1" width="27.33203125" customWidth="1"/>
    <col min="2" max="3" width="22.6640625" customWidth="1"/>
    <col min="4" max="4" width="18.21875" style="1" customWidth="1"/>
    <col min="5" max="7" width="18.21875" style="2" customWidth="1"/>
    <col min="8" max="8" width="19.21875" style="2" customWidth="1"/>
    <col min="9" max="12" width="19.21875" style="3" customWidth="1"/>
    <col min="13" max="13" width="19.77734375" customWidth="1"/>
    <col min="14" max="14" width="19.21875" customWidth="1"/>
    <col min="17" max="17" width="20.6640625" style="8" customWidth="1"/>
    <col min="18" max="18" width="21.21875" style="8" customWidth="1"/>
    <col min="19" max="20" width="22" style="8" customWidth="1"/>
    <col min="21" max="21" width="21.5546875" style="9" customWidth="1"/>
    <col min="22" max="24" width="22.5546875" style="9" customWidth="1"/>
    <col min="25" max="25" width="19.77734375" style="10" customWidth="1"/>
    <col min="26" max="26" width="19.88671875" style="10" customWidth="1"/>
    <col min="27" max="27" width="21.77734375" style="10" customWidth="1"/>
    <col min="28" max="28" width="18.5546875" style="10" customWidth="1"/>
  </cols>
  <sheetData>
    <row r="1" spans="1:2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t="s">
        <v>14</v>
      </c>
    </row>
    <row r="2" spans="1:28" x14ac:dyDescent="0.3">
      <c r="C2" t="s">
        <v>129</v>
      </c>
      <c r="D2" s="4" t="s">
        <v>15</v>
      </c>
      <c r="E2" s="4" t="s">
        <v>15</v>
      </c>
      <c r="F2" s="4" t="s">
        <v>15</v>
      </c>
      <c r="G2" s="5" t="s">
        <v>16</v>
      </c>
      <c r="H2" s="5" t="s">
        <v>16</v>
      </c>
      <c r="I2" s="5" t="s">
        <v>17</v>
      </c>
      <c r="J2" s="5" t="s">
        <v>17</v>
      </c>
      <c r="K2" s="3" t="s">
        <v>18</v>
      </c>
      <c r="L2" s="3" t="s">
        <v>18</v>
      </c>
      <c r="M2" s="3" t="s">
        <v>18</v>
      </c>
      <c r="N2" s="3" t="s">
        <v>18</v>
      </c>
    </row>
    <row r="3" spans="1:28" x14ac:dyDescent="0.3">
      <c r="A3" t="s">
        <v>19</v>
      </c>
      <c r="B3" t="s">
        <v>20</v>
      </c>
      <c r="C3" s="6" t="s">
        <v>21</v>
      </c>
      <c r="D3" s="1" t="s">
        <v>22</v>
      </c>
      <c r="E3" s="1" t="s">
        <v>23</v>
      </c>
      <c r="F3" s="1" t="s">
        <v>24</v>
      </c>
      <c r="G3" s="2" t="s">
        <v>21</v>
      </c>
      <c r="H3" s="2" t="s">
        <v>22</v>
      </c>
      <c r="I3" s="2" t="s">
        <v>23</v>
      </c>
      <c r="J3" s="2" t="s">
        <v>24</v>
      </c>
      <c r="K3" s="3" t="s">
        <v>21</v>
      </c>
      <c r="L3" s="3" t="s">
        <v>22</v>
      </c>
      <c r="M3" s="3" t="s">
        <v>23</v>
      </c>
      <c r="N3" s="3" t="s">
        <v>24</v>
      </c>
      <c r="O3" t="s">
        <v>25</v>
      </c>
      <c r="Q3" s="8" t="s">
        <v>125</v>
      </c>
      <c r="R3" s="39" t="s">
        <v>126</v>
      </c>
      <c r="S3" s="8" t="s">
        <v>131</v>
      </c>
      <c r="T3" s="8" t="s">
        <v>132</v>
      </c>
      <c r="U3" s="9" t="s">
        <v>127</v>
      </c>
      <c r="V3" s="9" t="s">
        <v>128</v>
      </c>
      <c r="W3" s="9" t="s">
        <v>133</v>
      </c>
      <c r="X3" s="9" t="s">
        <v>134</v>
      </c>
      <c r="Y3" s="11" t="s">
        <v>122</v>
      </c>
      <c r="Z3" s="11" t="s">
        <v>123</v>
      </c>
      <c r="AA3" s="11" t="s">
        <v>135</v>
      </c>
      <c r="AB3" s="11" t="s">
        <v>124</v>
      </c>
    </row>
    <row r="4" spans="1:28" x14ac:dyDescent="0.3">
      <c r="A4" t="s">
        <v>26</v>
      </c>
      <c r="B4" t="s">
        <v>27</v>
      </c>
      <c r="C4" s="7">
        <v>281.02300000000002</v>
      </c>
      <c r="D4" s="1">
        <v>40.19</v>
      </c>
      <c r="E4" s="1">
        <v>321.214</v>
      </c>
      <c r="F4" s="1">
        <v>331.86599999999999</v>
      </c>
      <c r="G4" s="2">
        <v>16.102</v>
      </c>
      <c r="H4" s="2">
        <v>2.2029999999999998</v>
      </c>
      <c r="I4" s="2">
        <v>18.303999999999998</v>
      </c>
      <c r="J4" s="2">
        <v>18.346</v>
      </c>
      <c r="K4" s="3">
        <v>264.92200000000003</v>
      </c>
      <c r="L4" s="3">
        <v>37.988</v>
      </c>
      <c r="M4" s="3">
        <v>302.90899999999999</v>
      </c>
      <c r="N4" s="3">
        <v>313.51900000000001</v>
      </c>
      <c r="O4">
        <v>2009</v>
      </c>
      <c r="Q4" s="12" t="str">
        <f>TEXT(VALUE(Table1[[#This Row],[Content.Column7]])*1000,"#,##0")</f>
        <v>16,102</v>
      </c>
      <c r="R4" s="12" t="str">
        <f>TEXT(VALUE(Table1[[#This Row],[Content.Column8]])*1000,"#,##0")</f>
        <v>2,203</v>
      </c>
      <c r="S4" s="12" t="str">
        <f>TEXT(VALUE(Table1[[#This Row],[Content.Column9]])*1000,"#,##0")</f>
        <v>18,304</v>
      </c>
      <c r="T4" s="12" t="str">
        <f>TEXT(VALUE(Table1[[#This Row],[Content.Column10]])*1000,"#,##0")</f>
        <v>18,346</v>
      </c>
      <c r="U4" s="13" t="str">
        <f>TEXT(VALUE(Table1[[#This Row],[Content.Column11]])*1000,"#,##0")</f>
        <v>264,922</v>
      </c>
      <c r="V4" s="13" t="str">
        <f>TEXT(VALUE(Table1[[#This Row],[Content.Column12]])*1000,"#,##0")</f>
        <v>37,988</v>
      </c>
      <c r="W4" s="13" t="str">
        <f>TEXT(VALUE(Table1[[#This Row],[Content.Column13]])*1000,"#,##0")</f>
        <v>302,909</v>
      </c>
      <c r="X4" s="13" t="str">
        <f>TEXT(VALUE(Table1[[#This Row],[Content.Column14]])*1000,"#,##0")</f>
        <v>313,519</v>
      </c>
      <c r="Y4" s="14" t="str">
        <f>TEXT(VALUE(Table1[[#This Row],[Content.Column3]])*1000,"#,##0")</f>
        <v>281,023</v>
      </c>
      <c r="Z4" s="14" t="str">
        <f>TEXT(VALUE(Table1[[#This Row],[Content.Column4]])*1000,"#,##0")</f>
        <v>40,190</v>
      </c>
      <c r="AA4" s="14" t="str">
        <f>TEXT(VALUE(Table1[[#This Row],[Content.Column5]])*1000,"#,##0")</f>
        <v>321,214</v>
      </c>
      <c r="AB4" s="14" t="str">
        <f>TEXT(VALUE(Table1[[#This Row],[Content.Column6]])*1000,"#,##0")</f>
        <v>331,866</v>
      </c>
    </row>
    <row r="5" spans="1:28" x14ac:dyDescent="0.3">
      <c r="A5" t="s">
        <v>28</v>
      </c>
      <c r="B5" t="s">
        <v>29</v>
      </c>
      <c r="C5" s="6">
        <v>29.684999999999999</v>
      </c>
      <c r="D5" s="1">
        <v>13.513</v>
      </c>
      <c r="E5" s="1">
        <v>43.198999999999998</v>
      </c>
      <c r="F5" s="1">
        <v>44.23</v>
      </c>
      <c r="G5" s="2">
        <v>3.8039999999999998</v>
      </c>
      <c r="H5" s="2">
        <v>5.3840000000000003</v>
      </c>
      <c r="I5" s="2">
        <v>9.1869999999999994</v>
      </c>
      <c r="J5" s="2">
        <v>9.1989999999999998</v>
      </c>
      <c r="K5" s="3">
        <v>25.882000000000001</v>
      </c>
      <c r="L5" s="3">
        <v>8.1300000000000008</v>
      </c>
      <c r="M5" s="3">
        <v>34.012</v>
      </c>
      <c r="N5" s="3">
        <v>35.030999999999999</v>
      </c>
      <c r="O5">
        <v>2009</v>
      </c>
      <c r="Q5" s="12" t="str">
        <f>TEXT(VALUE(Table1[[#This Row],[Content.Column7]])*1000,"#,##0")</f>
        <v>3,804</v>
      </c>
      <c r="R5" s="12" t="str">
        <f>TEXT(VALUE(Table1[[#This Row],[Content.Column8]])*1000,"#,##0")</f>
        <v>5,384</v>
      </c>
      <c r="S5" s="12" t="str">
        <f>TEXT(VALUE(Table1[[#This Row],[Content.Column9]])*1000,"#,##0")</f>
        <v>9,187</v>
      </c>
      <c r="T5" s="12" t="str">
        <f>TEXT(VALUE(Table1[[#This Row],[Content.Column10]])*1000,"#,##0")</f>
        <v>9,199</v>
      </c>
      <c r="U5" s="13" t="str">
        <f>TEXT(VALUE(Table1[[#This Row],[Content.Column11]])*1000,"#,##0")</f>
        <v>25,882</v>
      </c>
      <c r="V5" s="13" t="str">
        <f>TEXT(VALUE(Table1[[#This Row],[Content.Column12]])*1000,"#,##0")</f>
        <v>8,130</v>
      </c>
      <c r="W5" s="13" t="str">
        <f>TEXT(VALUE(Table1[[#This Row],[Content.Column13]])*1000,"#,##0")</f>
        <v>34,012</v>
      </c>
      <c r="X5" s="13" t="str">
        <f>TEXT(VALUE(Table1[[#This Row],[Content.Column14]])*1000,"#,##0")</f>
        <v>35,031</v>
      </c>
      <c r="Y5" s="14" t="str">
        <f>TEXT(VALUE(Table1[[#This Row],[Content.Column3]])*1000,"#,##0")</f>
        <v>29,685</v>
      </c>
      <c r="Z5" s="14" t="str">
        <f>TEXT(VALUE(Table1[[#This Row],[Content.Column4]])*1000,"#,##0")</f>
        <v>13,513</v>
      </c>
      <c r="AA5" s="14" t="str">
        <f>TEXT(VALUE(Table1[[#This Row],[Content.Column5]])*1000,"#,##0")</f>
        <v>43,199</v>
      </c>
      <c r="AB5" s="14" t="str">
        <f>TEXT(VALUE(Table1[[#This Row],[Content.Column6]])*1000,"#,##0")</f>
        <v>44,230</v>
      </c>
    </row>
    <row r="6" spans="1:28" x14ac:dyDescent="0.3">
      <c r="A6" t="s">
        <v>30</v>
      </c>
      <c r="B6" t="s">
        <v>31</v>
      </c>
      <c r="C6" s="6">
        <v>74.492999999999995</v>
      </c>
      <c r="D6" s="1">
        <v>38.481000000000002</v>
      </c>
      <c r="E6" s="1">
        <v>112.974</v>
      </c>
      <c r="F6" s="1">
        <v>117.146</v>
      </c>
      <c r="G6" s="2">
        <v>16.146000000000001</v>
      </c>
      <c r="H6" s="2">
        <v>9.8409999999999993</v>
      </c>
      <c r="I6" s="2">
        <v>25.986999999999998</v>
      </c>
      <c r="J6" s="2">
        <v>26.081</v>
      </c>
      <c r="K6" s="3">
        <v>58.347999999999999</v>
      </c>
      <c r="L6" s="3">
        <v>28.638999999999999</v>
      </c>
      <c r="M6" s="3">
        <v>86.986999999999995</v>
      </c>
      <c r="N6" s="3">
        <v>91.064999999999998</v>
      </c>
      <c r="O6">
        <v>2009</v>
      </c>
      <c r="Q6" s="12" t="str">
        <f>TEXT(VALUE(Table1[[#This Row],[Content.Column7]])*1000,"#,##0")</f>
        <v>16,146</v>
      </c>
      <c r="R6" s="12" t="str">
        <f>TEXT(VALUE(Table1[[#This Row],[Content.Column8]])*1000,"#,##0")</f>
        <v>9,841</v>
      </c>
      <c r="S6" s="12" t="str">
        <f>TEXT(VALUE(Table1[[#This Row],[Content.Column9]])*1000,"#,##0")</f>
        <v>25,987</v>
      </c>
      <c r="T6" s="12" t="str">
        <f>TEXT(VALUE(Table1[[#This Row],[Content.Column10]])*1000,"#,##0")</f>
        <v>26,081</v>
      </c>
      <c r="U6" s="13" t="str">
        <f>TEXT(VALUE(Table1[[#This Row],[Content.Column11]])*1000,"#,##0")</f>
        <v>58,348</v>
      </c>
      <c r="V6" s="13" t="str">
        <f>TEXT(VALUE(Table1[[#This Row],[Content.Column12]])*1000,"#,##0")</f>
        <v>28,639</v>
      </c>
      <c r="W6" s="13" t="str">
        <f>TEXT(VALUE(Table1[[#This Row],[Content.Column13]])*1000,"#,##0")</f>
        <v>86,987</v>
      </c>
      <c r="X6" s="13" t="str">
        <f>TEXT(VALUE(Table1[[#This Row],[Content.Column14]])*1000,"#,##0")</f>
        <v>91,065</v>
      </c>
      <c r="Y6" s="14" t="str">
        <f>TEXT(VALUE(Table1[[#This Row],[Content.Column3]])*1000,"#,##0")</f>
        <v>74,493</v>
      </c>
      <c r="Z6" s="14" t="str">
        <f>TEXT(VALUE(Table1[[#This Row],[Content.Column4]])*1000,"#,##0")</f>
        <v>38,481</v>
      </c>
      <c r="AA6" s="14" t="str">
        <f>TEXT(VALUE(Table1[[#This Row],[Content.Column5]])*1000,"#,##0")</f>
        <v>112,974</v>
      </c>
      <c r="AB6" s="14" t="str">
        <f>TEXT(VALUE(Table1[[#This Row],[Content.Column6]])*1000,"#,##0")</f>
        <v>117,146</v>
      </c>
    </row>
    <row r="7" spans="1:28" x14ac:dyDescent="0.3">
      <c r="A7" t="s">
        <v>32</v>
      </c>
      <c r="B7" t="s">
        <v>33</v>
      </c>
      <c r="C7" s="6">
        <v>41.046999999999997</v>
      </c>
      <c r="D7" s="1">
        <v>22.675000000000001</v>
      </c>
      <c r="E7" s="1">
        <v>63.722000000000001</v>
      </c>
      <c r="F7" s="1">
        <v>66.066000000000003</v>
      </c>
      <c r="G7" s="2">
        <v>7.0949999999999998</v>
      </c>
      <c r="H7" s="2">
        <v>5.665</v>
      </c>
      <c r="I7" s="2">
        <v>12.76</v>
      </c>
      <c r="J7" s="2">
        <v>12.76</v>
      </c>
      <c r="K7" s="3">
        <v>33.951999999999998</v>
      </c>
      <c r="L7" s="3">
        <v>17.010000000000002</v>
      </c>
      <c r="M7" s="3">
        <v>50.962000000000003</v>
      </c>
      <c r="N7" s="3">
        <v>53.305999999999997</v>
      </c>
      <c r="O7">
        <v>2009</v>
      </c>
      <c r="Q7" s="12" t="str">
        <f>TEXT(VALUE(Table1[[#This Row],[Content.Column7]])*1000,"#,##0")</f>
        <v>7,095</v>
      </c>
      <c r="R7" s="12" t="str">
        <f>TEXT(VALUE(Table1[[#This Row],[Content.Column8]])*1000,"#,##0")</f>
        <v>5,665</v>
      </c>
      <c r="S7" s="12" t="str">
        <f>TEXT(VALUE(Table1[[#This Row],[Content.Column9]])*1000,"#,##0")</f>
        <v>12,760</v>
      </c>
      <c r="T7" s="12" t="str">
        <f>TEXT(VALUE(Table1[[#This Row],[Content.Column10]])*1000,"#,##0")</f>
        <v>12,760</v>
      </c>
      <c r="U7" s="13" t="str">
        <f>TEXT(VALUE(Table1[[#This Row],[Content.Column11]])*1000,"#,##0")</f>
        <v>33,952</v>
      </c>
      <c r="V7" s="13" t="str">
        <f>TEXT(VALUE(Table1[[#This Row],[Content.Column12]])*1000,"#,##0")</f>
        <v>17,010</v>
      </c>
      <c r="W7" s="13" t="str">
        <f>TEXT(VALUE(Table1[[#This Row],[Content.Column13]])*1000,"#,##0")</f>
        <v>50,962</v>
      </c>
      <c r="X7" s="13" t="str">
        <f>TEXT(VALUE(Table1[[#This Row],[Content.Column14]])*1000,"#,##0")</f>
        <v>53,306</v>
      </c>
      <c r="Y7" s="14" t="str">
        <f>TEXT(VALUE(Table1[[#This Row],[Content.Column3]])*1000,"#,##0")</f>
        <v>41,047</v>
      </c>
      <c r="Z7" s="14" t="str">
        <f>TEXT(VALUE(Table1[[#This Row],[Content.Column4]])*1000,"#,##0")</f>
        <v>22,675</v>
      </c>
      <c r="AA7" s="14" t="str">
        <f>TEXT(VALUE(Table1[[#This Row],[Content.Column5]])*1000,"#,##0")</f>
        <v>63,722</v>
      </c>
      <c r="AB7" s="14" t="str">
        <f>TEXT(VALUE(Table1[[#This Row],[Content.Column6]])*1000,"#,##0")</f>
        <v>66,066</v>
      </c>
    </row>
    <row r="8" spans="1:28" x14ac:dyDescent="0.3">
      <c r="A8" t="s">
        <v>34</v>
      </c>
      <c r="B8" t="s">
        <v>35</v>
      </c>
      <c r="C8" s="6">
        <v>67.073999999999998</v>
      </c>
      <c r="D8" s="1">
        <v>25.661999999999999</v>
      </c>
      <c r="E8" s="1">
        <v>92.734999999999999</v>
      </c>
      <c r="F8" s="1">
        <v>95.581000000000003</v>
      </c>
      <c r="G8" s="2">
        <v>13.496</v>
      </c>
      <c r="H8" s="2">
        <v>4.4889999999999999</v>
      </c>
      <c r="I8" s="2">
        <v>17.984999999999999</v>
      </c>
      <c r="J8" s="2">
        <v>18.039000000000001</v>
      </c>
      <c r="K8" s="3">
        <v>53.578000000000003</v>
      </c>
      <c r="L8" s="3">
        <v>21.172999999999998</v>
      </c>
      <c r="M8" s="3">
        <v>74.751000000000005</v>
      </c>
      <c r="N8" s="3">
        <v>77.542000000000002</v>
      </c>
      <c r="O8">
        <v>2009</v>
      </c>
      <c r="Q8" s="12" t="str">
        <f>TEXT(VALUE(Table1[[#This Row],[Content.Column7]])*1000,"#,##0")</f>
        <v>13,496</v>
      </c>
      <c r="R8" s="12" t="str">
        <f>TEXT(VALUE(Table1[[#This Row],[Content.Column8]])*1000,"#,##0")</f>
        <v>4,489</v>
      </c>
      <c r="S8" s="12" t="str">
        <f>TEXT(VALUE(Table1[[#This Row],[Content.Column9]])*1000,"#,##0")</f>
        <v>17,985</v>
      </c>
      <c r="T8" s="12" t="str">
        <f>TEXT(VALUE(Table1[[#This Row],[Content.Column10]])*1000,"#,##0")</f>
        <v>18,039</v>
      </c>
      <c r="U8" s="13" t="str">
        <f>TEXT(VALUE(Table1[[#This Row],[Content.Column11]])*1000,"#,##0")</f>
        <v>53,578</v>
      </c>
      <c r="V8" s="13" t="str">
        <f>TEXT(VALUE(Table1[[#This Row],[Content.Column12]])*1000,"#,##0")</f>
        <v>21,173</v>
      </c>
      <c r="W8" s="13" t="str">
        <f>TEXT(VALUE(Table1[[#This Row],[Content.Column13]])*1000,"#,##0")</f>
        <v>74,751</v>
      </c>
      <c r="X8" s="13" t="str">
        <f>TEXT(VALUE(Table1[[#This Row],[Content.Column14]])*1000,"#,##0")</f>
        <v>77,542</v>
      </c>
      <c r="Y8" s="14" t="str">
        <f>TEXT(VALUE(Table1[[#This Row],[Content.Column3]])*1000,"#,##0")</f>
        <v>67,074</v>
      </c>
      <c r="Z8" s="14" t="str">
        <f>TEXT(VALUE(Table1[[#This Row],[Content.Column4]])*1000,"#,##0")</f>
        <v>25,662</v>
      </c>
      <c r="AA8" s="14" t="str">
        <f>TEXT(VALUE(Table1[[#This Row],[Content.Column5]])*1000,"#,##0")</f>
        <v>92,735</v>
      </c>
      <c r="AB8" s="14" t="str">
        <f>TEXT(VALUE(Table1[[#This Row],[Content.Column6]])*1000,"#,##0")</f>
        <v>95,581</v>
      </c>
    </row>
    <row r="9" spans="1:28" x14ac:dyDescent="0.3">
      <c r="A9" t="s">
        <v>36</v>
      </c>
      <c r="B9" t="s">
        <v>37</v>
      </c>
      <c r="C9" s="6">
        <v>67.605000000000004</v>
      </c>
      <c r="D9" s="1">
        <v>35.706000000000003</v>
      </c>
      <c r="E9" s="1">
        <v>103.31100000000001</v>
      </c>
      <c r="F9" s="1">
        <v>106.947</v>
      </c>
      <c r="G9" s="2">
        <v>13.69</v>
      </c>
      <c r="H9" s="2">
        <v>6.9109999999999996</v>
      </c>
      <c r="I9" s="2">
        <v>20.6</v>
      </c>
      <c r="J9" s="2">
        <v>20.652000000000001</v>
      </c>
      <c r="K9" s="3">
        <v>53.914999999999999</v>
      </c>
      <c r="L9" s="3">
        <v>28.795000000000002</v>
      </c>
      <c r="M9" s="3">
        <v>82.710999999999999</v>
      </c>
      <c r="N9" s="3">
        <v>86.295000000000002</v>
      </c>
      <c r="O9">
        <v>2009</v>
      </c>
      <c r="Q9" s="12" t="str">
        <f>TEXT(VALUE(Table1[[#This Row],[Content.Column7]])*1000,"#,##0")</f>
        <v>13,690</v>
      </c>
      <c r="R9" s="12" t="str">
        <f>TEXT(VALUE(Table1[[#This Row],[Content.Column8]])*1000,"#,##0")</f>
        <v>6,911</v>
      </c>
      <c r="S9" s="12" t="str">
        <f>TEXT(VALUE(Table1[[#This Row],[Content.Column9]])*1000,"#,##0")</f>
        <v>20,600</v>
      </c>
      <c r="T9" s="12" t="str">
        <f>TEXT(VALUE(Table1[[#This Row],[Content.Column10]])*1000,"#,##0")</f>
        <v>20,652</v>
      </c>
      <c r="U9" s="13" t="str">
        <f>TEXT(VALUE(Table1[[#This Row],[Content.Column11]])*1000,"#,##0")</f>
        <v>53,915</v>
      </c>
      <c r="V9" s="13" t="str">
        <f>TEXT(VALUE(Table1[[#This Row],[Content.Column12]])*1000,"#,##0")</f>
        <v>28,795</v>
      </c>
      <c r="W9" s="13" t="str">
        <f>TEXT(VALUE(Table1[[#This Row],[Content.Column13]])*1000,"#,##0")</f>
        <v>82,711</v>
      </c>
      <c r="X9" s="13" t="str">
        <f>TEXT(VALUE(Table1[[#This Row],[Content.Column14]])*1000,"#,##0")</f>
        <v>86,295</v>
      </c>
      <c r="Y9" s="14" t="str">
        <f>TEXT(VALUE(Table1[[#This Row],[Content.Column3]])*1000,"#,##0")</f>
        <v>67,605</v>
      </c>
      <c r="Z9" s="14" t="str">
        <f>TEXT(VALUE(Table1[[#This Row],[Content.Column4]])*1000,"#,##0")</f>
        <v>35,706</v>
      </c>
      <c r="AA9" s="14" t="str">
        <f>TEXT(VALUE(Table1[[#This Row],[Content.Column5]])*1000,"#,##0")</f>
        <v>103,311</v>
      </c>
      <c r="AB9" s="14" t="str">
        <f>TEXT(VALUE(Table1[[#This Row],[Content.Column6]])*1000,"#,##0")</f>
        <v>106,947</v>
      </c>
    </row>
    <row r="10" spans="1:28" x14ac:dyDescent="0.3">
      <c r="A10" t="s">
        <v>38</v>
      </c>
      <c r="B10" t="s">
        <v>39</v>
      </c>
      <c r="C10" s="6">
        <v>219.93</v>
      </c>
      <c r="D10" s="1">
        <v>60.363999999999997</v>
      </c>
      <c r="E10" s="1">
        <v>280.29399999999998</v>
      </c>
      <c r="F10" s="1">
        <v>290.42</v>
      </c>
      <c r="G10" s="2">
        <v>30.664999999999999</v>
      </c>
      <c r="H10" s="2">
        <v>7.9370000000000003</v>
      </c>
      <c r="I10" s="2">
        <v>38.601999999999997</v>
      </c>
      <c r="J10" s="2">
        <v>38.722999999999999</v>
      </c>
      <c r="K10" s="3">
        <v>189.26599999999999</v>
      </c>
      <c r="L10" s="3">
        <v>52.427</v>
      </c>
      <c r="M10" s="3">
        <v>241.69200000000001</v>
      </c>
      <c r="N10" s="3">
        <v>251.697</v>
      </c>
      <c r="O10">
        <v>2009</v>
      </c>
      <c r="Q10" s="12" t="str">
        <f>TEXT(VALUE(Table1[[#This Row],[Content.Column7]])*1000,"#,##0")</f>
        <v>30,665</v>
      </c>
      <c r="R10" s="12" t="str">
        <f>TEXT(VALUE(Table1[[#This Row],[Content.Column8]])*1000,"#,##0")</f>
        <v>7,937</v>
      </c>
      <c r="S10" s="12" t="str">
        <f>TEXT(VALUE(Table1[[#This Row],[Content.Column9]])*1000,"#,##0")</f>
        <v>38,602</v>
      </c>
      <c r="T10" s="12" t="str">
        <f>TEXT(VALUE(Table1[[#This Row],[Content.Column10]])*1000,"#,##0")</f>
        <v>38,723</v>
      </c>
      <c r="U10" s="13" t="str">
        <f>TEXT(VALUE(Table1[[#This Row],[Content.Column11]])*1000,"#,##0")</f>
        <v>189,266</v>
      </c>
      <c r="V10" s="13" t="str">
        <f>TEXT(VALUE(Table1[[#This Row],[Content.Column12]])*1000,"#,##0")</f>
        <v>52,427</v>
      </c>
      <c r="W10" s="13" t="str">
        <f>TEXT(VALUE(Table1[[#This Row],[Content.Column13]])*1000,"#,##0")</f>
        <v>241,692</v>
      </c>
      <c r="X10" s="13" t="str">
        <f>TEXT(VALUE(Table1[[#This Row],[Content.Column14]])*1000,"#,##0")</f>
        <v>251,697</v>
      </c>
      <c r="Y10" s="14" t="str">
        <f>TEXT(VALUE(Table1[[#This Row],[Content.Column3]])*1000,"#,##0")</f>
        <v>219,930</v>
      </c>
      <c r="Z10" s="14" t="str">
        <f>TEXT(VALUE(Table1[[#This Row],[Content.Column4]])*1000,"#,##0")</f>
        <v>60,364</v>
      </c>
      <c r="AA10" s="14" t="str">
        <f>TEXT(VALUE(Table1[[#This Row],[Content.Column5]])*1000,"#,##0")</f>
        <v>280,294</v>
      </c>
      <c r="AB10" s="14" t="str">
        <f>TEXT(VALUE(Table1[[#This Row],[Content.Column6]])*1000,"#,##0")</f>
        <v>290,420</v>
      </c>
    </row>
    <row r="11" spans="1:28" x14ac:dyDescent="0.3">
      <c r="A11" t="s">
        <v>40</v>
      </c>
      <c r="B11" t="s">
        <v>41</v>
      </c>
      <c r="C11" s="6">
        <v>81.977999999999994</v>
      </c>
      <c r="D11" s="1">
        <v>38.831000000000003</v>
      </c>
      <c r="E11" s="1">
        <v>120.809</v>
      </c>
      <c r="F11" s="1">
        <v>124.679</v>
      </c>
      <c r="G11" s="2">
        <v>19.437000000000001</v>
      </c>
      <c r="H11" s="2">
        <v>8.5340000000000007</v>
      </c>
      <c r="I11" s="2">
        <v>27.971</v>
      </c>
      <c r="J11" s="2">
        <v>28.119</v>
      </c>
      <c r="K11" s="3">
        <v>62.540999999999997</v>
      </c>
      <c r="L11" s="3">
        <v>30.297999999999998</v>
      </c>
      <c r="M11" s="3">
        <v>92.837999999999994</v>
      </c>
      <c r="N11" s="3">
        <v>96.561000000000007</v>
      </c>
      <c r="O11">
        <v>2009</v>
      </c>
      <c r="Q11" s="12" t="str">
        <f>TEXT(VALUE(Table1[[#This Row],[Content.Column7]])*1000,"#,##0")</f>
        <v>19,437</v>
      </c>
      <c r="R11" s="12" t="str">
        <f>TEXT(VALUE(Table1[[#This Row],[Content.Column8]])*1000,"#,##0")</f>
        <v>8,534</v>
      </c>
      <c r="S11" s="12" t="str">
        <f>TEXT(VALUE(Table1[[#This Row],[Content.Column9]])*1000,"#,##0")</f>
        <v>27,971</v>
      </c>
      <c r="T11" s="12" t="str">
        <f>TEXT(VALUE(Table1[[#This Row],[Content.Column10]])*1000,"#,##0")</f>
        <v>28,119</v>
      </c>
      <c r="U11" s="13" t="str">
        <f>TEXT(VALUE(Table1[[#This Row],[Content.Column11]])*1000,"#,##0")</f>
        <v>62,541</v>
      </c>
      <c r="V11" s="13" t="str">
        <f>TEXT(VALUE(Table1[[#This Row],[Content.Column12]])*1000,"#,##0")</f>
        <v>30,298</v>
      </c>
      <c r="W11" s="13" t="str">
        <f>TEXT(VALUE(Table1[[#This Row],[Content.Column13]])*1000,"#,##0")</f>
        <v>92,838</v>
      </c>
      <c r="X11" s="13" t="str">
        <f>TEXT(VALUE(Table1[[#This Row],[Content.Column14]])*1000,"#,##0")</f>
        <v>96,561</v>
      </c>
      <c r="Y11" s="14" t="str">
        <f>TEXT(VALUE(Table1[[#This Row],[Content.Column3]])*1000,"#,##0")</f>
        <v>81,978</v>
      </c>
      <c r="Z11" s="14" t="str">
        <f>TEXT(VALUE(Table1[[#This Row],[Content.Column4]])*1000,"#,##0")</f>
        <v>38,831</v>
      </c>
      <c r="AA11" s="14" t="str">
        <f>TEXT(VALUE(Table1[[#This Row],[Content.Column5]])*1000,"#,##0")</f>
        <v>120,809</v>
      </c>
      <c r="AB11" s="14" t="str">
        <f>TEXT(VALUE(Table1[[#This Row],[Content.Column6]])*1000,"#,##0")</f>
        <v>124,679</v>
      </c>
    </row>
    <row r="12" spans="1:28" x14ac:dyDescent="0.3">
      <c r="A12" t="s">
        <v>42</v>
      </c>
      <c r="B12" t="s">
        <v>43</v>
      </c>
      <c r="C12" s="6">
        <v>78.266999999999996</v>
      </c>
      <c r="D12" s="1">
        <v>28.077000000000002</v>
      </c>
      <c r="E12" s="1">
        <v>106.345</v>
      </c>
      <c r="F12" s="1">
        <v>109.54600000000001</v>
      </c>
      <c r="G12" s="2">
        <v>12.178000000000001</v>
      </c>
      <c r="H12" s="2">
        <v>5.6159999999999997</v>
      </c>
      <c r="I12" s="2">
        <v>17.792999999999999</v>
      </c>
      <c r="J12" s="2">
        <v>17.875</v>
      </c>
      <c r="K12" s="3">
        <v>66.09</v>
      </c>
      <c r="L12" s="3">
        <v>22.462</v>
      </c>
      <c r="M12" s="3">
        <v>88.552000000000007</v>
      </c>
      <c r="N12" s="3">
        <v>91.671000000000006</v>
      </c>
      <c r="O12">
        <v>2009</v>
      </c>
      <c r="Q12" s="12" t="str">
        <f>TEXT(VALUE(Table1[[#This Row],[Content.Column7]])*1000,"#,##0")</f>
        <v>12,178</v>
      </c>
      <c r="R12" s="12" t="str">
        <f>TEXT(VALUE(Table1[[#This Row],[Content.Column8]])*1000,"#,##0")</f>
        <v>5,616</v>
      </c>
      <c r="S12" s="12" t="str">
        <f>TEXT(VALUE(Table1[[#This Row],[Content.Column9]])*1000,"#,##0")</f>
        <v>17,793</v>
      </c>
      <c r="T12" s="12" t="str">
        <f>TEXT(VALUE(Table1[[#This Row],[Content.Column10]])*1000,"#,##0")</f>
        <v>17,875</v>
      </c>
      <c r="U12" s="13" t="str">
        <f>TEXT(VALUE(Table1[[#This Row],[Content.Column11]])*1000,"#,##0")</f>
        <v>66,090</v>
      </c>
      <c r="V12" s="13" t="str">
        <f>TEXT(VALUE(Table1[[#This Row],[Content.Column12]])*1000,"#,##0")</f>
        <v>22,462</v>
      </c>
      <c r="W12" s="13" t="str">
        <f>TEXT(VALUE(Table1[[#This Row],[Content.Column13]])*1000,"#,##0")</f>
        <v>88,552</v>
      </c>
      <c r="X12" s="13" t="str">
        <f>TEXT(VALUE(Table1[[#This Row],[Content.Column14]])*1000,"#,##0")</f>
        <v>91,671</v>
      </c>
      <c r="Y12" s="14" t="str">
        <f>TEXT(VALUE(Table1[[#This Row],[Content.Column3]])*1000,"#,##0")</f>
        <v>78,267</v>
      </c>
      <c r="Z12" s="14" t="str">
        <f>TEXT(VALUE(Table1[[#This Row],[Content.Column4]])*1000,"#,##0")</f>
        <v>28,077</v>
      </c>
      <c r="AA12" s="14" t="str">
        <f>TEXT(VALUE(Table1[[#This Row],[Content.Column5]])*1000,"#,##0")</f>
        <v>106,345</v>
      </c>
      <c r="AB12" s="14" t="str">
        <f>TEXT(VALUE(Table1[[#This Row],[Content.Column6]])*1000,"#,##0")</f>
        <v>109,546</v>
      </c>
    </row>
    <row r="13" spans="1:28" x14ac:dyDescent="0.3">
      <c r="A13" t="s">
        <v>44</v>
      </c>
      <c r="B13" t="s">
        <v>45</v>
      </c>
      <c r="C13" s="6">
        <v>63.295000000000002</v>
      </c>
      <c r="D13" s="1">
        <v>29.204999999999998</v>
      </c>
      <c r="E13" s="1">
        <v>92.501000000000005</v>
      </c>
      <c r="F13" s="1">
        <v>94.938999999999993</v>
      </c>
      <c r="G13" s="2">
        <v>15.205</v>
      </c>
      <c r="H13" s="2">
        <v>7.9249999999999998</v>
      </c>
      <c r="I13" s="2">
        <v>23.13</v>
      </c>
      <c r="J13" s="2">
        <v>23.175999999999998</v>
      </c>
      <c r="K13" s="3">
        <v>48.091000000000001</v>
      </c>
      <c r="L13" s="3">
        <v>21.28</v>
      </c>
      <c r="M13" s="3">
        <v>69.370999999999995</v>
      </c>
      <c r="N13" s="3">
        <v>71.763000000000005</v>
      </c>
      <c r="O13">
        <v>2009</v>
      </c>
      <c r="Q13" s="12" t="str">
        <f>TEXT(VALUE(Table1[[#This Row],[Content.Column7]])*1000,"#,##0")</f>
        <v>15,205</v>
      </c>
      <c r="R13" s="12" t="str">
        <f>TEXT(VALUE(Table1[[#This Row],[Content.Column8]])*1000,"#,##0")</f>
        <v>7,925</v>
      </c>
      <c r="S13" s="12" t="str">
        <f>TEXT(VALUE(Table1[[#This Row],[Content.Column9]])*1000,"#,##0")</f>
        <v>23,130</v>
      </c>
      <c r="T13" s="12" t="str">
        <f>TEXT(VALUE(Table1[[#This Row],[Content.Column10]])*1000,"#,##0")</f>
        <v>23,176</v>
      </c>
      <c r="U13" s="13" t="str">
        <f>TEXT(VALUE(Table1[[#This Row],[Content.Column11]])*1000,"#,##0")</f>
        <v>48,091</v>
      </c>
      <c r="V13" s="13" t="str">
        <f>TEXT(VALUE(Table1[[#This Row],[Content.Column12]])*1000,"#,##0")</f>
        <v>21,280</v>
      </c>
      <c r="W13" s="13" t="str">
        <f>TEXT(VALUE(Table1[[#This Row],[Content.Column13]])*1000,"#,##0")</f>
        <v>69,371</v>
      </c>
      <c r="X13" s="13" t="str">
        <f>TEXT(VALUE(Table1[[#This Row],[Content.Column14]])*1000,"#,##0")</f>
        <v>71,763</v>
      </c>
      <c r="Y13" s="14" t="str">
        <f>TEXT(VALUE(Table1[[#This Row],[Content.Column3]])*1000,"#,##0")</f>
        <v>63,295</v>
      </c>
      <c r="Z13" s="14" t="str">
        <f>TEXT(VALUE(Table1[[#This Row],[Content.Column4]])*1000,"#,##0")</f>
        <v>29,205</v>
      </c>
      <c r="AA13" s="14" t="str">
        <f>TEXT(VALUE(Table1[[#This Row],[Content.Column5]])*1000,"#,##0")</f>
        <v>92,501</v>
      </c>
      <c r="AB13" s="14" t="str">
        <f>TEXT(VALUE(Table1[[#This Row],[Content.Column6]])*1000,"#,##0")</f>
        <v>94,939</v>
      </c>
    </row>
    <row r="14" spans="1:28" x14ac:dyDescent="0.3">
      <c r="A14" t="s">
        <v>46</v>
      </c>
      <c r="B14" t="s">
        <v>47</v>
      </c>
      <c r="C14" s="6">
        <v>44.325000000000003</v>
      </c>
      <c r="D14" s="1">
        <v>22.933</v>
      </c>
      <c r="E14" s="1">
        <v>67.257999999999996</v>
      </c>
      <c r="F14" s="1">
        <v>69.203000000000003</v>
      </c>
      <c r="G14" s="2">
        <v>13.65</v>
      </c>
      <c r="H14" s="2">
        <v>7.0759999999999996</v>
      </c>
      <c r="I14" s="2">
        <v>20.725999999999999</v>
      </c>
      <c r="J14" s="2">
        <v>20.742000000000001</v>
      </c>
      <c r="K14" s="3">
        <v>30.675000000000001</v>
      </c>
      <c r="L14" s="3">
        <v>15.856999999999999</v>
      </c>
      <c r="M14" s="3">
        <v>46.533000000000001</v>
      </c>
      <c r="N14" s="3">
        <v>48.460999999999999</v>
      </c>
      <c r="O14">
        <v>2009</v>
      </c>
      <c r="Q14" s="12" t="str">
        <f>TEXT(VALUE(Table1[[#This Row],[Content.Column7]])*1000,"#,##0")</f>
        <v>13,650</v>
      </c>
      <c r="R14" s="12" t="str">
        <f>TEXT(VALUE(Table1[[#This Row],[Content.Column8]])*1000,"#,##0")</f>
        <v>7,076</v>
      </c>
      <c r="S14" s="12" t="str">
        <f>TEXT(VALUE(Table1[[#This Row],[Content.Column9]])*1000,"#,##0")</f>
        <v>20,726</v>
      </c>
      <c r="T14" s="12" t="str">
        <f>TEXT(VALUE(Table1[[#This Row],[Content.Column10]])*1000,"#,##0")</f>
        <v>20,742</v>
      </c>
      <c r="U14" s="13" t="str">
        <f>TEXT(VALUE(Table1[[#This Row],[Content.Column11]])*1000,"#,##0")</f>
        <v>30,675</v>
      </c>
      <c r="V14" s="13" t="str">
        <f>TEXT(VALUE(Table1[[#This Row],[Content.Column12]])*1000,"#,##0")</f>
        <v>15,857</v>
      </c>
      <c r="W14" s="13" t="str">
        <f>TEXT(VALUE(Table1[[#This Row],[Content.Column13]])*1000,"#,##0")</f>
        <v>46,533</v>
      </c>
      <c r="X14" s="13" t="str">
        <f>TEXT(VALUE(Table1[[#This Row],[Content.Column14]])*1000,"#,##0")</f>
        <v>48,461</v>
      </c>
      <c r="Y14" s="14" t="str">
        <f>TEXT(VALUE(Table1[[#This Row],[Content.Column3]])*1000,"#,##0")</f>
        <v>44,325</v>
      </c>
      <c r="Z14" s="14" t="str">
        <f>TEXT(VALUE(Table1[[#This Row],[Content.Column4]])*1000,"#,##0")</f>
        <v>22,933</v>
      </c>
      <c r="AA14" s="14" t="str">
        <f>TEXT(VALUE(Table1[[#This Row],[Content.Column5]])*1000,"#,##0")</f>
        <v>67,258</v>
      </c>
      <c r="AB14" s="14" t="str">
        <f>TEXT(VALUE(Table1[[#This Row],[Content.Column6]])*1000,"#,##0")</f>
        <v>69,203</v>
      </c>
    </row>
    <row r="15" spans="1:28" x14ac:dyDescent="0.3">
      <c r="A15" t="s">
        <v>48</v>
      </c>
      <c r="B15" t="s">
        <v>49</v>
      </c>
      <c r="C15" s="6">
        <v>60.692</v>
      </c>
      <c r="D15" s="1">
        <v>24.963000000000001</v>
      </c>
      <c r="E15" s="1">
        <v>85.655000000000001</v>
      </c>
      <c r="F15" s="1">
        <v>88.543999999999997</v>
      </c>
      <c r="G15" s="2">
        <v>12.282999999999999</v>
      </c>
      <c r="H15" s="2">
        <v>5.3540000000000001</v>
      </c>
      <c r="I15" s="2">
        <v>17.637</v>
      </c>
      <c r="J15" s="2">
        <v>17.795999999999999</v>
      </c>
      <c r="K15" s="3">
        <v>48.408999999999999</v>
      </c>
      <c r="L15" s="3">
        <v>19.609000000000002</v>
      </c>
      <c r="M15" s="3">
        <v>68.018000000000001</v>
      </c>
      <c r="N15" s="3">
        <v>70.748000000000005</v>
      </c>
      <c r="O15">
        <v>2009</v>
      </c>
      <c r="Q15" s="12" t="str">
        <f>TEXT(VALUE(Table1[[#This Row],[Content.Column7]])*1000,"#,##0")</f>
        <v>12,283</v>
      </c>
      <c r="R15" s="12" t="str">
        <f>TEXT(VALUE(Table1[[#This Row],[Content.Column8]])*1000,"#,##0")</f>
        <v>5,354</v>
      </c>
      <c r="S15" s="12" t="str">
        <f>TEXT(VALUE(Table1[[#This Row],[Content.Column9]])*1000,"#,##0")</f>
        <v>17,637</v>
      </c>
      <c r="T15" s="12" t="str">
        <f>TEXT(VALUE(Table1[[#This Row],[Content.Column10]])*1000,"#,##0")</f>
        <v>17,796</v>
      </c>
      <c r="U15" s="13" t="str">
        <f>TEXT(VALUE(Table1[[#This Row],[Content.Column11]])*1000,"#,##0")</f>
        <v>48,409</v>
      </c>
      <c r="V15" s="13" t="str">
        <f>TEXT(VALUE(Table1[[#This Row],[Content.Column12]])*1000,"#,##0")</f>
        <v>19,609</v>
      </c>
      <c r="W15" s="13" t="str">
        <f>TEXT(VALUE(Table1[[#This Row],[Content.Column13]])*1000,"#,##0")</f>
        <v>68,018</v>
      </c>
      <c r="X15" s="13" t="str">
        <f>TEXT(VALUE(Table1[[#This Row],[Content.Column14]])*1000,"#,##0")</f>
        <v>70,748</v>
      </c>
      <c r="Y15" s="14" t="str">
        <f>TEXT(VALUE(Table1[[#This Row],[Content.Column3]])*1000,"#,##0")</f>
        <v>60,692</v>
      </c>
      <c r="Z15" s="14" t="str">
        <f>TEXT(VALUE(Table1[[#This Row],[Content.Column4]])*1000,"#,##0")</f>
        <v>24,963</v>
      </c>
      <c r="AA15" s="14" t="str">
        <f>TEXT(VALUE(Table1[[#This Row],[Content.Column5]])*1000,"#,##0")</f>
        <v>85,655</v>
      </c>
      <c r="AB15" s="14" t="str">
        <f>TEXT(VALUE(Table1[[#This Row],[Content.Column6]])*1000,"#,##0")</f>
        <v>88,544</v>
      </c>
    </row>
    <row r="16" spans="1:28" x14ac:dyDescent="0.3">
      <c r="A16" t="s">
        <v>50</v>
      </c>
      <c r="B16" t="s">
        <v>51</v>
      </c>
      <c r="C16" s="6">
        <v>86.808000000000007</v>
      </c>
      <c r="D16" s="1">
        <v>31.254999999999999</v>
      </c>
      <c r="E16" s="1">
        <v>118.063</v>
      </c>
      <c r="F16" s="1">
        <v>120.538</v>
      </c>
      <c r="G16" s="2">
        <v>23.614999999999998</v>
      </c>
      <c r="H16" s="2">
        <v>4.3520000000000003</v>
      </c>
      <c r="I16" s="2">
        <v>27.966999999999999</v>
      </c>
      <c r="J16" s="2">
        <v>28.137</v>
      </c>
      <c r="K16" s="3">
        <v>63.192999999999998</v>
      </c>
      <c r="L16" s="3">
        <v>26.902999999999999</v>
      </c>
      <c r="M16" s="3">
        <v>90.096000000000004</v>
      </c>
      <c r="N16" s="3">
        <v>92.400999999999996</v>
      </c>
      <c r="O16">
        <v>2009</v>
      </c>
      <c r="Q16" s="12" t="str">
        <f>TEXT(VALUE(Table1[[#This Row],[Content.Column7]])*1000,"#,##0")</f>
        <v>23,615</v>
      </c>
      <c r="R16" s="12" t="str">
        <f>TEXT(VALUE(Table1[[#This Row],[Content.Column8]])*1000,"#,##0")</f>
        <v>4,352</v>
      </c>
      <c r="S16" s="12" t="str">
        <f>TEXT(VALUE(Table1[[#This Row],[Content.Column9]])*1000,"#,##0")</f>
        <v>27,967</v>
      </c>
      <c r="T16" s="12" t="str">
        <f>TEXT(VALUE(Table1[[#This Row],[Content.Column10]])*1000,"#,##0")</f>
        <v>28,137</v>
      </c>
      <c r="U16" s="13" t="str">
        <f>TEXT(VALUE(Table1[[#This Row],[Content.Column11]])*1000,"#,##0")</f>
        <v>63,193</v>
      </c>
      <c r="V16" s="13" t="str">
        <f>TEXT(VALUE(Table1[[#This Row],[Content.Column12]])*1000,"#,##0")</f>
        <v>26,903</v>
      </c>
      <c r="W16" s="13" t="str">
        <f>TEXT(VALUE(Table1[[#This Row],[Content.Column13]])*1000,"#,##0")</f>
        <v>90,096</v>
      </c>
      <c r="X16" s="13" t="str">
        <f>TEXT(VALUE(Table1[[#This Row],[Content.Column14]])*1000,"#,##0")</f>
        <v>92,401</v>
      </c>
      <c r="Y16" s="14" t="str">
        <f>TEXT(VALUE(Table1[[#This Row],[Content.Column3]])*1000,"#,##0")</f>
        <v>86,808</v>
      </c>
      <c r="Z16" s="14" t="str">
        <f>TEXT(VALUE(Table1[[#This Row],[Content.Column4]])*1000,"#,##0")</f>
        <v>31,255</v>
      </c>
      <c r="AA16" s="14" t="str">
        <f>TEXT(VALUE(Table1[[#This Row],[Content.Column5]])*1000,"#,##0")</f>
        <v>118,063</v>
      </c>
      <c r="AB16" s="14" t="str">
        <f>TEXT(VALUE(Table1[[#This Row],[Content.Column6]])*1000,"#,##0")</f>
        <v>120,538</v>
      </c>
    </row>
    <row r="17" spans="1:28" x14ac:dyDescent="0.3">
      <c r="A17" t="s">
        <v>52</v>
      </c>
      <c r="B17" t="s">
        <v>53</v>
      </c>
      <c r="C17" s="6">
        <v>37.793999999999997</v>
      </c>
      <c r="D17" s="1">
        <v>21.94</v>
      </c>
      <c r="E17" s="1">
        <v>59.734000000000002</v>
      </c>
      <c r="F17" s="1">
        <v>62.393000000000001</v>
      </c>
      <c r="G17" s="2">
        <v>8.0920000000000005</v>
      </c>
      <c r="H17" s="2">
        <v>6.8440000000000003</v>
      </c>
      <c r="I17" s="2">
        <v>14.936</v>
      </c>
      <c r="J17" s="2">
        <v>15.257999999999999</v>
      </c>
      <c r="K17" s="3">
        <v>29.702000000000002</v>
      </c>
      <c r="L17" s="3">
        <v>15.096</v>
      </c>
      <c r="M17" s="3">
        <v>44.798000000000002</v>
      </c>
      <c r="N17" s="3">
        <v>47.134999999999998</v>
      </c>
      <c r="O17">
        <v>2009</v>
      </c>
      <c r="Q17" s="12" t="str">
        <f>TEXT(VALUE(Table1[[#This Row],[Content.Column7]])*1000,"#,##0")</f>
        <v>8,092</v>
      </c>
      <c r="R17" s="12" t="str">
        <f>TEXT(VALUE(Table1[[#This Row],[Content.Column8]])*1000,"#,##0")</f>
        <v>6,844</v>
      </c>
      <c r="S17" s="12" t="str">
        <f>TEXT(VALUE(Table1[[#This Row],[Content.Column9]])*1000,"#,##0")</f>
        <v>14,936</v>
      </c>
      <c r="T17" s="12" t="str">
        <f>TEXT(VALUE(Table1[[#This Row],[Content.Column10]])*1000,"#,##0")</f>
        <v>15,258</v>
      </c>
      <c r="U17" s="13" t="str">
        <f>TEXT(VALUE(Table1[[#This Row],[Content.Column11]])*1000,"#,##0")</f>
        <v>29,702</v>
      </c>
      <c r="V17" s="13" t="str">
        <f>TEXT(VALUE(Table1[[#This Row],[Content.Column12]])*1000,"#,##0")</f>
        <v>15,096</v>
      </c>
      <c r="W17" s="13" t="str">
        <f>TEXT(VALUE(Table1[[#This Row],[Content.Column13]])*1000,"#,##0")</f>
        <v>44,798</v>
      </c>
      <c r="X17" s="13" t="str">
        <f>TEXT(VALUE(Table1[[#This Row],[Content.Column14]])*1000,"#,##0")</f>
        <v>47,135</v>
      </c>
      <c r="Y17" s="14" t="str">
        <f>TEXT(VALUE(Table1[[#This Row],[Content.Column3]])*1000,"#,##0")</f>
        <v>37,794</v>
      </c>
      <c r="Z17" s="14" t="str">
        <f>TEXT(VALUE(Table1[[#This Row],[Content.Column4]])*1000,"#,##0")</f>
        <v>21,940</v>
      </c>
      <c r="AA17" s="14" t="str">
        <f>TEXT(VALUE(Table1[[#This Row],[Content.Column5]])*1000,"#,##0")</f>
        <v>59,734</v>
      </c>
      <c r="AB17" s="14" t="str">
        <f>TEXT(VALUE(Table1[[#This Row],[Content.Column6]])*1000,"#,##0")</f>
        <v>62,393</v>
      </c>
    </row>
    <row r="18" spans="1:28" x14ac:dyDescent="0.3">
      <c r="A18" t="s">
        <v>54</v>
      </c>
      <c r="B18" t="s">
        <v>55</v>
      </c>
      <c r="C18" s="6">
        <v>44.911000000000001</v>
      </c>
      <c r="D18" s="1">
        <v>19.664999999999999</v>
      </c>
      <c r="E18" s="1">
        <v>64.575000000000003</v>
      </c>
      <c r="F18" s="1">
        <v>67.301000000000002</v>
      </c>
      <c r="G18" s="2">
        <v>8.0310000000000006</v>
      </c>
      <c r="H18" s="2">
        <v>4.0309999999999997</v>
      </c>
      <c r="I18" s="2">
        <v>12.061999999999999</v>
      </c>
      <c r="J18" s="2">
        <v>12.077</v>
      </c>
      <c r="K18" s="3">
        <v>36.880000000000003</v>
      </c>
      <c r="L18" s="3">
        <v>15.632999999999999</v>
      </c>
      <c r="M18" s="3">
        <v>52.512999999999998</v>
      </c>
      <c r="N18" s="3">
        <v>55.225000000000001</v>
      </c>
      <c r="O18">
        <v>2009</v>
      </c>
      <c r="Q18" s="12" t="str">
        <f>TEXT(VALUE(Table1[[#This Row],[Content.Column7]])*1000,"#,##0")</f>
        <v>8,031</v>
      </c>
      <c r="R18" s="12" t="str">
        <f>TEXT(VALUE(Table1[[#This Row],[Content.Column8]])*1000,"#,##0")</f>
        <v>4,031</v>
      </c>
      <c r="S18" s="12" t="str">
        <f>TEXT(VALUE(Table1[[#This Row],[Content.Column9]])*1000,"#,##0")</f>
        <v>12,062</v>
      </c>
      <c r="T18" s="12" t="str">
        <f>TEXT(VALUE(Table1[[#This Row],[Content.Column10]])*1000,"#,##0")</f>
        <v>12,077</v>
      </c>
      <c r="U18" s="13" t="str">
        <f>TEXT(VALUE(Table1[[#This Row],[Content.Column11]])*1000,"#,##0")</f>
        <v>36,880</v>
      </c>
      <c r="V18" s="13" t="str">
        <f>TEXT(VALUE(Table1[[#This Row],[Content.Column12]])*1000,"#,##0")</f>
        <v>15,633</v>
      </c>
      <c r="W18" s="13" t="str">
        <f>TEXT(VALUE(Table1[[#This Row],[Content.Column13]])*1000,"#,##0")</f>
        <v>52,513</v>
      </c>
      <c r="X18" s="13" t="str">
        <f>TEXT(VALUE(Table1[[#This Row],[Content.Column14]])*1000,"#,##0")</f>
        <v>55,225</v>
      </c>
      <c r="Y18" s="14" t="str">
        <f>TEXT(VALUE(Table1[[#This Row],[Content.Column3]])*1000,"#,##0")</f>
        <v>44,911</v>
      </c>
      <c r="Z18" s="14" t="str">
        <f>TEXT(VALUE(Table1[[#This Row],[Content.Column4]])*1000,"#,##0")</f>
        <v>19,665</v>
      </c>
      <c r="AA18" s="14" t="str">
        <f>TEXT(VALUE(Table1[[#This Row],[Content.Column5]])*1000,"#,##0")</f>
        <v>64,575</v>
      </c>
      <c r="AB18" s="14" t="str">
        <f>TEXT(VALUE(Table1[[#This Row],[Content.Column6]])*1000,"#,##0")</f>
        <v>67,301</v>
      </c>
    </row>
    <row r="19" spans="1:28" x14ac:dyDescent="0.3">
      <c r="A19" t="s">
        <v>56</v>
      </c>
      <c r="B19" t="s">
        <v>57</v>
      </c>
      <c r="C19" s="6">
        <v>46.536000000000001</v>
      </c>
      <c r="D19" s="1">
        <v>25.024999999999999</v>
      </c>
      <c r="E19" s="1">
        <v>71.561000000000007</v>
      </c>
      <c r="F19" s="1">
        <v>74.156000000000006</v>
      </c>
      <c r="G19" s="2">
        <v>10.487</v>
      </c>
      <c r="H19" s="2">
        <v>6.0369999999999999</v>
      </c>
      <c r="I19" s="2">
        <v>16.524000000000001</v>
      </c>
      <c r="J19" s="2">
        <v>16.532</v>
      </c>
      <c r="K19" s="3">
        <v>36.048000000000002</v>
      </c>
      <c r="L19" s="3">
        <v>18.988</v>
      </c>
      <c r="M19" s="3">
        <v>55.036000000000001</v>
      </c>
      <c r="N19" s="3">
        <v>57.624000000000002</v>
      </c>
      <c r="O19">
        <v>2009</v>
      </c>
      <c r="Q19" s="12" t="str">
        <f>TEXT(VALUE(Table1[[#This Row],[Content.Column7]])*1000,"#,##0")</f>
        <v>10,487</v>
      </c>
      <c r="R19" s="12" t="str">
        <f>TEXT(VALUE(Table1[[#This Row],[Content.Column8]])*1000,"#,##0")</f>
        <v>6,037</v>
      </c>
      <c r="S19" s="12" t="str">
        <f>TEXT(VALUE(Table1[[#This Row],[Content.Column9]])*1000,"#,##0")</f>
        <v>16,524</v>
      </c>
      <c r="T19" s="12" t="str">
        <f>TEXT(VALUE(Table1[[#This Row],[Content.Column10]])*1000,"#,##0")</f>
        <v>16,532</v>
      </c>
      <c r="U19" s="13" t="str">
        <f>TEXT(VALUE(Table1[[#This Row],[Content.Column11]])*1000,"#,##0")</f>
        <v>36,048</v>
      </c>
      <c r="V19" s="13" t="str">
        <f>TEXT(VALUE(Table1[[#This Row],[Content.Column12]])*1000,"#,##0")</f>
        <v>18,988</v>
      </c>
      <c r="W19" s="13" t="str">
        <f>TEXT(VALUE(Table1[[#This Row],[Content.Column13]])*1000,"#,##0")</f>
        <v>55,036</v>
      </c>
      <c r="X19" s="13" t="str">
        <f>TEXT(VALUE(Table1[[#This Row],[Content.Column14]])*1000,"#,##0")</f>
        <v>57,624</v>
      </c>
      <c r="Y19" s="14" t="str">
        <f>TEXT(VALUE(Table1[[#This Row],[Content.Column3]])*1000,"#,##0")</f>
        <v>46,536</v>
      </c>
      <c r="Z19" s="14" t="str">
        <f>TEXT(VALUE(Table1[[#This Row],[Content.Column4]])*1000,"#,##0")</f>
        <v>25,025</v>
      </c>
      <c r="AA19" s="14" t="str">
        <f>TEXT(VALUE(Table1[[#This Row],[Content.Column5]])*1000,"#,##0")</f>
        <v>71,561</v>
      </c>
      <c r="AB19" s="14" t="str">
        <f>TEXT(VALUE(Table1[[#This Row],[Content.Column6]])*1000,"#,##0")</f>
        <v>74,156</v>
      </c>
    </row>
    <row r="20" spans="1:28" x14ac:dyDescent="0.3">
      <c r="A20" t="s">
        <v>58</v>
      </c>
      <c r="B20" t="s">
        <v>59</v>
      </c>
      <c r="C20" s="6">
        <v>139.36600000000001</v>
      </c>
      <c r="D20" s="1">
        <v>44.328000000000003</v>
      </c>
      <c r="E20" s="1">
        <v>183.69300000000001</v>
      </c>
      <c r="F20" s="1">
        <v>186.54499999999999</v>
      </c>
      <c r="G20" s="2">
        <v>15.401999999999999</v>
      </c>
      <c r="H20" s="2">
        <v>5.3789999999999996</v>
      </c>
      <c r="I20" s="2">
        <v>20.780999999999999</v>
      </c>
      <c r="J20" s="2">
        <v>20.815000000000001</v>
      </c>
      <c r="K20" s="3">
        <v>123.964</v>
      </c>
      <c r="L20" s="3">
        <v>38.948999999999998</v>
      </c>
      <c r="M20" s="3">
        <v>162.91200000000001</v>
      </c>
      <c r="N20" s="3">
        <v>165.73</v>
      </c>
      <c r="O20">
        <v>2009</v>
      </c>
      <c r="Q20" s="12" t="str">
        <f>TEXT(VALUE(Table1[[#This Row],[Content.Column7]])*1000,"#,##0")</f>
        <v>15,402</v>
      </c>
      <c r="R20" s="12" t="str">
        <f>TEXT(VALUE(Table1[[#This Row],[Content.Column8]])*1000,"#,##0")</f>
        <v>5,379</v>
      </c>
      <c r="S20" s="12" t="str">
        <f>TEXT(VALUE(Table1[[#This Row],[Content.Column9]])*1000,"#,##0")</f>
        <v>20,781</v>
      </c>
      <c r="T20" s="12" t="str">
        <f>TEXT(VALUE(Table1[[#This Row],[Content.Column10]])*1000,"#,##0")</f>
        <v>20,815</v>
      </c>
      <c r="U20" s="13" t="str">
        <f>TEXT(VALUE(Table1[[#This Row],[Content.Column11]])*1000,"#,##0")</f>
        <v>123,964</v>
      </c>
      <c r="V20" s="13" t="str">
        <f>TEXT(VALUE(Table1[[#This Row],[Content.Column12]])*1000,"#,##0")</f>
        <v>38,949</v>
      </c>
      <c r="W20" s="13" t="str">
        <f>TEXT(VALUE(Table1[[#This Row],[Content.Column13]])*1000,"#,##0")</f>
        <v>162,912</v>
      </c>
      <c r="X20" s="13" t="str">
        <f>TEXT(VALUE(Table1[[#This Row],[Content.Column14]])*1000,"#,##0")</f>
        <v>165,730</v>
      </c>
      <c r="Y20" s="14" t="str">
        <f>TEXT(VALUE(Table1[[#This Row],[Content.Column3]])*1000,"#,##0")</f>
        <v>139,366</v>
      </c>
      <c r="Z20" s="14" t="str">
        <f>TEXT(VALUE(Table1[[#This Row],[Content.Column4]])*1000,"#,##0")</f>
        <v>44,328</v>
      </c>
      <c r="AA20" s="14" t="str">
        <f>TEXT(VALUE(Table1[[#This Row],[Content.Column5]])*1000,"#,##0")</f>
        <v>183,693</v>
      </c>
      <c r="AB20" s="14" t="str">
        <f>TEXT(VALUE(Table1[[#This Row],[Content.Column6]])*1000,"#,##0")</f>
        <v>186,545</v>
      </c>
    </row>
    <row r="21" spans="1:28" x14ac:dyDescent="0.3">
      <c r="A21" t="s">
        <v>60</v>
      </c>
      <c r="B21" t="s">
        <v>61</v>
      </c>
      <c r="C21" s="6">
        <v>92.203000000000003</v>
      </c>
      <c r="D21" s="1">
        <v>30.05</v>
      </c>
      <c r="E21" s="1">
        <v>122.253</v>
      </c>
      <c r="F21" s="1">
        <v>124.76900000000001</v>
      </c>
      <c r="G21" s="2">
        <v>12.39</v>
      </c>
      <c r="H21" s="2">
        <v>5.101</v>
      </c>
      <c r="I21" s="2">
        <v>17.491</v>
      </c>
      <c r="J21" s="2">
        <v>17.513000000000002</v>
      </c>
      <c r="K21" s="3">
        <v>79.813000000000002</v>
      </c>
      <c r="L21" s="3">
        <v>24.949000000000002</v>
      </c>
      <c r="M21" s="3">
        <v>104.76300000000001</v>
      </c>
      <c r="N21" s="3">
        <v>107.256</v>
      </c>
      <c r="O21">
        <v>2009</v>
      </c>
      <c r="Q21" s="12" t="str">
        <f>TEXT(VALUE(Table1[[#This Row],[Content.Column7]])*1000,"#,##0")</f>
        <v>12,390</v>
      </c>
      <c r="R21" s="12" t="str">
        <f>TEXT(VALUE(Table1[[#This Row],[Content.Column8]])*1000,"#,##0")</f>
        <v>5,101</v>
      </c>
      <c r="S21" s="12" t="str">
        <f>TEXT(VALUE(Table1[[#This Row],[Content.Column9]])*1000,"#,##0")</f>
        <v>17,491</v>
      </c>
      <c r="T21" s="12" t="str">
        <f>TEXT(VALUE(Table1[[#This Row],[Content.Column10]])*1000,"#,##0")</f>
        <v>17,513</v>
      </c>
      <c r="U21" s="13" t="str">
        <f>TEXT(VALUE(Table1[[#This Row],[Content.Column11]])*1000,"#,##0")</f>
        <v>79,813</v>
      </c>
      <c r="V21" s="13" t="str">
        <f>TEXT(VALUE(Table1[[#This Row],[Content.Column12]])*1000,"#,##0")</f>
        <v>24,949</v>
      </c>
      <c r="W21" s="13" t="str">
        <f>TEXT(VALUE(Table1[[#This Row],[Content.Column13]])*1000,"#,##0")</f>
        <v>104,763</v>
      </c>
      <c r="X21" s="13" t="str">
        <f>TEXT(VALUE(Table1[[#This Row],[Content.Column14]])*1000,"#,##0")</f>
        <v>107,256</v>
      </c>
      <c r="Y21" s="14" t="str">
        <f>TEXT(VALUE(Table1[[#This Row],[Content.Column3]])*1000,"#,##0")</f>
        <v>92,203</v>
      </c>
      <c r="Z21" s="14" t="str">
        <f>TEXT(VALUE(Table1[[#This Row],[Content.Column4]])*1000,"#,##0")</f>
        <v>30,050</v>
      </c>
      <c r="AA21" s="14" t="str">
        <f>TEXT(VALUE(Table1[[#This Row],[Content.Column5]])*1000,"#,##0")</f>
        <v>122,253</v>
      </c>
      <c r="AB21" s="14" t="str">
        <f>TEXT(VALUE(Table1[[#This Row],[Content.Column6]])*1000,"#,##0")</f>
        <v>124,769</v>
      </c>
    </row>
    <row r="22" spans="1:28" x14ac:dyDescent="0.3">
      <c r="A22" t="s">
        <v>62</v>
      </c>
      <c r="B22" t="s">
        <v>63</v>
      </c>
      <c r="C22" s="6">
        <v>142.12799999999999</v>
      </c>
      <c r="D22" s="1">
        <v>40.329000000000001</v>
      </c>
      <c r="E22" s="1">
        <v>182.458</v>
      </c>
      <c r="F22" s="1">
        <v>188.154</v>
      </c>
      <c r="G22" s="2">
        <v>26.574000000000002</v>
      </c>
      <c r="H22" s="2">
        <v>7.1840000000000002</v>
      </c>
      <c r="I22" s="2">
        <v>33.758000000000003</v>
      </c>
      <c r="J22" s="2">
        <v>33.787999999999997</v>
      </c>
      <c r="K22" s="3">
        <v>115.554</v>
      </c>
      <c r="L22" s="3">
        <v>33.146000000000001</v>
      </c>
      <c r="M22" s="3">
        <v>148.69999999999999</v>
      </c>
      <c r="N22" s="3">
        <v>154.36600000000001</v>
      </c>
      <c r="O22">
        <v>2009</v>
      </c>
      <c r="Q22" s="12" t="str">
        <f>TEXT(VALUE(Table1[[#This Row],[Content.Column7]])*1000,"#,##0")</f>
        <v>26,574</v>
      </c>
      <c r="R22" s="12" t="str">
        <f>TEXT(VALUE(Table1[[#This Row],[Content.Column8]])*1000,"#,##0")</f>
        <v>7,184</v>
      </c>
      <c r="S22" s="12" t="str">
        <f>TEXT(VALUE(Table1[[#This Row],[Content.Column9]])*1000,"#,##0")</f>
        <v>33,758</v>
      </c>
      <c r="T22" s="12" t="str">
        <f>TEXT(VALUE(Table1[[#This Row],[Content.Column10]])*1000,"#,##0")</f>
        <v>33,788</v>
      </c>
      <c r="U22" s="13" t="str">
        <f>TEXT(VALUE(Table1[[#This Row],[Content.Column11]])*1000,"#,##0")</f>
        <v>115,554</v>
      </c>
      <c r="V22" s="13" t="str">
        <f>TEXT(VALUE(Table1[[#This Row],[Content.Column12]])*1000,"#,##0")</f>
        <v>33,146</v>
      </c>
      <c r="W22" s="13" t="str">
        <f>TEXT(VALUE(Table1[[#This Row],[Content.Column13]])*1000,"#,##0")</f>
        <v>148,700</v>
      </c>
      <c r="X22" s="13" t="str">
        <f>TEXT(VALUE(Table1[[#This Row],[Content.Column14]])*1000,"#,##0")</f>
        <v>154,366</v>
      </c>
      <c r="Y22" s="14" t="str">
        <f>TEXT(VALUE(Table1[[#This Row],[Content.Column3]])*1000,"#,##0")</f>
        <v>142,128</v>
      </c>
      <c r="Z22" s="14" t="str">
        <f>TEXT(VALUE(Table1[[#This Row],[Content.Column4]])*1000,"#,##0")</f>
        <v>40,329</v>
      </c>
      <c r="AA22" s="14" t="str">
        <f>TEXT(VALUE(Table1[[#This Row],[Content.Column5]])*1000,"#,##0")</f>
        <v>182,458</v>
      </c>
      <c r="AB22" s="14" t="str">
        <f>TEXT(VALUE(Table1[[#This Row],[Content.Column6]])*1000,"#,##0")</f>
        <v>188,154</v>
      </c>
    </row>
    <row r="23" spans="1:28" x14ac:dyDescent="0.3">
      <c r="A23" t="s">
        <v>64</v>
      </c>
      <c r="B23" t="s">
        <v>65</v>
      </c>
      <c r="C23" s="6">
        <v>79.358999999999995</v>
      </c>
      <c r="D23" s="1">
        <v>31.279</v>
      </c>
      <c r="E23" s="1">
        <v>110.63800000000001</v>
      </c>
      <c r="F23" s="1">
        <v>113.566</v>
      </c>
      <c r="G23" s="2">
        <v>15.991</v>
      </c>
      <c r="H23" s="2">
        <v>5.3049999999999997</v>
      </c>
      <c r="I23" s="2">
        <v>21.297000000000001</v>
      </c>
      <c r="J23" s="2">
        <v>21.431999999999999</v>
      </c>
      <c r="K23" s="3">
        <v>63.368000000000002</v>
      </c>
      <c r="L23" s="3">
        <v>25.972999999999999</v>
      </c>
      <c r="M23" s="3">
        <v>89.340999999999994</v>
      </c>
      <c r="N23" s="3">
        <v>92.132999999999996</v>
      </c>
      <c r="O23">
        <v>2009</v>
      </c>
      <c r="Q23" s="12" t="str">
        <f>TEXT(VALUE(Table1[[#This Row],[Content.Column7]])*1000,"#,##0")</f>
        <v>15,991</v>
      </c>
      <c r="R23" s="12" t="str">
        <f>TEXT(VALUE(Table1[[#This Row],[Content.Column8]])*1000,"#,##0")</f>
        <v>5,305</v>
      </c>
      <c r="S23" s="12" t="str">
        <f>TEXT(VALUE(Table1[[#This Row],[Content.Column9]])*1000,"#,##0")</f>
        <v>21,297</v>
      </c>
      <c r="T23" s="12" t="str">
        <f>TEXT(VALUE(Table1[[#This Row],[Content.Column10]])*1000,"#,##0")</f>
        <v>21,432</v>
      </c>
      <c r="U23" s="13" t="str">
        <f>TEXT(VALUE(Table1[[#This Row],[Content.Column11]])*1000,"#,##0")</f>
        <v>63,368</v>
      </c>
      <c r="V23" s="13" t="str">
        <f>TEXT(VALUE(Table1[[#This Row],[Content.Column12]])*1000,"#,##0")</f>
        <v>25,973</v>
      </c>
      <c r="W23" s="13" t="str">
        <f>TEXT(VALUE(Table1[[#This Row],[Content.Column13]])*1000,"#,##0")</f>
        <v>89,341</v>
      </c>
      <c r="X23" s="13" t="str">
        <f>TEXT(VALUE(Table1[[#This Row],[Content.Column14]])*1000,"#,##0")</f>
        <v>92,133</v>
      </c>
      <c r="Y23" s="14" t="str">
        <f>TEXT(VALUE(Table1[[#This Row],[Content.Column3]])*1000,"#,##0")</f>
        <v>79,359</v>
      </c>
      <c r="Z23" s="14" t="str">
        <f>TEXT(VALUE(Table1[[#This Row],[Content.Column4]])*1000,"#,##0")</f>
        <v>31,279</v>
      </c>
      <c r="AA23" s="14" t="str">
        <f>TEXT(VALUE(Table1[[#This Row],[Content.Column5]])*1000,"#,##0")</f>
        <v>110,638</v>
      </c>
      <c r="AB23" s="14" t="str">
        <f>TEXT(VALUE(Table1[[#This Row],[Content.Column6]])*1000,"#,##0")</f>
        <v>113,566</v>
      </c>
    </row>
    <row r="24" spans="1:28" x14ac:dyDescent="0.3">
      <c r="A24" t="s">
        <v>66</v>
      </c>
      <c r="B24" t="s">
        <v>67</v>
      </c>
      <c r="C24" s="6">
        <v>49.646000000000001</v>
      </c>
      <c r="D24" s="1">
        <v>25.998999999999999</v>
      </c>
      <c r="E24" s="1">
        <v>75.644999999999996</v>
      </c>
      <c r="F24" s="1">
        <v>77.36</v>
      </c>
      <c r="G24" s="2">
        <v>8.7710000000000008</v>
      </c>
      <c r="H24" s="2">
        <v>6.391</v>
      </c>
      <c r="I24" s="2">
        <v>15.162000000000001</v>
      </c>
      <c r="J24" s="2">
        <v>15.167</v>
      </c>
      <c r="K24" s="3">
        <v>40.875</v>
      </c>
      <c r="L24" s="3">
        <v>19.608000000000001</v>
      </c>
      <c r="M24" s="3">
        <v>60.482999999999997</v>
      </c>
      <c r="N24" s="3">
        <v>62.192999999999998</v>
      </c>
      <c r="O24">
        <v>2009</v>
      </c>
      <c r="Q24" s="12" t="str">
        <f>TEXT(VALUE(Table1[[#This Row],[Content.Column7]])*1000,"#,##0")</f>
        <v>8,771</v>
      </c>
      <c r="R24" s="12" t="str">
        <f>TEXT(VALUE(Table1[[#This Row],[Content.Column8]])*1000,"#,##0")</f>
        <v>6,391</v>
      </c>
      <c r="S24" s="12" t="str">
        <f>TEXT(VALUE(Table1[[#This Row],[Content.Column9]])*1000,"#,##0")</f>
        <v>15,162</v>
      </c>
      <c r="T24" s="12" t="str">
        <f>TEXT(VALUE(Table1[[#This Row],[Content.Column10]])*1000,"#,##0")</f>
        <v>15,167</v>
      </c>
      <c r="U24" s="13" t="str">
        <f>TEXT(VALUE(Table1[[#This Row],[Content.Column11]])*1000,"#,##0")</f>
        <v>40,875</v>
      </c>
      <c r="V24" s="13" t="str">
        <f>TEXT(VALUE(Table1[[#This Row],[Content.Column12]])*1000,"#,##0")</f>
        <v>19,608</v>
      </c>
      <c r="W24" s="13" t="str">
        <f>TEXT(VALUE(Table1[[#This Row],[Content.Column13]])*1000,"#,##0")</f>
        <v>60,483</v>
      </c>
      <c r="X24" s="13" t="str">
        <f>TEXT(VALUE(Table1[[#This Row],[Content.Column14]])*1000,"#,##0")</f>
        <v>62,193</v>
      </c>
      <c r="Y24" s="14" t="str">
        <f>TEXT(VALUE(Table1[[#This Row],[Content.Column3]])*1000,"#,##0")</f>
        <v>49,646</v>
      </c>
      <c r="Z24" s="14" t="str">
        <f>TEXT(VALUE(Table1[[#This Row],[Content.Column4]])*1000,"#,##0")</f>
        <v>25,999</v>
      </c>
      <c r="AA24" s="14" t="str">
        <f>TEXT(VALUE(Table1[[#This Row],[Content.Column5]])*1000,"#,##0")</f>
        <v>75,645</v>
      </c>
      <c r="AB24" s="14" t="str">
        <f>TEXT(VALUE(Table1[[#This Row],[Content.Column6]])*1000,"#,##0")</f>
        <v>77,360</v>
      </c>
    </row>
    <row r="25" spans="1:28" x14ac:dyDescent="0.3">
      <c r="A25" t="s">
        <v>68</v>
      </c>
      <c r="B25" t="s">
        <v>69</v>
      </c>
      <c r="C25" s="6">
        <v>91.79</v>
      </c>
      <c r="D25" s="1">
        <v>34.613999999999997</v>
      </c>
      <c r="E25" s="1">
        <v>126.404</v>
      </c>
      <c r="F25" s="1">
        <v>129.93700000000001</v>
      </c>
      <c r="G25" s="2">
        <v>27.844999999999999</v>
      </c>
      <c r="H25" s="2">
        <v>6.806</v>
      </c>
      <c r="I25" s="2">
        <v>34.651000000000003</v>
      </c>
      <c r="J25" s="2">
        <v>34.747</v>
      </c>
      <c r="K25" s="3">
        <v>63.945</v>
      </c>
      <c r="L25" s="3">
        <v>27.808</v>
      </c>
      <c r="M25" s="3">
        <v>91.753</v>
      </c>
      <c r="N25" s="3">
        <v>95.191000000000003</v>
      </c>
      <c r="O25">
        <v>2009</v>
      </c>
      <c r="Q25" s="12" t="str">
        <f>TEXT(VALUE(Table1[[#This Row],[Content.Column7]])*1000,"#,##0")</f>
        <v>27,845</v>
      </c>
      <c r="R25" s="12" t="str">
        <f>TEXT(VALUE(Table1[[#This Row],[Content.Column8]])*1000,"#,##0")</f>
        <v>6,806</v>
      </c>
      <c r="S25" s="12" t="str">
        <f>TEXT(VALUE(Table1[[#This Row],[Content.Column9]])*1000,"#,##0")</f>
        <v>34,651</v>
      </c>
      <c r="T25" s="12" t="str">
        <f>TEXT(VALUE(Table1[[#This Row],[Content.Column10]])*1000,"#,##0")</f>
        <v>34,747</v>
      </c>
      <c r="U25" s="13" t="str">
        <f>TEXT(VALUE(Table1[[#This Row],[Content.Column11]])*1000,"#,##0")</f>
        <v>63,945</v>
      </c>
      <c r="V25" s="13" t="str">
        <f>TEXT(VALUE(Table1[[#This Row],[Content.Column12]])*1000,"#,##0")</f>
        <v>27,808</v>
      </c>
      <c r="W25" s="13" t="str">
        <f>TEXT(VALUE(Table1[[#This Row],[Content.Column13]])*1000,"#,##0")</f>
        <v>91,753</v>
      </c>
      <c r="X25" s="13" t="str">
        <f>TEXT(VALUE(Table1[[#This Row],[Content.Column14]])*1000,"#,##0")</f>
        <v>95,191</v>
      </c>
      <c r="Y25" s="14" t="str">
        <f>TEXT(VALUE(Table1[[#This Row],[Content.Column3]])*1000,"#,##0")</f>
        <v>91,790</v>
      </c>
      <c r="Z25" s="14" t="str">
        <f>TEXT(VALUE(Table1[[#This Row],[Content.Column4]])*1000,"#,##0")</f>
        <v>34,614</v>
      </c>
      <c r="AA25" s="14" t="str">
        <f>TEXT(VALUE(Table1[[#This Row],[Content.Column5]])*1000,"#,##0")</f>
        <v>126,404</v>
      </c>
      <c r="AB25" s="14" t="str">
        <f>TEXT(VALUE(Table1[[#This Row],[Content.Column6]])*1000,"#,##0")</f>
        <v>129,937</v>
      </c>
    </row>
    <row r="26" spans="1:28" x14ac:dyDescent="0.3">
      <c r="A26" t="s">
        <v>70</v>
      </c>
      <c r="B26" t="s">
        <v>71</v>
      </c>
      <c r="C26" s="6">
        <v>36.844000000000001</v>
      </c>
      <c r="D26" s="1">
        <v>21.635999999999999</v>
      </c>
      <c r="E26" s="1">
        <v>58.48</v>
      </c>
      <c r="F26" s="1">
        <v>60.652999999999999</v>
      </c>
      <c r="G26" s="2">
        <v>9.9339999999999993</v>
      </c>
      <c r="H26" s="2">
        <v>7.7930000000000001</v>
      </c>
      <c r="I26" s="2">
        <v>17.727</v>
      </c>
      <c r="J26" s="2">
        <v>17.800999999999998</v>
      </c>
      <c r="K26" s="3">
        <v>26.91</v>
      </c>
      <c r="L26" s="3">
        <v>13.843</v>
      </c>
      <c r="M26" s="3">
        <v>40.753</v>
      </c>
      <c r="N26" s="3">
        <v>42.851999999999997</v>
      </c>
      <c r="O26">
        <v>2009</v>
      </c>
      <c r="Q26" s="12" t="str">
        <f>TEXT(VALUE(Table1[[#This Row],[Content.Column7]])*1000,"#,##0")</f>
        <v>9,934</v>
      </c>
      <c r="R26" s="12" t="str">
        <f>TEXT(VALUE(Table1[[#This Row],[Content.Column8]])*1000,"#,##0")</f>
        <v>7,793</v>
      </c>
      <c r="S26" s="12" t="str">
        <f>TEXT(VALUE(Table1[[#This Row],[Content.Column9]])*1000,"#,##0")</f>
        <v>17,727</v>
      </c>
      <c r="T26" s="12" t="str">
        <f>TEXT(VALUE(Table1[[#This Row],[Content.Column10]])*1000,"#,##0")</f>
        <v>17,801</v>
      </c>
      <c r="U26" s="13" t="str">
        <f>TEXT(VALUE(Table1[[#This Row],[Content.Column11]])*1000,"#,##0")</f>
        <v>26,910</v>
      </c>
      <c r="V26" s="13" t="str">
        <f>TEXT(VALUE(Table1[[#This Row],[Content.Column12]])*1000,"#,##0")</f>
        <v>13,843</v>
      </c>
      <c r="W26" s="13" t="str">
        <f>TEXT(VALUE(Table1[[#This Row],[Content.Column13]])*1000,"#,##0")</f>
        <v>40,753</v>
      </c>
      <c r="X26" s="13" t="str">
        <f>TEXT(VALUE(Table1[[#This Row],[Content.Column14]])*1000,"#,##0")</f>
        <v>42,852</v>
      </c>
      <c r="Y26" s="14" t="str">
        <f>TEXT(VALUE(Table1[[#This Row],[Content.Column3]])*1000,"#,##0")</f>
        <v>36,844</v>
      </c>
      <c r="Z26" s="14" t="str">
        <f>TEXT(VALUE(Table1[[#This Row],[Content.Column4]])*1000,"#,##0")</f>
        <v>21,636</v>
      </c>
      <c r="AA26" s="14" t="str">
        <f>TEXT(VALUE(Table1[[#This Row],[Content.Column5]])*1000,"#,##0")</f>
        <v>58,480</v>
      </c>
      <c r="AB26" s="14" t="str">
        <f>TEXT(VALUE(Table1[[#This Row],[Content.Column6]])*1000,"#,##0")</f>
        <v>60,653</v>
      </c>
    </row>
    <row r="27" spans="1:28" x14ac:dyDescent="0.3">
      <c r="A27" t="s">
        <v>72</v>
      </c>
      <c r="B27" t="s">
        <v>73</v>
      </c>
      <c r="C27" s="6">
        <v>45.180999999999997</v>
      </c>
      <c r="D27" s="1">
        <v>19.881</v>
      </c>
      <c r="E27" s="1">
        <v>65.061999999999998</v>
      </c>
      <c r="F27" s="1">
        <v>67.102999999999994</v>
      </c>
      <c r="G27" s="2">
        <v>6.6289999999999996</v>
      </c>
      <c r="H27" s="2">
        <v>3.6819999999999999</v>
      </c>
      <c r="I27" s="2">
        <v>10.311</v>
      </c>
      <c r="J27" s="2">
        <v>10.337999999999999</v>
      </c>
      <c r="K27" s="3">
        <v>38.552999999999997</v>
      </c>
      <c r="L27" s="3">
        <v>16.199000000000002</v>
      </c>
      <c r="M27" s="3">
        <v>54.750999999999998</v>
      </c>
      <c r="N27" s="3">
        <v>56.765000000000001</v>
      </c>
      <c r="O27">
        <v>2009</v>
      </c>
      <c r="Q27" s="12" t="str">
        <f>TEXT(VALUE(Table1[[#This Row],[Content.Column7]])*1000,"#,##0")</f>
        <v>6,629</v>
      </c>
      <c r="R27" s="12" t="str">
        <f>TEXT(VALUE(Table1[[#This Row],[Content.Column8]])*1000,"#,##0")</f>
        <v>3,682</v>
      </c>
      <c r="S27" s="12" t="str">
        <f>TEXT(VALUE(Table1[[#This Row],[Content.Column9]])*1000,"#,##0")</f>
        <v>10,311</v>
      </c>
      <c r="T27" s="12" t="str">
        <f>TEXT(VALUE(Table1[[#This Row],[Content.Column10]])*1000,"#,##0")</f>
        <v>10,338</v>
      </c>
      <c r="U27" s="13" t="str">
        <f>TEXT(VALUE(Table1[[#This Row],[Content.Column11]])*1000,"#,##0")</f>
        <v>38,553</v>
      </c>
      <c r="V27" s="13" t="str">
        <f>TEXT(VALUE(Table1[[#This Row],[Content.Column12]])*1000,"#,##0")</f>
        <v>16,199</v>
      </c>
      <c r="W27" s="13" t="str">
        <f>TEXT(VALUE(Table1[[#This Row],[Content.Column13]])*1000,"#,##0")</f>
        <v>54,751</v>
      </c>
      <c r="X27" s="13" t="str">
        <f>TEXT(VALUE(Table1[[#This Row],[Content.Column14]])*1000,"#,##0")</f>
        <v>56,765</v>
      </c>
      <c r="Y27" s="14" t="str">
        <f>TEXT(VALUE(Table1[[#This Row],[Content.Column3]])*1000,"#,##0")</f>
        <v>45,181</v>
      </c>
      <c r="Z27" s="14" t="str">
        <f>TEXT(VALUE(Table1[[#This Row],[Content.Column4]])*1000,"#,##0")</f>
        <v>19,881</v>
      </c>
      <c r="AA27" s="14" t="str">
        <f>TEXT(VALUE(Table1[[#This Row],[Content.Column5]])*1000,"#,##0")</f>
        <v>65,062</v>
      </c>
      <c r="AB27" s="14" t="str">
        <f>TEXT(VALUE(Table1[[#This Row],[Content.Column6]])*1000,"#,##0")</f>
        <v>67,103</v>
      </c>
    </row>
    <row r="28" spans="1:28" x14ac:dyDescent="0.3">
      <c r="A28" t="s">
        <v>74</v>
      </c>
      <c r="B28" t="s">
        <v>75</v>
      </c>
      <c r="C28" s="6">
        <v>49.585000000000001</v>
      </c>
      <c r="D28" s="1">
        <v>22.97</v>
      </c>
      <c r="E28" s="1">
        <v>72.555999999999997</v>
      </c>
      <c r="F28" s="1">
        <v>74.73</v>
      </c>
      <c r="G28" s="2">
        <v>17.238</v>
      </c>
      <c r="H28" s="2">
        <v>6.8810000000000002</v>
      </c>
      <c r="I28" s="2">
        <v>24.119</v>
      </c>
      <c r="J28" s="2">
        <v>24.138000000000002</v>
      </c>
      <c r="K28" s="3">
        <v>32.347000000000001</v>
      </c>
      <c r="L28" s="3">
        <v>16.088999999999999</v>
      </c>
      <c r="M28" s="3">
        <v>48.436</v>
      </c>
      <c r="N28" s="3">
        <v>50.591999999999999</v>
      </c>
      <c r="O28">
        <v>2009</v>
      </c>
      <c r="Q28" s="12" t="str">
        <f>TEXT(VALUE(Table1[[#This Row],[Content.Column7]])*1000,"#,##0")</f>
        <v>17,238</v>
      </c>
      <c r="R28" s="12" t="str">
        <f>TEXT(VALUE(Table1[[#This Row],[Content.Column8]])*1000,"#,##0")</f>
        <v>6,881</v>
      </c>
      <c r="S28" s="12" t="str">
        <f>TEXT(VALUE(Table1[[#This Row],[Content.Column9]])*1000,"#,##0")</f>
        <v>24,119</v>
      </c>
      <c r="T28" s="12" t="str">
        <f>TEXT(VALUE(Table1[[#This Row],[Content.Column10]])*1000,"#,##0")</f>
        <v>24,138</v>
      </c>
      <c r="U28" s="13" t="str">
        <f>TEXT(VALUE(Table1[[#This Row],[Content.Column11]])*1000,"#,##0")</f>
        <v>32,347</v>
      </c>
      <c r="V28" s="13" t="str">
        <f>TEXT(VALUE(Table1[[#This Row],[Content.Column12]])*1000,"#,##0")</f>
        <v>16,089</v>
      </c>
      <c r="W28" s="13" t="str">
        <f>TEXT(VALUE(Table1[[#This Row],[Content.Column13]])*1000,"#,##0")</f>
        <v>48,436</v>
      </c>
      <c r="X28" s="13" t="str">
        <f>TEXT(VALUE(Table1[[#This Row],[Content.Column14]])*1000,"#,##0")</f>
        <v>50,592</v>
      </c>
      <c r="Y28" s="14" t="str">
        <f>TEXT(VALUE(Table1[[#This Row],[Content.Column3]])*1000,"#,##0")</f>
        <v>49,585</v>
      </c>
      <c r="Z28" s="14" t="str">
        <f>TEXT(VALUE(Table1[[#This Row],[Content.Column4]])*1000,"#,##0")</f>
        <v>22,970</v>
      </c>
      <c r="AA28" s="14" t="str">
        <f>TEXT(VALUE(Table1[[#This Row],[Content.Column5]])*1000,"#,##0")</f>
        <v>72,556</v>
      </c>
      <c r="AB28" s="14" t="str">
        <f>TEXT(VALUE(Table1[[#This Row],[Content.Column6]])*1000,"#,##0")</f>
        <v>74,730</v>
      </c>
    </row>
    <row r="29" spans="1:28" x14ac:dyDescent="0.3">
      <c r="A29" t="s">
        <v>76</v>
      </c>
      <c r="B29" t="s">
        <v>77</v>
      </c>
      <c r="C29" s="6">
        <v>41.723999999999997</v>
      </c>
      <c r="D29" s="1">
        <v>23.231000000000002</v>
      </c>
      <c r="E29" s="1">
        <v>64.954999999999998</v>
      </c>
      <c r="F29" s="1">
        <v>67.058999999999997</v>
      </c>
      <c r="G29" s="2">
        <v>10.94</v>
      </c>
      <c r="H29" s="2">
        <v>7.1429999999999998</v>
      </c>
      <c r="I29" s="2">
        <v>18.082999999999998</v>
      </c>
      <c r="J29" s="2">
        <v>18.096</v>
      </c>
      <c r="K29" s="3">
        <v>30.783999999999999</v>
      </c>
      <c r="L29" s="3">
        <v>16.088000000000001</v>
      </c>
      <c r="M29" s="3">
        <v>46.872999999999998</v>
      </c>
      <c r="N29" s="3">
        <v>48.962000000000003</v>
      </c>
      <c r="O29">
        <v>2009</v>
      </c>
      <c r="Q29" s="12" t="str">
        <f>TEXT(VALUE(Table1[[#This Row],[Content.Column7]])*1000,"#,##0")</f>
        <v>10,940</v>
      </c>
      <c r="R29" s="12" t="str">
        <f>TEXT(VALUE(Table1[[#This Row],[Content.Column8]])*1000,"#,##0")</f>
        <v>7,143</v>
      </c>
      <c r="S29" s="12" t="str">
        <f>TEXT(VALUE(Table1[[#This Row],[Content.Column9]])*1000,"#,##0")</f>
        <v>18,083</v>
      </c>
      <c r="T29" s="12" t="str">
        <f>TEXT(VALUE(Table1[[#This Row],[Content.Column10]])*1000,"#,##0")</f>
        <v>18,096</v>
      </c>
      <c r="U29" s="13" t="str">
        <f>TEXT(VALUE(Table1[[#This Row],[Content.Column11]])*1000,"#,##0")</f>
        <v>30,784</v>
      </c>
      <c r="V29" s="13" t="str">
        <f>TEXT(VALUE(Table1[[#This Row],[Content.Column12]])*1000,"#,##0")</f>
        <v>16,088</v>
      </c>
      <c r="W29" s="13" t="str">
        <f>TEXT(VALUE(Table1[[#This Row],[Content.Column13]])*1000,"#,##0")</f>
        <v>46,873</v>
      </c>
      <c r="X29" s="13" t="str">
        <f>TEXT(VALUE(Table1[[#This Row],[Content.Column14]])*1000,"#,##0")</f>
        <v>48,962</v>
      </c>
      <c r="Y29" s="14" t="str">
        <f>TEXT(VALUE(Table1[[#This Row],[Content.Column3]])*1000,"#,##0")</f>
        <v>41,724</v>
      </c>
      <c r="Z29" s="14" t="str">
        <f>TEXT(VALUE(Table1[[#This Row],[Content.Column4]])*1000,"#,##0")</f>
        <v>23,231</v>
      </c>
      <c r="AA29" s="14" t="str">
        <f>TEXT(VALUE(Table1[[#This Row],[Content.Column5]])*1000,"#,##0")</f>
        <v>64,955</v>
      </c>
      <c r="AB29" s="14" t="str">
        <f>TEXT(VALUE(Table1[[#This Row],[Content.Column6]])*1000,"#,##0")</f>
        <v>67,059</v>
      </c>
    </row>
    <row r="30" spans="1:28" x14ac:dyDescent="0.3">
      <c r="A30" t="s">
        <v>78</v>
      </c>
      <c r="B30" t="s">
        <v>79</v>
      </c>
      <c r="C30" s="6">
        <v>47.978999999999999</v>
      </c>
      <c r="D30" s="1">
        <v>20.411999999999999</v>
      </c>
      <c r="E30" s="1">
        <v>68.391000000000005</v>
      </c>
      <c r="F30" s="1">
        <v>71.231999999999999</v>
      </c>
      <c r="G30" s="2">
        <v>7.0830000000000002</v>
      </c>
      <c r="H30" s="2">
        <v>3.51</v>
      </c>
      <c r="I30" s="2">
        <v>10.593</v>
      </c>
      <c r="J30" s="2">
        <v>10.611000000000001</v>
      </c>
      <c r="K30" s="3">
        <v>40.896000000000001</v>
      </c>
      <c r="L30" s="3">
        <v>16.902000000000001</v>
      </c>
      <c r="M30" s="3">
        <v>57.798000000000002</v>
      </c>
      <c r="N30" s="3">
        <v>60.621000000000002</v>
      </c>
      <c r="O30">
        <v>2009</v>
      </c>
      <c r="Q30" s="12" t="str">
        <f>TEXT(VALUE(Table1[[#This Row],[Content.Column7]])*1000,"#,##0")</f>
        <v>7,083</v>
      </c>
      <c r="R30" s="12" t="str">
        <f>TEXT(VALUE(Table1[[#This Row],[Content.Column8]])*1000,"#,##0")</f>
        <v>3,510</v>
      </c>
      <c r="S30" s="12" t="str">
        <f>TEXT(VALUE(Table1[[#This Row],[Content.Column9]])*1000,"#,##0")</f>
        <v>10,593</v>
      </c>
      <c r="T30" s="12" t="str">
        <f>TEXT(VALUE(Table1[[#This Row],[Content.Column10]])*1000,"#,##0")</f>
        <v>10,611</v>
      </c>
      <c r="U30" s="13" t="str">
        <f>TEXT(VALUE(Table1[[#This Row],[Content.Column11]])*1000,"#,##0")</f>
        <v>40,896</v>
      </c>
      <c r="V30" s="13" t="str">
        <f>TEXT(VALUE(Table1[[#This Row],[Content.Column12]])*1000,"#,##0")</f>
        <v>16,902</v>
      </c>
      <c r="W30" s="13" t="str">
        <f>TEXT(VALUE(Table1[[#This Row],[Content.Column13]])*1000,"#,##0")</f>
        <v>57,798</v>
      </c>
      <c r="X30" s="13" t="str">
        <f>TEXT(VALUE(Table1[[#This Row],[Content.Column14]])*1000,"#,##0")</f>
        <v>60,621</v>
      </c>
      <c r="Y30" s="14" t="str">
        <f>TEXT(VALUE(Table1[[#This Row],[Content.Column3]])*1000,"#,##0")</f>
        <v>47,979</v>
      </c>
      <c r="Z30" s="14" t="str">
        <f>TEXT(VALUE(Table1[[#This Row],[Content.Column4]])*1000,"#,##0")</f>
        <v>20,412</v>
      </c>
      <c r="AA30" s="14" t="str">
        <f>TEXT(VALUE(Table1[[#This Row],[Content.Column5]])*1000,"#,##0")</f>
        <v>68,391</v>
      </c>
      <c r="AB30" s="14" t="str">
        <f>TEXT(VALUE(Table1[[#This Row],[Content.Column6]])*1000,"#,##0")</f>
        <v>71,232</v>
      </c>
    </row>
    <row r="31" spans="1:28" x14ac:dyDescent="0.3">
      <c r="A31" t="s">
        <v>80</v>
      </c>
      <c r="B31" t="s">
        <v>81</v>
      </c>
      <c r="C31" s="6">
        <v>132.90100000000001</v>
      </c>
      <c r="D31" s="1">
        <v>40.020000000000003</v>
      </c>
      <c r="E31" s="1">
        <v>172.922</v>
      </c>
      <c r="F31" s="1">
        <v>177.94900000000001</v>
      </c>
      <c r="G31" s="2">
        <v>25.696999999999999</v>
      </c>
      <c r="H31" s="2">
        <v>5.9180000000000001</v>
      </c>
      <c r="I31" s="2">
        <v>31.614999999999998</v>
      </c>
      <c r="J31" s="2">
        <v>31.667999999999999</v>
      </c>
      <c r="K31" s="3">
        <v>107.20399999999999</v>
      </c>
      <c r="L31" s="3">
        <v>34.101999999999997</v>
      </c>
      <c r="M31" s="3">
        <v>141.30600000000001</v>
      </c>
      <c r="N31" s="3">
        <v>146.28100000000001</v>
      </c>
      <c r="O31">
        <v>2009</v>
      </c>
      <c r="Q31" s="12" t="str">
        <f>TEXT(VALUE(Table1[[#This Row],[Content.Column7]])*1000,"#,##0")</f>
        <v>25,697</v>
      </c>
      <c r="R31" s="12" t="str">
        <f>TEXT(VALUE(Table1[[#This Row],[Content.Column8]])*1000,"#,##0")</f>
        <v>5,918</v>
      </c>
      <c r="S31" s="12" t="str">
        <f>TEXT(VALUE(Table1[[#This Row],[Content.Column9]])*1000,"#,##0")</f>
        <v>31,615</v>
      </c>
      <c r="T31" s="12" t="str">
        <f>TEXT(VALUE(Table1[[#This Row],[Content.Column10]])*1000,"#,##0")</f>
        <v>31,668</v>
      </c>
      <c r="U31" s="13" t="str">
        <f>TEXT(VALUE(Table1[[#This Row],[Content.Column11]])*1000,"#,##0")</f>
        <v>107,204</v>
      </c>
      <c r="V31" s="13" t="str">
        <f>TEXT(VALUE(Table1[[#This Row],[Content.Column12]])*1000,"#,##0")</f>
        <v>34,102</v>
      </c>
      <c r="W31" s="13" t="str">
        <f>TEXT(VALUE(Table1[[#This Row],[Content.Column13]])*1000,"#,##0")</f>
        <v>141,306</v>
      </c>
      <c r="X31" s="13" t="str">
        <f>TEXT(VALUE(Table1[[#This Row],[Content.Column14]])*1000,"#,##0")</f>
        <v>146,281</v>
      </c>
      <c r="Y31" s="14" t="str">
        <f>TEXT(VALUE(Table1[[#This Row],[Content.Column3]])*1000,"#,##0")</f>
        <v>132,901</v>
      </c>
      <c r="Z31" s="14" t="str">
        <f>TEXT(VALUE(Table1[[#This Row],[Content.Column4]])*1000,"#,##0")</f>
        <v>40,020</v>
      </c>
      <c r="AA31" s="14" t="str">
        <f>TEXT(VALUE(Table1[[#This Row],[Content.Column5]])*1000,"#,##0")</f>
        <v>172,922</v>
      </c>
      <c r="AB31" s="14" t="str">
        <f>TEXT(VALUE(Table1[[#This Row],[Content.Column6]])*1000,"#,##0")</f>
        <v>177,949</v>
      </c>
    </row>
    <row r="32" spans="1:28" x14ac:dyDescent="0.3">
      <c r="A32" t="s">
        <v>82</v>
      </c>
      <c r="B32" t="s">
        <v>83</v>
      </c>
      <c r="C32" s="6">
        <v>43.070999999999998</v>
      </c>
      <c r="D32" s="1">
        <v>20.382000000000001</v>
      </c>
      <c r="E32" s="1">
        <v>63.454000000000001</v>
      </c>
      <c r="F32" s="1">
        <v>65.686000000000007</v>
      </c>
      <c r="G32" s="2">
        <v>8.8149999999999995</v>
      </c>
      <c r="H32" s="2">
        <v>6.2729999999999997</v>
      </c>
      <c r="I32" s="2">
        <v>15.087999999999999</v>
      </c>
      <c r="J32" s="2">
        <v>15.196999999999999</v>
      </c>
      <c r="K32" s="3">
        <v>34.256</v>
      </c>
      <c r="L32" s="3">
        <v>14.109</v>
      </c>
      <c r="M32" s="3">
        <v>48.365000000000002</v>
      </c>
      <c r="N32" s="3">
        <v>50.49</v>
      </c>
      <c r="O32">
        <v>2009</v>
      </c>
      <c r="Q32" s="12" t="str">
        <f>TEXT(VALUE(Table1[[#This Row],[Content.Column7]])*1000,"#,##0")</f>
        <v>8,815</v>
      </c>
      <c r="R32" s="12" t="str">
        <f>TEXT(VALUE(Table1[[#This Row],[Content.Column8]])*1000,"#,##0")</f>
        <v>6,273</v>
      </c>
      <c r="S32" s="12" t="str">
        <f>TEXT(VALUE(Table1[[#This Row],[Content.Column9]])*1000,"#,##0")</f>
        <v>15,088</v>
      </c>
      <c r="T32" s="12" t="str">
        <f>TEXT(VALUE(Table1[[#This Row],[Content.Column10]])*1000,"#,##0")</f>
        <v>15,197</v>
      </c>
      <c r="U32" s="13" t="str">
        <f>TEXT(VALUE(Table1[[#This Row],[Content.Column11]])*1000,"#,##0")</f>
        <v>34,256</v>
      </c>
      <c r="V32" s="13" t="str">
        <f>TEXT(VALUE(Table1[[#This Row],[Content.Column12]])*1000,"#,##0")</f>
        <v>14,109</v>
      </c>
      <c r="W32" s="13" t="str">
        <f>TEXT(VALUE(Table1[[#This Row],[Content.Column13]])*1000,"#,##0")</f>
        <v>48,365</v>
      </c>
      <c r="X32" s="13" t="str">
        <f>TEXT(VALUE(Table1[[#This Row],[Content.Column14]])*1000,"#,##0")</f>
        <v>50,490</v>
      </c>
      <c r="Y32" s="14" t="str">
        <f>TEXT(VALUE(Table1[[#This Row],[Content.Column3]])*1000,"#,##0")</f>
        <v>43,071</v>
      </c>
      <c r="Z32" s="14" t="str">
        <f>TEXT(VALUE(Table1[[#This Row],[Content.Column4]])*1000,"#,##0")</f>
        <v>20,382</v>
      </c>
      <c r="AA32" s="14" t="str">
        <f>TEXT(VALUE(Table1[[#This Row],[Content.Column5]])*1000,"#,##0")</f>
        <v>63,454</v>
      </c>
      <c r="AB32" s="14" t="str">
        <f>TEXT(VALUE(Table1[[#This Row],[Content.Column6]])*1000,"#,##0")</f>
        <v>65,686</v>
      </c>
    </row>
    <row r="33" spans="1:28" x14ac:dyDescent="0.3">
      <c r="A33" t="s">
        <v>84</v>
      </c>
      <c r="B33" t="s">
        <v>85</v>
      </c>
      <c r="C33" s="6">
        <v>166.59200000000001</v>
      </c>
      <c r="D33" s="1">
        <v>37.78</v>
      </c>
      <c r="E33" s="1">
        <v>204.37200000000001</v>
      </c>
      <c r="F33" s="1">
        <v>208.85400000000001</v>
      </c>
      <c r="G33" s="2">
        <v>30.945</v>
      </c>
      <c r="H33" s="2">
        <v>7.6130000000000004</v>
      </c>
      <c r="I33" s="2">
        <v>38.558</v>
      </c>
      <c r="J33" s="2">
        <v>39.298999999999999</v>
      </c>
      <c r="K33" s="3">
        <v>135.64599999999999</v>
      </c>
      <c r="L33" s="3">
        <v>30.167000000000002</v>
      </c>
      <c r="M33" s="3">
        <v>165.81299999999999</v>
      </c>
      <c r="N33" s="3">
        <v>169.55500000000001</v>
      </c>
      <c r="O33">
        <v>2009</v>
      </c>
      <c r="Q33" s="12" t="str">
        <f>TEXT(VALUE(Table1[[#This Row],[Content.Column7]])*1000,"#,##0")</f>
        <v>30,945</v>
      </c>
      <c r="R33" s="12" t="str">
        <f>TEXT(VALUE(Table1[[#This Row],[Content.Column8]])*1000,"#,##0")</f>
        <v>7,613</v>
      </c>
      <c r="S33" s="12" t="str">
        <f>TEXT(VALUE(Table1[[#This Row],[Content.Column9]])*1000,"#,##0")</f>
        <v>38,558</v>
      </c>
      <c r="T33" s="12" t="str">
        <f>TEXT(VALUE(Table1[[#This Row],[Content.Column10]])*1000,"#,##0")</f>
        <v>39,299</v>
      </c>
      <c r="U33" s="13" t="str">
        <f>TEXT(VALUE(Table1[[#This Row],[Content.Column11]])*1000,"#,##0")</f>
        <v>135,646</v>
      </c>
      <c r="V33" s="13" t="str">
        <f>TEXT(VALUE(Table1[[#This Row],[Content.Column12]])*1000,"#,##0")</f>
        <v>30,167</v>
      </c>
      <c r="W33" s="13" t="str">
        <f>TEXT(VALUE(Table1[[#This Row],[Content.Column13]])*1000,"#,##0")</f>
        <v>165,813</v>
      </c>
      <c r="X33" s="13" t="str">
        <f>TEXT(VALUE(Table1[[#This Row],[Content.Column14]])*1000,"#,##0")</f>
        <v>169,555</v>
      </c>
      <c r="Y33" s="14" t="str">
        <f>TEXT(VALUE(Table1[[#This Row],[Content.Column3]])*1000,"#,##0")</f>
        <v>166,592</v>
      </c>
      <c r="Z33" s="14" t="str">
        <f>TEXT(VALUE(Table1[[#This Row],[Content.Column4]])*1000,"#,##0")</f>
        <v>37,780</v>
      </c>
      <c r="AA33" s="14" t="str">
        <f>TEXT(VALUE(Table1[[#This Row],[Content.Column5]])*1000,"#,##0")</f>
        <v>204,372</v>
      </c>
      <c r="AB33" s="14" t="str">
        <f>TEXT(VALUE(Table1[[#This Row],[Content.Column6]])*1000,"#,##0")</f>
        <v>208,854</v>
      </c>
    </row>
    <row r="34" spans="1:28" x14ac:dyDescent="0.3">
      <c r="A34" t="s">
        <v>86</v>
      </c>
      <c r="B34" t="s">
        <v>87</v>
      </c>
      <c r="C34" s="6">
        <v>36.344999999999999</v>
      </c>
      <c r="D34" s="1">
        <v>17.553000000000001</v>
      </c>
      <c r="E34" s="1">
        <v>53.898000000000003</v>
      </c>
      <c r="F34" s="1">
        <v>55.58</v>
      </c>
      <c r="G34" s="2">
        <v>9.1370000000000005</v>
      </c>
      <c r="H34" s="2">
        <v>4.9779999999999998</v>
      </c>
      <c r="I34" s="2">
        <v>14.115</v>
      </c>
      <c r="J34" s="2">
        <v>14.141</v>
      </c>
      <c r="K34" s="3">
        <v>27.207999999999998</v>
      </c>
      <c r="L34" s="3">
        <v>12.574999999999999</v>
      </c>
      <c r="M34" s="3">
        <v>39.783000000000001</v>
      </c>
      <c r="N34" s="3">
        <v>41.44</v>
      </c>
      <c r="O34">
        <v>2009</v>
      </c>
      <c r="Q34" s="12" t="str">
        <f>TEXT(VALUE(Table1[[#This Row],[Content.Column7]])*1000,"#,##0")</f>
        <v>9,137</v>
      </c>
      <c r="R34" s="12" t="str">
        <f>TEXT(VALUE(Table1[[#This Row],[Content.Column8]])*1000,"#,##0")</f>
        <v>4,978</v>
      </c>
      <c r="S34" s="12" t="str">
        <f>TEXT(VALUE(Table1[[#This Row],[Content.Column9]])*1000,"#,##0")</f>
        <v>14,115</v>
      </c>
      <c r="T34" s="12" t="str">
        <f>TEXT(VALUE(Table1[[#This Row],[Content.Column10]])*1000,"#,##0")</f>
        <v>14,141</v>
      </c>
      <c r="U34" s="13" t="str">
        <f>TEXT(VALUE(Table1[[#This Row],[Content.Column11]])*1000,"#,##0")</f>
        <v>27,208</v>
      </c>
      <c r="V34" s="13" t="str">
        <f>TEXT(VALUE(Table1[[#This Row],[Content.Column12]])*1000,"#,##0")</f>
        <v>12,575</v>
      </c>
      <c r="W34" s="13" t="str">
        <f>TEXT(VALUE(Table1[[#This Row],[Content.Column13]])*1000,"#,##0")</f>
        <v>39,783</v>
      </c>
      <c r="X34" s="13" t="str">
        <f>TEXT(VALUE(Table1[[#This Row],[Content.Column14]])*1000,"#,##0")</f>
        <v>41,440</v>
      </c>
      <c r="Y34" s="14" t="str">
        <f>TEXT(VALUE(Table1[[#This Row],[Content.Column3]])*1000,"#,##0")</f>
        <v>36,345</v>
      </c>
      <c r="Z34" s="14" t="str">
        <f>TEXT(VALUE(Table1[[#This Row],[Content.Column4]])*1000,"#,##0")</f>
        <v>17,553</v>
      </c>
      <c r="AA34" s="14" t="str">
        <f>TEXT(VALUE(Table1[[#This Row],[Content.Column5]])*1000,"#,##0")</f>
        <v>53,898</v>
      </c>
      <c r="AB34" s="14" t="str">
        <f>TEXT(VALUE(Table1[[#This Row],[Content.Column6]])*1000,"#,##0")</f>
        <v>55,580</v>
      </c>
    </row>
    <row r="35" spans="1:28" x14ac:dyDescent="0.3">
      <c r="A35" t="s">
        <v>88</v>
      </c>
      <c r="B35" t="s">
        <v>89</v>
      </c>
      <c r="C35" s="6">
        <v>74.191999999999993</v>
      </c>
      <c r="D35" s="1">
        <v>29.053000000000001</v>
      </c>
      <c r="E35" s="1">
        <v>103.246</v>
      </c>
      <c r="F35" s="1">
        <v>106.256</v>
      </c>
      <c r="G35" s="2">
        <v>19.573</v>
      </c>
      <c r="H35" s="2">
        <v>5.7359999999999998</v>
      </c>
      <c r="I35" s="2">
        <v>25.309000000000001</v>
      </c>
      <c r="J35" s="2">
        <v>25.33</v>
      </c>
      <c r="K35" s="3">
        <v>54.619</v>
      </c>
      <c r="L35" s="3">
        <v>23.317</v>
      </c>
      <c r="M35" s="3">
        <v>77.936000000000007</v>
      </c>
      <c r="N35" s="3">
        <v>80.926000000000002</v>
      </c>
      <c r="O35">
        <v>2009</v>
      </c>
      <c r="Q35" s="12" t="str">
        <f>TEXT(VALUE(Table1[[#This Row],[Content.Column7]])*1000,"#,##0")</f>
        <v>19,573</v>
      </c>
      <c r="R35" s="12" t="str">
        <f>TEXT(VALUE(Table1[[#This Row],[Content.Column8]])*1000,"#,##0")</f>
        <v>5,736</v>
      </c>
      <c r="S35" s="12" t="str">
        <f>TEXT(VALUE(Table1[[#This Row],[Content.Column9]])*1000,"#,##0")</f>
        <v>25,309</v>
      </c>
      <c r="T35" s="12" t="str">
        <f>TEXT(VALUE(Table1[[#This Row],[Content.Column10]])*1000,"#,##0")</f>
        <v>25,330</v>
      </c>
      <c r="U35" s="13" t="str">
        <f>TEXT(VALUE(Table1[[#This Row],[Content.Column11]])*1000,"#,##0")</f>
        <v>54,619</v>
      </c>
      <c r="V35" s="13" t="str">
        <f>TEXT(VALUE(Table1[[#This Row],[Content.Column12]])*1000,"#,##0")</f>
        <v>23,317</v>
      </c>
      <c r="W35" s="13" t="str">
        <f>TEXT(VALUE(Table1[[#This Row],[Content.Column13]])*1000,"#,##0")</f>
        <v>77,936</v>
      </c>
      <c r="X35" s="13" t="str">
        <f>TEXT(VALUE(Table1[[#This Row],[Content.Column14]])*1000,"#,##0")</f>
        <v>80,926</v>
      </c>
      <c r="Y35" s="14" t="str">
        <f>TEXT(VALUE(Table1[[#This Row],[Content.Column3]])*1000,"#,##0")</f>
        <v>74,192</v>
      </c>
      <c r="Z35" s="14" t="str">
        <f>TEXT(VALUE(Table1[[#This Row],[Content.Column4]])*1000,"#,##0")</f>
        <v>29,053</v>
      </c>
      <c r="AA35" s="14" t="str">
        <f>TEXT(VALUE(Table1[[#This Row],[Content.Column5]])*1000,"#,##0")</f>
        <v>103,246</v>
      </c>
      <c r="AB35" s="14" t="str">
        <f>TEXT(VALUE(Table1[[#This Row],[Content.Column6]])*1000,"#,##0")</f>
        <v>106,256</v>
      </c>
    </row>
    <row r="36" spans="1:28" x14ac:dyDescent="0.3">
      <c r="A36" t="s">
        <v>90</v>
      </c>
      <c r="B36" t="s">
        <v>91</v>
      </c>
      <c r="C36" s="6">
        <v>476.91800000000001</v>
      </c>
      <c r="D36" s="1">
        <v>133.727</v>
      </c>
      <c r="E36" s="1">
        <v>610.64499999999998</v>
      </c>
      <c r="F36" s="1">
        <v>632.96299999999997</v>
      </c>
      <c r="G36" s="2">
        <v>78.116</v>
      </c>
      <c r="H36" s="2">
        <v>13.05</v>
      </c>
      <c r="I36" s="2">
        <v>91.165999999999997</v>
      </c>
      <c r="J36" s="2">
        <v>91.909000000000006</v>
      </c>
      <c r="K36" s="3">
        <v>398.80200000000002</v>
      </c>
      <c r="L36" s="3">
        <v>120.676</v>
      </c>
      <c r="M36" s="3">
        <v>519.47799999999995</v>
      </c>
      <c r="N36" s="3">
        <v>541.053</v>
      </c>
      <c r="O36">
        <v>2009</v>
      </c>
      <c r="Q36" s="12" t="str">
        <f>TEXT(VALUE(Table1[[#This Row],[Content.Column7]])*1000,"#,##0")</f>
        <v>78,116</v>
      </c>
      <c r="R36" s="12" t="str">
        <f>TEXT(VALUE(Table1[[#This Row],[Content.Column8]])*1000,"#,##0")</f>
        <v>13,050</v>
      </c>
      <c r="S36" s="12" t="str">
        <f>TEXT(VALUE(Table1[[#This Row],[Content.Column9]])*1000,"#,##0")</f>
        <v>91,166</v>
      </c>
      <c r="T36" s="12" t="str">
        <f>TEXT(VALUE(Table1[[#This Row],[Content.Column10]])*1000,"#,##0")</f>
        <v>91,909</v>
      </c>
      <c r="U36" s="13" t="str">
        <f>TEXT(VALUE(Table1[[#This Row],[Content.Column11]])*1000,"#,##0")</f>
        <v>398,802</v>
      </c>
      <c r="V36" s="13" t="str">
        <f>TEXT(VALUE(Table1[[#This Row],[Content.Column12]])*1000,"#,##0")</f>
        <v>120,676</v>
      </c>
      <c r="W36" s="13" t="str">
        <f>TEXT(VALUE(Table1[[#This Row],[Content.Column13]])*1000,"#,##0")</f>
        <v>519,478</v>
      </c>
      <c r="X36" s="13" t="str">
        <f>TEXT(VALUE(Table1[[#This Row],[Content.Column14]])*1000,"#,##0")</f>
        <v>541,053</v>
      </c>
      <c r="Y36" s="14" t="str">
        <f>TEXT(VALUE(Table1[[#This Row],[Content.Column3]])*1000,"#,##0")</f>
        <v>476,918</v>
      </c>
      <c r="Z36" s="14" t="str">
        <f>TEXT(VALUE(Table1[[#This Row],[Content.Column4]])*1000,"#,##0")</f>
        <v>133,727</v>
      </c>
      <c r="AA36" s="14" t="str">
        <f>TEXT(VALUE(Table1[[#This Row],[Content.Column5]])*1000,"#,##0")</f>
        <v>610,645</v>
      </c>
      <c r="AB36" s="14" t="str">
        <f>TEXT(VALUE(Table1[[#This Row],[Content.Column6]])*1000,"#,##0")</f>
        <v>632,963</v>
      </c>
    </row>
    <row r="37" spans="1:28" x14ac:dyDescent="0.3">
      <c r="A37" t="s">
        <v>92</v>
      </c>
      <c r="B37" t="s">
        <v>93</v>
      </c>
      <c r="C37" s="6">
        <v>1936.557</v>
      </c>
      <c r="D37" s="1">
        <v>570.12099999999998</v>
      </c>
      <c r="E37" s="1">
        <v>2506.6790000000001</v>
      </c>
      <c r="F37" s="1">
        <v>2586.8229999999999</v>
      </c>
      <c r="G37" s="2">
        <v>342.67099999999999</v>
      </c>
      <c r="H37" s="2">
        <v>92.975999999999999</v>
      </c>
      <c r="I37" s="2">
        <v>435.64699999999999</v>
      </c>
      <c r="J37" s="2">
        <v>438.37299999999999</v>
      </c>
      <c r="K37" s="3">
        <v>1593.886</v>
      </c>
      <c r="L37" s="3">
        <v>477.14600000000002</v>
      </c>
      <c r="M37" s="3">
        <v>2071.0309999999999</v>
      </c>
      <c r="N37" s="3">
        <v>2148.4499999999998</v>
      </c>
      <c r="O37">
        <v>2009</v>
      </c>
      <c r="Q37" s="12" t="str">
        <f>TEXT(VALUE(Table1[[#This Row],[Content.Column7]])*1000,"#,##0")</f>
        <v>342,671</v>
      </c>
      <c r="R37" s="12" t="str">
        <f>TEXT(VALUE(Table1[[#This Row],[Content.Column8]])*1000,"#,##0")</f>
        <v>92,976</v>
      </c>
      <c r="S37" s="12" t="str">
        <f>TEXT(VALUE(Table1[[#This Row],[Content.Column9]])*1000,"#,##0")</f>
        <v>435,647</v>
      </c>
      <c r="T37" s="12" t="str">
        <f>TEXT(VALUE(Table1[[#This Row],[Content.Column10]])*1000,"#,##0")</f>
        <v>438,373</v>
      </c>
      <c r="U37" s="13" t="str">
        <f>TEXT(VALUE(Table1[[#This Row],[Content.Column11]])*1000,"#,##0")</f>
        <v>1,593,886</v>
      </c>
      <c r="V37" s="13" t="str">
        <f>TEXT(VALUE(Table1[[#This Row],[Content.Column12]])*1000,"#,##0")</f>
        <v>477,146</v>
      </c>
      <c r="W37" s="13" t="str">
        <f>TEXT(VALUE(Table1[[#This Row],[Content.Column13]])*1000,"#,##0")</f>
        <v>2,071,031</v>
      </c>
      <c r="X37" s="13" t="str">
        <f>TEXT(VALUE(Table1[[#This Row],[Content.Column14]])*1000,"#,##0")</f>
        <v>2,148,450</v>
      </c>
      <c r="Y37" s="14" t="str">
        <f>TEXT(VALUE(Table1[[#This Row],[Content.Column3]])*1000,"#,##0")</f>
        <v>1,936,557</v>
      </c>
      <c r="Z37" s="14" t="str">
        <f>TEXT(VALUE(Table1[[#This Row],[Content.Column4]])*1000,"#,##0")</f>
        <v>570,121</v>
      </c>
      <c r="AA37" s="14" t="str">
        <f>TEXT(VALUE(Table1[[#This Row],[Content.Column5]])*1000,"#,##0")</f>
        <v>2,506,679</v>
      </c>
      <c r="AB37" s="14" t="str">
        <f>TEXT(VALUE(Table1[[#This Row],[Content.Column6]])*1000,"#,##0")</f>
        <v>2,586,823</v>
      </c>
    </row>
    <row r="38" spans="1:28" x14ac:dyDescent="0.3">
      <c r="A38" t="s">
        <v>94</v>
      </c>
      <c r="B38" t="s">
        <v>95</v>
      </c>
      <c r="C38" s="6">
        <v>1134.7339999999999</v>
      </c>
      <c r="D38" s="1">
        <v>501.60899999999998</v>
      </c>
      <c r="E38" s="1">
        <v>1636.3430000000001</v>
      </c>
      <c r="F38" s="1">
        <v>1685.1289999999999</v>
      </c>
      <c r="G38" s="2">
        <v>212.38399999999999</v>
      </c>
      <c r="H38" s="2">
        <v>113.965</v>
      </c>
      <c r="I38" s="2">
        <v>326.34899999999999</v>
      </c>
      <c r="J38" s="2">
        <v>327.12900000000002</v>
      </c>
      <c r="K38" s="3">
        <v>922.34900000000005</v>
      </c>
      <c r="L38" s="3">
        <v>387.64400000000001</v>
      </c>
      <c r="M38" s="3">
        <v>1309.9939999999999</v>
      </c>
      <c r="N38" s="3">
        <v>1358</v>
      </c>
      <c r="O38">
        <v>2009</v>
      </c>
      <c r="Q38" s="12" t="str">
        <f>TEXT(VALUE(Table1[[#This Row],[Content.Column7]])*1000,"#,##0")</f>
        <v>212,384</v>
      </c>
      <c r="R38" s="12" t="str">
        <f>TEXT(VALUE(Table1[[#This Row],[Content.Column8]])*1000,"#,##0")</f>
        <v>113,965</v>
      </c>
      <c r="S38" s="12" t="str">
        <f>TEXT(VALUE(Table1[[#This Row],[Content.Column9]])*1000,"#,##0")</f>
        <v>326,349</v>
      </c>
      <c r="T38" s="12" t="str">
        <f>TEXT(VALUE(Table1[[#This Row],[Content.Column10]])*1000,"#,##0")</f>
        <v>327,129</v>
      </c>
      <c r="U38" s="13" t="str">
        <f>TEXT(VALUE(Table1[[#This Row],[Content.Column11]])*1000,"#,##0")</f>
        <v>922,349</v>
      </c>
      <c r="V38" s="13" t="str">
        <f>TEXT(VALUE(Table1[[#This Row],[Content.Column12]])*1000,"#,##0")</f>
        <v>387,644</v>
      </c>
      <c r="W38" s="13" t="str">
        <f>TEXT(VALUE(Table1[[#This Row],[Content.Column13]])*1000,"#,##0")</f>
        <v>1,309,994</v>
      </c>
      <c r="X38" s="13" t="str">
        <f>TEXT(VALUE(Table1[[#This Row],[Content.Column14]])*1000,"#,##0")</f>
        <v>1,358,000</v>
      </c>
      <c r="Y38" s="14" t="str">
        <f>TEXT(VALUE(Table1[[#This Row],[Content.Column3]])*1000,"#,##0")</f>
        <v>1,134,734</v>
      </c>
      <c r="Z38" s="14" t="str">
        <f>TEXT(VALUE(Table1[[#This Row],[Content.Column4]])*1000,"#,##0")</f>
        <v>501,609</v>
      </c>
      <c r="AA38" s="14" t="str">
        <f>TEXT(VALUE(Table1[[#This Row],[Content.Column5]])*1000,"#,##0")</f>
        <v>1,636,343</v>
      </c>
      <c r="AB38" s="14" t="str">
        <f>TEXT(VALUE(Table1[[#This Row],[Content.Column6]])*1000,"#,##0")</f>
        <v>1,685,129</v>
      </c>
    </row>
    <row r="39" spans="1:28" x14ac:dyDescent="0.3">
      <c r="A39" t="s">
        <v>96</v>
      </c>
      <c r="B39" t="s">
        <v>97</v>
      </c>
      <c r="C39" s="6">
        <v>677.87800000000004</v>
      </c>
      <c r="D39" s="1">
        <v>333.80399999999997</v>
      </c>
      <c r="E39" s="1">
        <v>1011.682</v>
      </c>
      <c r="F39" s="1">
        <v>1049.9580000000001</v>
      </c>
      <c r="G39" s="2">
        <v>177.77099999999999</v>
      </c>
      <c r="H39" s="2">
        <v>99.075000000000003</v>
      </c>
      <c r="I39" s="2">
        <v>276.846</v>
      </c>
      <c r="J39" s="2">
        <v>284.53899999999999</v>
      </c>
      <c r="K39" s="3">
        <v>500.10700000000003</v>
      </c>
      <c r="L39" s="3">
        <v>234.73</v>
      </c>
      <c r="M39" s="3">
        <v>734.83699999999999</v>
      </c>
      <c r="N39" s="3">
        <v>765.41899999999998</v>
      </c>
      <c r="O39">
        <v>2009</v>
      </c>
      <c r="Q39" s="12" t="str">
        <f>TEXT(VALUE(Table1[[#This Row],[Content.Column7]])*1000,"#,##0")</f>
        <v>177,771</v>
      </c>
      <c r="R39" s="12" t="str">
        <f>TEXT(VALUE(Table1[[#This Row],[Content.Column8]])*1000,"#,##0")</f>
        <v>99,075</v>
      </c>
      <c r="S39" s="12" t="str">
        <f>TEXT(VALUE(Table1[[#This Row],[Content.Column9]])*1000,"#,##0")</f>
        <v>276,846</v>
      </c>
      <c r="T39" s="12" t="str">
        <f>TEXT(VALUE(Table1[[#This Row],[Content.Column10]])*1000,"#,##0")</f>
        <v>284,539</v>
      </c>
      <c r="U39" s="13" t="str">
        <f>TEXT(VALUE(Table1[[#This Row],[Content.Column11]])*1000,"#,##0")</f>
        <v>500,107</v>
      </c>
      <c r="V39" s="13" t="str">
        <f>TEXT(VALUE(Table1[[#This Row],[Content.Column12]])*1000,"#,##0")</f>
        <v>234,730</v>
      </c>
      <c r="W39" s="13" t="str">
        <f>TEXT(VALUE(Table1[[#This Row],[Content.Column13]])*1000,"#,##0")</f>
        <v>734,837</v>
      </c>
      <c r="X39" s="13" t="str">
        <f>TEXT(VALUE(Table1[[#This Row],[Content.Column14]])*1000,"#,##0")</f>
        <v>765,419</v>
      </c>
      <c r="Y39" s="14" t="str">
        <f>TEXT(VALUE(Table1[[#This Row],[Content.Column3]])*1000,"#,##0")</f>
        <v>677,878</v>
      </c>
      <c r="Z39" s="14" t="str">
        <f>TEXT(VALUE(Table1[[#This Row],[Content.Column4]])*1000,"#,##0")</f>
        <v>333,804</v>
      </c>
      <c r="AA39" s="14" t="str">
        <f>TEXT(VALUE(Table1[[#This Row],[Content.Column5]])*1000,"#,##0")</f>
        <v>1,011,682</v>
      </c>
      <c r="AB39" s="14" t="str">
        <f>TEXT(VALUE(Table1[[#This Row],[Content.Column6]])*1000,"#,##0")</f>
        <v>1,049,958</v>
      </c>
    </row>
    <row r="40" spans="1:28" x14ac:dyDescent="0.3">
      <c r="A40" t="s">
        <v>98</v>
      </c>
      <c r="B40" t="s">
        <v>99</v>
      </c>
      <c r="C40" s="6">
        <v>2050.3310000000001</v>
      </c>
      <c r="D40" s="1">
        <v>961.36099999999999</v>
      </c>
      <c r="E40" s="1">
        <v>3011.692</v>
      </c>
      <c r="F40" s="1">
        <v>3118.252</v>
      </c>
      <c r="G40" s="2">
        <v>438.22800000000001</v>
      </c>
      <c r="H40" s="2">
        <v>253.554</v>
      </c>
      <c r="I40" s="2">
        <v>691.78300000000002</v>
      </c>
      <c r="J40" s="2">
        <v>715.28700000000003</v>
      </c>
      <c r="K40" s="3">
        <v>1612.1030000000001</v>
      </c>
      <c r="L40" s="3">
        <v>707.80700000000002</v>
      </c>
      <c r="M40" s="3">
        <v>2319.91</v>
      </c>
      <c r="N40" s="3">
        <v>2402.9650000000001</v>
      </c>
      <c r="O40">
        <v>2009</v>
      </c>
      <c r="Q40" s="12" t="str">
        <f>TEXT(VALUE(Table1[[#This Row],[Content.Column7]])*1000,"#,##0")</f>
        <v>438,228</v>
      </c>
      <c r="R40" s="12" t="str">
        <f>TEXT(VALUE(Table1[[#This Row],[Content.Column8]])*1000,"#,##0")</f>
        <v>253,554</v>
      </c>
      <c r="S40" s="12" t="str">
        <f>TEXT(VALUE(Table1[[#This Row],[Content.Column9]])*1000,"#,##0")</f>
        <v>691,783</v>
      </c>
      <c r="T40" s="12" t="str">
        <f>TEXT(VALUE(Table1[[#This Row],[Content.Column10]])*1000,"#,##0")</f>
        <v>715,287</v>
      </c>
      <c r="U40" s="13" t="str">
        <f>TEXT(VALUE(Table1[[#This Row],[Content.Column11]])*1000,"#,##0")</f>
        <v>1,612,103</v>
      </c>
      <c r="V40" s="13" t="str">
        <f>TEXT(VALUE(Table1[[#This Row],[Content.Column12]])*1000,"#,##0")</f>
        <v>707,807</v>
      </c>
      <c r="W40" s="13" t="str">
        <f>TEXT(VALUE(Table1[[#This Row],[Content.Column13]])*1000,"#,##0")</f>
        <v>2,319,910</v>
      </c>
      <c r="X40" s="13" t="str">
        <f>TEXT(VALUE(Table1[[#This Row],[Content.Column14]])*1000,"#,##0")</f>
        <v>2,402,965</v>
      </c>
      <c r="Y40" s="14" t="str">
        <f>TEXT(VALUE(Table1[[#This Row],[Content.Column3]])*1000,"#,##0")</f>
        <v>2,050,331</v>
      </c>
      <c r="Z40" s="14" t="str">
        <f>TEXT(VALUE(Table1[[#This Row],[Content.Column4]])*1000,"#,##0")</f>
        <v>961,361</v>
      </c>
      <c r="AA40" s="14" t="str">
        <f>TEXT(VALUE(Table1[[#This Row],[Content.Column5]])*1000,"#,##0")</f>
        <v>3,011,692</v>
      </c>
      <c r="AB40" s="14" t="str">
        <f>TEXT(VALUE(Table1[[#This Row],[Content.Column6]])*1000,"#,##0")</f>
        <v>3,118,252</v>
      </c>
    </row>
    <row r="41" spans="1:28" x14ac:dyDescent="0.3">
      <c r="A41" t="s">
        <v>100</v>
      </c>
      <c r="B41" t="s">
        <v>101</v>
      </c>
      <c r="C41" s="6">
        <v>1455.79</v>
      </c>
      <c r="D41" s="1">
        <v>768.62400000000002</v>
      </c>
      <c r="E41" s="1">
        <v>2224.415</v>
      </c>
      <c r="F41" s="1">
        <v>2329.1210000000001</v>
      </c>
      <c r="G41" s="2">
        <v>333.45800000000003</v>
      </c>
      <c r="H41" s="2">
        <v>198.761</v>
      </c>
      <c r="I41" s="2">
        <v>532.21900000000005</v>
      </c>
      <c r="J41" s="2">
        <v>554.04499999999996</v>
      </c>
      <c r="K41" s="3">
        <v>1122.3320000000001</v>
      </c>
      <c r="L41" s="3">
        <v>569.86300000000006</v>
      </c>
      <c r="M41" s="3">
        <v>1692.1949999999999</v>
      </c>
      <c r="N41" s="3">
        <v>1775.076</v>
      </c>
      <c r="O41">
        <v>2009</v>
      </c>
      <c r="Q41" s="12" t="str">
        <f>TEXT(VALUE(Table1[[#This Row],[Content.Column7]])*1000,"#,##0")</f>
        <v>333,458</v>
      </c>
      <c r="R41" s="12" t="str">
        <f>TEXT(VALUE(Table1[[#This Row],[Content.Column8]])*1000,"#,##0")</f>
        <v>198,761</v>
      </c>
      <c r="S41" s="12" t="str">
        <f>TEXT(VALUE(Table1[[#This Row],[Content.Column9]])*1000,"#,##0")</f>
        <v>532,219</v>
      </c>
      <c r="T41" s="12" t="str">
        <f>TEXT(VALUE(Table1[[#This Row],[Content.Column10]])*1000,"#,##0")</f>
        <v>554,045</v>
      </c>
      <c r="U41" s="13" t="str">
        <f>TEXT(VALUE(Table1[[#This Row],[Content.Column11]])*1000,"#,##0")</f>
        <v>1,122,332</v>
      </c>
      <c r="V41" s="13" t="str">
        <f>TEXT(VALUE(Table1[[#This Row],[Content.Column12]])*1000,"#,##0")</f>
        <v>569,863</v>
      </c>
      <c r="W41" s="13" t="str">
        <f>TEXT(VALUE(Table1[[#This Row],[Content.Column13]])*1000,"#,##0")</f>
        <v>1,692,195</v>
      </c>
      <c r="X41" s="13" t="str">
        <f>TEXT(VALUE(Table1[[#This Row],[Content.Column14]])*1000,"#,##0")</f>
        <v>1,775,076</v>
      </c>
      <c r="Y41" s="14" t="str">
        <f>TEXT(VALUE(Table1[[#This Row],[Content.Column3]])*1000,"#,##0")</f>
        <v>1,455,790</v>
      </c>
      <c r="Z41" s="14" t="str">
        <f>TEXT(VALUE(Table1[[#This Row],[Content.Column4]])*1000,"#,##0")</f>
        <v>768,624</v>
      </c>
      <c r="AA41" s="14" t="str">
        <f>TEXT(VALUE(Table1[[#This Row],[Content.Column5]])*1000,"#,##0")</f>
        <v>2,224,415</v>
      </c>
      <c r="AB41" s="14" t="str">
        <f>TEXT(VALUE(Table1[[#This Row],[Content.Column6]])*1000,"#,##0")</f>
        <v>2,329,121</v>
      </c>
    </row>
    <row r="42" spans="1:28" x14ac:dyDescent="0.3">
      <c r="A42" t="s">
        <v>102</v>
      </c>
      <c r="B42" t="s">
        <v>103</v>
      </c>
      <c r="C42" s="6">
        <v>1265.8409999999999</v>
      </c>
      <c r="D42" s="1">
        <v>641.14200000000005</v>
      </c>
      <c r="E42" s="1">
        <v>1906.9839999999999</v>
      </c>
      <c r="F42" s="1">
        <v>1994.7860000000001</v>
      </c>
      <c r="G42" s="2">
        <v>221.45400000000001</v>
      </c>
      <c r="H42" s="2">
        <v>177.88499999999999</v>
      </c>
      <c r="I42" s="2">
        <v>399.339</v>
      </c>
      <c r="J42" s="2">
        <v>419.49</v>
      </c>
      <c r="K42" s="3">
        <v>1044.3869999999999</v>
      </c>
      <c r="L42" s="3">
        <v>463.25700000000001</v>
      </c>
      <c r="M42" s="3">
        <v>1507.645</v>
      </c>
      <c r="N42" s="3">
        <v>1575.296</v>
      </c>
      <c r="O42">
        <v>2009</v>
      </c>
      <c r="Q42" s="12" t="str">
        <f>TEXT(VALUE(Table1[[#This Row],[Content.Column7]])*1000,"#,##0")</f>
        <v>221,454</v>
      </c>
      <c r="R42" s="12" t="str">
        <f>TEXT(VALUE(Table1[[#This Row],[Content.Column8]])*1000,"#,##0")</f>
        <v>177,885</v>
      </c>
      <c r="S42" s="12" t="str">
        <f>TEXT(VALUE(Table1[[#This Row],[Content.Column9]])*1000,"#,##0")</f>
        <v>399,339</v>
      </c>
      <c r="T42" s="12" t="str">
        <f>TEXT(VALUE(Table1[[#This Row],[Content.Column10]])*1000,"#,##0")</f>
        <v>419,490</v>
      </c>
      <c r="U42" s="13" t="str">
        <f>TEXT(VALUE(Table1[[#This Row],[Content.Column11]])*1000,"#,##0")</f>
        <v>1,044,387</v>
      </c>
      <c r="V42" s="13" t="str">
        <f>TEXT(VALUE(Table1[[#This Row],[Content.Column12]])*1000,"#,##0")</f>
        <v>463,257</v>
      </c>
      <c r="W42" s="13" t="str">
        <f>TEXT(VALUE(Table1[[#This Row],[Content.Column13]])*1000,"#,##0")</f>
        <v>1,507,645</v>
      </c>
      <c r="X42" s="13" t="str">
        <f>TEXT(VALUE(Table1[[#This Row],[Content.Column14]])*1000,"#,##0")</f>
        <v>1,575,296</v>
      </c>
      <c r="Y42" s="14" t="str">
        <f>TEXT(VALUE(Table1[[#This Row],[Content.Column3]])*1000,"#,##0")</f>
        <v>1,265,841</v>
      </c>
      <c r="Z42" s="14" t="str">
        <f>TEXT(VALUE(Table1[[#This Row],[Content.Column4]])*1000,"#,##0")</f>
        <v>641,142</v>
      </c>
      <c r="AA42" s="14" t="str">
        <f>TEXT(VALUE(Table1[[#This Row],[Content.Column5]])*1000,"#,##0")</f>
        <v>1,906,984</v>
      </c>
      <c r="AB42" s="14" t="str">
        <f>TEXT(VALUE(Table1[[#This Row],[Content.Column6]])*1000,"#,##0")</f>
        <v>1,994,786</v>
      </c>
    </row>
    <row r="43" spans="1:28" x14ac:dyDescent="0.3">
      <c r="A43" t="s">
        <v>104</v>
      </c>
      <c r="B43" t="s">
        <v>105</v>
      </c>
      <c r="C43" s="6">
        <v>1555.22</v>
      </c>
      <c r="D43" s="1">
        <v>747.05499999999995</v>
      </c>
      <c r="E43" s="1">
        <v>2302.2750000000001</v>
      </c>
      <c r="F43" s="1">
        <v>2403.489</v>
      </c>
      <c r="G43" s="2">
        <v>303.38099999999997</v>
      </c>
      <c r="H43" s="2">
        <v>207.06700000000001</v>
      </c>
      <c r="I43" s="2">
        <v>510.44799999999998</v>
      </c>
      <c r="J43" s="2">
        <v>534.21699999999998</v>
      </c>
      <c r="K43" s="3">
        <v>1251.838</v>
      </c>
      <c r="L43" s="3">
        <v>539.98900000000003</v>
      </c>
      <c r="M43" s="3">
        <v>1791.827</v>
      </c>
      <c r="N43" s="3">
        <v>1869.2719999999999</v>
      </c>
      <c r="O43">
        <v>2009</v>
      </c>
      <c r="Q43" s="12" t="str">
        <f>TEXT(VALUE(Table1[[#This Row],[Content.Column7]])*1000,"#,##0")</f>
        <v>303,381</v>
      </c>
      <c r="R43" s="12" t="str">
        <f>TEXT(VALUE(Table1[[#This Row],[Content.Column8]])*1000,"#,##0")</f>
        <v>207,067</v>
      </c>
      <c r="S43" s="12" t="str">
        <f>TEXT(VALUE(Table1[[#This Row],[Content.Column9]])*1000,"#,##0")</f>
        <v>510,448</v>
      </c>
      <c r="T43" s="12" t="str">
        <f>TEXT(VALUE(Table1[[#This Row],[Content.Column10]])*1000,"#,##0")</f>
        <v>534,217</v>
      </c>
      <c r="U43" s="13" t="str">
        <f>TEXT(VALUE(Table1[[#This Row],[Content.Column11]])*1000,"#,##0")</f>
        <v>1,251,838</v>
      </c>
      <c r="V43" s="13" t="str">
        <f>TEXT(VALUE(Table1[[#This Row],[Content.Column12]])*1000,"#,##0")</f>
        <v>539,989</v>
      </c>
      <c r="W43" s="13" t="str">
        <f>TEXT(VALUE(Table1[[#This Row],[Content.Column13]])*1000,"#,##0")</f>
        <v>1,791,827</v>
      </c>
      <c r="X43" s="13" t="str">
        <f>TEXT(VALUE(Table1[[#This Row],[Content.Column14]])*1000,"#,##0")</f>
        <v>1,869,272</v>
      </c>
      <c r="Y43" s="14" t="str">
        <f>TEXT(VALUE(Table1[[#This Row],[Content.Column3]])*1000,"#,##0")</f>
        <v>1,555,220</v>
      </c>
      <c r="Z43" s="14" t="str">
        <f>TEXT(VALUE(Table1[[#This Row],[Content.Column4]])*1000,"#,##0")</f>
        <v>747,055</v>
      </c>
      <c r="AA43" s="14" t="str">
        <f>TEXT(VALUE(Table1[[#This Row],[Content.Column5]])*1000,"#,##0")</f>
        <v>2,302,275</v>
      </c>
      <c r="AB43" s="14" t="str">
        <f>TEXT(VALUE(Table1[[#This Row],[Content.Column6]])*1000,"#,##0")</f>
        <v>2,403,489</v>
      </c>
    </row>
    <row r="44" spans="1:28" x14ac:dyDescent="0.3">
      <c r="A44" t="s">
        <v>106</v>
      </c>
      <c r="B44" t="s">
        <v>107</v>
      </c>
      <c r="C44" s="6">
        <v>1612.0260000000001</v>
      </c>
      <c r="D44" s="1">
        <v>810.51599999999996</v>
      </c>
      <c r="E44" s="1">
        <v>2422.5419999999999</v>
      </c>
      <c r="F44" s="1">
        <v>2540.0349999999999</v>
      </c>
      <c r="G44" s="2">
        <v>287.08999999999997</v>
      </c>
      <c r="H44" s="2">
        <v>198.797</v>
      </c>
      <c r="I44" s="2">
        <v>485.887</v>
      </c>
      <c r="J44" s="2">
        <v>506.03399999999999</v>
      </c>
      <c r="K44" s="3">
        <v>1324.9359999999999</v>
      </c>
      <c r="L44" s="3">
        <v>611.71900000000005</v>
      </c>
      <c r="M44" s="3">
        <v>1936.655</v>
      </c>
      <c r="N44" s="3">
        <v>2034.001</v>
      </c>
      <c r="O44">
        <v>2009</v>
      </c>
      <c r="Q44" s="12" t="str">
        <f>TEXT(VALUE(Table1[[#This Row],[Content.Column7]])*1000,"#,##0")</f>
        <v>287,090</v>
      </c>
      <c r="R44" s="12" t="str">
        <f>TEXT(VALUE(Table1[[#This Row],[Content.Column8]])*1000,"#,##0")</f>
        <v>198,797</v>
      </c>
      <c r="S44" s="12" t="str">
        <f>TEXT(VALUE(Table1[[#This Row],[Content.Column9]])*1000,"#,##0")</f>
        <v>485,887</v>
      </c>
      <c r="T44" s="12" t="str">
        <f>TEXT(VALUE(Table1[[#This Row],[Content.Column10]])*1000,"#,##0")</f>
        <v>506,034</v>
      </c>
      <c r="U44" s="13" t="str">
        <f>TEXT(VALUE(Table1[[#This Row],[Content.Column11]])*1000,"#,##0")</f>
        <v>1,324,936</v>
      </c>
      <c r="V44" s="13" t="str">
        <f>TEXT(VALUE(Table1[[#This Row],[Content.Column12]])*1000,"#,##0")</f>
        <v>611,719</v>
      </c>
      <c r="W44" s="13" t="str">
        <f>TEXT(VALUE(Table1[[#This Row],[Content.Column13]])*1000,"#,##0")</f>
        <v>1,936,655</v>
      </c>
      <c r="X44" s="13" t="str">
        <f>TEXT(VALUE(Table1[[#This Row],[Content.Column14]])*1000,"#,##0")</f>
        <v>2,034,001</v>
      </c>
      <c r="Y44" s="14" t="str">
        <f>TEXT(VALUE(Table1[[#This Row],[Content.Column3]])*1000,"#,##0")</f>
        <v>1,612,026</v>
      </c>
      <c r="Z44" s="14" t="str">
        <f>TEXT(VALUE(Table1[[#This Row],[Content.Column4]])*1000,"#,##0")</f>
        <v>810,516</v>
      </c>
      <c r="AA44" s="14" t="str">
        <f>TEXT(VALUE(Table1[[#This Row],[Content.Column5]])*1000,"#,##0")</f>
        <v>2,422,542</v>
      </c>
      <c r="AB44" s="14" t="str">
        <f>TEXT(VALUE(Table1[[#This Row],[Content.Column6]])*1000,"#,##0")</f>
        <v>2,540,035</v>
      </c>
    </row>
    <row r="45" spans="1:28" x14ac:dyDescent="0.3">
      <c r="A45" t="s">
        <v>108</v>
      </c>
      <c r="B45" t="s">
        <v>109</v>
      </c>
      <c r="C45" s="6">
        <v>3071.6149999999998</v>
      </c>
      <c r="D45" s="1">
        <v>1071.8420000000001</v>
      </c>
      <c r="E45" s="1">
        <v>4143.4579999999996</v>
      </c>
      <c r="F45" s="1">
        <v>4272.6819999999998</v>
      </c>
      <c r="G45" s="2">
        <v>555.38</v>
      </c>
      <c r="H45" s="2">
        <v>207.05199999999999</v>
      </c>
      <c r="I45" s="2">
        <v>762.43299999999999</v>
      </c>
      <c r="J45" s="2">
        <v>766.23199999999997</v>
      </c>
      <c r="K45" s="3">
        <v>2516.2350000000001</v>
      </c>
      <c r="L45" s="3">
        <v>864.79</v>
      </c>
      <c r="M45" s="3">
        <v>3381.0250000000001</v>
      </c>
      <c r="N45" s="3">
        <v>3506.45</v>
      </c>
      <c r="O45">
        <v>2009</v>
      </c>
      <c r="Q45" s="12" t="str">
        <f>TEXT(VALUE(Table1[[#This Row],[Content.Column7]])*1000,"#,##0")</f>
        <v>555,380</v>
      </c>
      <c r="R45" s="12" t="str">
        <f>TEXT(VALUE(Table1[[#This Row],[Content.Column8]])*1000,"#,##0")</f>
        <v>207,052</v>
      </c>
      <c r="S45" s="12" t="str">
        <f>TEXT(VALUE(Table1[[#This Row],[Content.Column9]])*1000,"#,##0")</f>
        <v>762,433</v>
      </c>
      <c r="T45" s="12" t="str">
        <f>TEXT(VALUE(Table1[[#This Row],[Content.Column10]])*1000,"#,##0")</f>
        <v>766,232</v>
      </c>
      <c r="U45" s="13" t="str">
        <f>TEXT(VALUE(Table1[[#This Row],[Content.Column11]])*1000,"#,##0")</f>
        <v>2,516,235</v>
      </c>
      <c r="V45" s="13" t="str">
        <f>TEXT(VALUE(Table1[[#This Row],[Content.Column12]])*1000,"#,##0")</f>
        <v>864,790</v>
      </c>
      <c r="W45" s="13" t="str">
        <f>TEXT(VALUE(Table1[[#This Row],[Content.Column13]])*1000,"#,##0")</f>
        <v>3,381,025</v>
      </c>
      <c r="X45" s="13" t="str">
        <f>TEXT(VALUE(Table1[[#This Row],[Content.Column14]])*1000,"#,##0")</f>
        <v>3,506,450</v>
      </c>
      <c r="Y45" s="14" t="str">
        <f>TEXT(VALUE(Table1[[#This Row],[Content.Column3]])*1000,"#,##0")</f>
        <v>3,071,615</v>
      </c>
      <c r="Z45" s="14" t="str">
        <f>TEXT(VALUE(Table1[[#This Row],[Content.Column4]])*1000,"#,##0")</f>
        <v>1,071,842</v>
      </c>
      <c r="AA45" s="14" t="str">
        <f>TEXT(VALUE(Table1[[#This Row],[Content.Column5]])*1000,"#,##0")</f>
        <v>4,143,458</v>
      </c>
      <c r="AB45" s="14" t="str">
        <f>TEXT(VALUE(Table1[[#This Row],[Content.Column6]])*1000,"#,##0")</f>
        <v>4,272,682</v>
      </c>
    </row>
    <row r="46" spans="1:28" x14ac:dyDescent="0.3">
      <c r="A46" t="s">
        <v>110</v>
      </c>
      <c r="B46" t="s">
        <v>111</v>
      </c>
      <c r="C46" s="6">
        <v>2537.0300000000002</v>
      </c>
      <c r="D46" s="1">
        <v>1190.152</v>
      </c>
      <c r="E46" s="1">
        <v>3727.183</v>
      </c>
      <c r="F46" s="1">
        <v>3890.9389999999999</v>
      </c>
      <c r="G46" s="2">
        <v>427.03899999999999</v>
      </c>
      <c r="H46" s="2">
        <v>264.61</v>
      </c>
      <c r="I46" s="2">
        <v>691.649</v>
      </c>
      <c r="J46" s="2">
        <v>713.428</v>
      </c>
      <c r="K46" s="3">
        <v>2109.9920000000002</v>
      </c>
      <c r="L46" s="3">
        <v>925.54200000000003</v>
      </c>
      <c r="M46" s="3">
        <v>3035.5340000000001</v>
      </c>
      <c r="N46" s="3">
        <v>3177.511</v>
      </c>
      <c r="O46">
        <v>2009</v>
      </c>
      <c r="Q46" s="12" t="str">
        <f>TEXT(VALUE(Table1[[#This Row],[Content.Column7]])*1000,"#,##0")</f>
        <v>427,039</v>
      </c>
      <c r="R46" s="12" t="str">
        <f>TEXT(VALUE(Table1[[#This Row],[Content.Column8]])*1000,"#,##0")</f>
        <v>264,610</v>
      </c>
      <c r="S46" s="12" t="str">
        <f>TEXT(VALUE(Table1[[#This Row],[Content.Column9]])*1000,"#,##0")</f>
        <v>691,649</v>
      </c>
      <c r="T46" s="12" t="str">
        <f>TEXT(VALUE(Table1[[#This Row],[Content.Column10]])*1000,"#,##0")</f>
        <v>713,428</v>
      </c>
      <c r="U46" s="13" t="str">
        <f>TEXT(VALUE(Table1[[#This Row],[Content.Column11]])*1000,"#,##0")</f>
        <v>2,109,992</v>
      </c>
      <c r="V46" s="13" t="str">
        <f>TEXT(VALUE(Table1[[#This Row],[Content.Column12]])*1000,"#,##0")</f>
        <v>925,542</v>
      </c>
      <c r="W46" s="13" t="str">
        <f>TEXT(VALUE(Table1[[#This Row],[Content.Column13]])*1000,"#,##0")</f>
        <v>3,035,534</v>
      </c>
      <c r="X46" s="13" t="str">
        <f>TEXT(VALUE(Table1[[#This Row],[Content.Column14]])*1000,"#,##0")</f>
        <v>3,177,511</v>
      </c>
      <c r="Y46" s="14" t="str">
        <f>TEXT(VALUE(Table1[[#This Row],[Content.Column3]])*1000,"#,##0")</f>
        <v>2,537,030</v>
      </c>
      <c r="Z46" s="14" t="str">
        <f>TEXT(VALUE(Table1[[#This Row],[Content.Column4]])*1000,"#,##0")</f>
        <v>1,190,152</v>
      </c>
      <c r="AA46" s="14" t="str">
        <f>TEXT(VALUE(Table1[[#This Row],[Content.Column5]])*1000,"#,##0")</f>
        <v>3,727,183</v>
      </c>
      <c r="AB46" s="14" t="str">
        <f>TEXT(VALUE(Table1[[#This Row],[Content.Column6]])*1000,"#,##0")</f>
        <v>3,890,939</v>
      </c>
    </row>
    <row r="47" spans="1:28" x14ac:dyDescent="0.3">
      <c r="A47" t="s">
        <v>112</v>
      </c>
      <c r="B47" t="s">
        <v>113</v>
      </c>
      <c r="C47" s="6">
        <v>1482.905</v>
      </c>
      <c r="D47" s="1">
        <v>831.53899999999999</v>
      </c>
      <c r="E47" s="1">
        <v>2314.4430000000002</v>
      </c>
      <c r="F47" s="1">
        <v>2468.8359999999998</v>
      </c>
      <c r="G47" s="2">
        <v>287.91000000000003</v>
      </c>
      <c r="H47" s="2">
        <v>213.983</v>
      </c>
      <c r="I47" s="2">
        <v>501.89299999999997</v>
      </c>
      <c r="J47" s="2">
        <v>546.57500000000005</v>
      </c>
      <c r="K47" s="3">
        <v>1194.9939999999999</v>
      </c>
      <c r="L47" s="3">
        <v>617.55600000000004</v>
      </c>
      <c r="M47" s="3">
        <v>1812.55</v>
      </c>
      <c r="N47" s="3">
        <v>1922.261</v>
      </c>
      <c r="O47">
        <v>2009</v>
      </c>
      <c r="Q47" s="12" t="str">
        <f>TEXT(VALUE(Table1[[#This Row],[Content.Column7]])*1000,"#,##0")</f>
        <v>287,910</v>
      </c>
      <c r="R47" s="12" t="str">
        <f>TEXT(VALUE(Table1[[#This Row],[Content.Column8]])*1000,"#,##0")</f>
        <v>213,983</v>
      </c>
      <c r="S47" s="12" t="str">
        <f>TEXT(VALUE(Table1[[#This Row],[Content.Column9]])*1000,"#,##0")</f>
        <v>501,893</v>
      </c>
      <c r="T47" s="12" t="str">
        <f>TEXT(VALUE(Table1[[#This Row],[Content.Column10]])*1000,"#,##0")</f>
        <v>546,575</v>
      </c>
      <c r="U47" s="13" t="str">
        <f>TEXT(VALUE(Table1[[#This Row],[Content.Column11]])*1000,"#,##0")</f>
        <v>1,194,994</v>
      </c>
      <c r="V47" s="13" t="str">
        <f>TEXT(VALUE(Table1[[#This Row],[Content.Column12]])*1000,"#,##0")</f>
        <v>617,556</v>
      </c>
      <c r="W47" s="13" t="str">
        <f>TEXT(VALUE(Table1[[#This Row],[Content.Column13]])*1000,"#,##0")</f>
        <v>1,812,550</v>
      </c>
      <c r="X47" s="13" t="str">
        <f>TEXT(VALUE(Table1[[#This Row],[Content.Column14]])*1000,"#,##0")</f>
        <v>1,922,261</v>
      </c>
      <c r="Y47" s="14" t="str">
        <f>TEXT(VALUE(Table1[[#This Row],[Content.Column3]])*1000,"#,##0")</f>
        <v>1,482,905</v>
      </c>
      <c r="Z47" s="14" t="str">
        <f>TEXT(VALUE(Table1[[#This Row],[Content.Column4]])*1000,"#,##0")</f>
        <v>831,539</v>
      </c>
      <c r="AA47" s="14" t="str">
        <f>TEXT(VALUE(Table1[[#This Row],[Content.Column5]])*1000,"#,##0")</f>
        <v>2,314,443</v>
      </c>
      <c r="AB47" s="14" t="str">
        <f>TEXT(VALUE(Table1[[#This Row],[Content.Column6]])*1000,"#,##0")</f>
        <v>2,468,836</v>
      </c>
    </row>
    <row r="48" spans="1:28" x14ac:dyDescent="0.3">
      <c r="A48" t="s">
        <v>114</v>
      </c>
      <c r="B48" t="s">
        <v>115</v>
      </c>
      <c r="C48" s="6">
        <v>765.70799999999997</v>
      </c>
      <c r="D48" s="1">
        <v>405.42599999999999</v>
      </c>
      <c r="E48" s="1">
        <v>1171.134</v>
      </c>
      <c r="F48" s="1">
        <v>1267.039</v>
      </c>
      <c r="G48" s="2">
        <v>212.601</v>
      </c>
      <c r="H48" s="2">
        <v>129.52699999999999</v>
      </c>
      <c r="I48" s="2">
        <v>342.12799999999999</v>
      </c>
      <c r="J48" s="2">
        <v>388.91</v>
      </c>
      <c r="K48" s="3">
        <v>553.10599999999999</v>
      </c>
      <c r="L48" s="3">
        <v>275.89999999999998</v>
      </c>
      <c r="M48" s="3">
        <v>829.00599999999997</v>
      </c>
      <c r="N48" s="3">
        <v>878.12900000000002</v>
      </c>
      <c r="O48">
        <v>2009</v>
      </c>
      <c r="Q48" s="12" t="str">
        <f>TEXT(VALUE(Table1[[#This Row],[Content.Column7]])*1000,"#,##0")</f>
        <v>212,601</v>
      </c>
      <c r="R48" s="12" t="str">
        <f>TEXT(VALUE(Table1[[#This Row],[Content.Column8]])*1000,"#,##0")</f>
        <v>129,527</v>
      </c>
      <c r="S48" s="12" t="str">
        <f>TEXT(VALUE(Table1[[#This Row],[Content.Column9]])*1000,"#,##0")</f>
        <v>342,128</v>
      </c>
      <c r="T48" s="12" t="str">
        <f>TEXT(VALUE(Table1[[#This Row],[Content.Column10]])*1000,"#,##0")</f>
        <v>388,910</v>
      </c>
      <c r="U48" s="13" t="str">
        <f>TEXT(VALUE(Table1[[#This Row],[Content.Column11]])*1000,"#,##0")</f>
        <v>553,106</v>
      </c>
      <c r="V48" s="13" t="str">
        <f>TEXT(VALUE(Table1[[#This Row],[Content.Column12]])*1000,"#,##0")</f>
        <v>275,900</v>
      </c>
      <c r="W48" s="13" t="str">
        <f>TEXT(VALUE(Table1[[#This Row],[Content.Column13]])*1000,"#,##0")</f>
        <v>829,006</v>
      </c>
      <c r="X48" s="13" t="str">
        <f>TEXT(VALUE(Table1[[#This Row],[Content.Column14]])*1000,"#,##0")</f>
        <v>878,129</v>
      </c>
      <c r="Y48" s="14" t="str">
        <f>TEXT(VALUE(Table1[[#This Row],[Content.Column3]])*1000,"#,##0")</f>
        <v>765,708</v>
      </c>
      <c r="Z48" s="14" t="str">
        <f>TEXT(VALUE(Table1[[#This Row],[Content.Column4]])*1000,"#,##0")</f>
        <v>405,426</v>
      </c>
      <c r="AA48" s="14" t="str">
        <f>TEXT(VALUE(Table1[[#This Row],[Content.Column5]])*1000,"#,##0")</f>
        <v>1,171,134</v>
      </c>
      <c r="AB48" s="14" t="str">
        <f>TEXT(VALUE(Table1[[#This Row],[Content.Column6]])*1000,"#,##0")</f>
        <v>1,267,039</v>
      </c>
    </row>
    <row r="49" spans="1:28" x14ac:dyDescent="0.3">
      <c r="A49" t="s">
        <v>116</v>
      </c>
      <c r="B49" t="s">
        <v>117</v>
      </c>
      <c r="C49" s="6">
        <v>1635.884</v>
      </c>
      <c r="D49" s="1">
        <v>770.899</v>
      </c>
      <c r="E49" s="1">
        <v>2406.7820000000002</v>
      </c>
      <c r="F49" s="1">
        <v>2523.0540000000001</v>
      </c>
      <c r="G49" s="2">
        <v>423.35599999999999</v>
      </c>
      <c r="H49" s="2">
        <v>243.697</v>
      </c>
      <c r="I49" s="2">
        <v>667.053</v>
      </c>
      <c r="J49" s="2">
        <v>710.19899999999996</v>
      </c>
      <c r="K49" s="3">
        <v>1212.528</v>
      </c>
      <c r="L49" s="3">
        <v>527.202</v>
      </c>
      <c r="M49" s="3">
        <v>1739.729</v>
      </c>
      <c r="N49" s="3">
        <v>1812.854</v>
      </c>
      <c r="O49">
        <v>2009</v>
      </c>
      <c r="Q49" s="12" t="str">
        <f>TEXT(VALUE(Table1[[#This Row],[Content.Column7]])*1000,"#,##0")</f>
        <v>423,356</v>
      </c>
      <c r="R49" s="12" t="str">
        <f>TEXT(VALUE(Table1[[#This Row],[Content.Column8]])*1000,"#,##0")</f>
        <v>243,697</v>
      </c>
      <c r="S49" s="12" t="str">
        <f>TEXT(VALUE(Table1[[#This Row],[Content.Column9]])*1000,"#,##0")</f>
        <v>667,053</v>
      </c>
      <c r="T49" s="12" t="str">
        <f>TEXT(VALUE(Table1[[#This Row],[Content.Column10]])*1000,"#,##0")</f>
        <v>710,199</v>
      </c>
      <c r="U49" s="13" t="str">
        <f>TEXT(VALUE(Table1[[#This Row],[Content.Column11]])*1000,"#,##0")</f>
        <v>1,212,528</v>
      </c>
      <c r="V49" s="13" t="str">
        <f>TEXT(VALUE(Table1[[#This Row],[Content.Column12]])*1000,"#,##0")</f>
        <v>527,202</v>
      </c>
      <c r="W49" s="13" t="str">
        <f>TEXT(VALUE(Table1[[#This Row],[Content.Column13]])*1000,"#,##0")</f>
        <v>1,739,729</v>
      </c>
      <c r="X49" s="13" t="str">
        <f>TEXT(VALUE(Table1[[#This Row],[Content.Column14]])*1000,"#,##0")</f>
        <v>1,812,854</v>
      </c>
      <c r="Y49" s="14" t="str">
        <f>TEXT(VALUE(Table1[[#This Row],[Content.Column3]])*1000,"#,##0")</f>
        <v>1,635,884</v>
      </c>
      <c r="Z49" s="14" t="str">
        <f>TEXT(VALUE(Table1[[#This Row],[Content.Column4]])*1000,"#,##0")</f>
        <v>770,899</v>
      </c>
      <c r="AA49" s="14" t="str">
        <f>TEXT(VALUE(Table1[[#This Row],[Content.Column5]])*1000,"#,##0")</f>
        <v>2,406,782</v>
      </c>
      <c r="AB49" s="14" t="str">
        <f>TEXT(VALUE(Table1[[#This Row],[Content.Column6]])*1000,"#,##0")</f>
        <v>2,523,054</v>
      </c>
    </row>
    <row r="50" spans="1:28" x14ac:dyDescent="0.3">
      <c r="A50" t="s">
        <v>118</v>
      </c>
      <c r="B50" t="s">
        <v>119</v>
      </c>
      <c r="C50" s="6">
        <v>15708.636</v>
      </c>
      <c r="D50" s="1">
        <v>7356.0370000000003</v>
      </c>
      <c r="E50" s="1">
        <v>23064.673999999999</v>
      </c>
      <c r="F50" s="1">
        <v>24068.097000000002</v>
      </c>
      <c r="G50" s="2">
        <v>3031.712</v>
      </c>
      <c r="H50" s="2">
        <v>1820.7850000000001</v>
      </c>
      <c r="I50" s="2">
        <v>4852.4970000000003</v>
      </c>
      <c r="J50" s="2">
        <v>5039.8459999999995</v>
      </c>
      <c r="K50" s="3">
        <v>12676.924000000001</v>
      </c>
      <c r="L50" s="3">
        <v>5535.2520000000004</v>
      </c>
      <c r="M50" s="3">
        <v>18212.177</v>
      </c>
      <c r="N50" s="3">
        <v>19028.251</v>
      </c>
      <c r="O50">
        <v>2009</v>
      </c>
      <c r="Q50" s="12" t="str">
        <f>TEXT(VALUE(Table1[[#This Row],[Content.Column7]])*1000,"#,##0")</f>
        <v>3,031,712</v>
      </c>
      <c r="R50" s="12" t="str">
        <f>TEXT(VALUE(Table1[[#This Row],[Content.Column8]])*1000,"#,##0")</f>
        <v>1,820,785</v>
      </c>
      <c r="S50" s="12" t="str">
        <f>TEXT(VALUE(Table1[[#This Row],[Content.Column9]])*1000,"#,##0")</f>
        <v>4,852,497</v>
      </c>
      <c r="T50" s="12" t="str">
        <f>TEXT(VALUE(Table1[[#This Row],[Content.Column10]])*1000,"#,##0")</f>
        <v>5,039,846</v>
      </c>
      <c r="U50" s="13" t="str">
        <f>TEXT(VALUE(Table1[[#This Row],[Content.Column11]])*1000,"#,##0")</f>
        <v>12,676,924</v>
      </c>
      <c r="V50" s="13" t="str">
        <f>TEXT(VALUE(Table1[[#This Row],[Content.Column12]])*1000,"#,##0")</f>
        <v>5,535,252</v>
      </c>
      <c r="W50" s="13" t="str">
        <f>TEXT(VALUE(Table1[[#This Row],[Content.Column13]])*1000,"#,##0")</f>
        <v>18,212,177</v>
      </c>
      <c r="X50" s="13" t="str">
        <f>TEXT(VALUE(Table1[[#This Row],[Content.Column14]])*1000,"#,##0")</f>
        <v>19,028,251</v>
      </c>
      <c r="Y50" s="14" t="str">
        <f>TEXT(VALUE(Table1[[#This Row],[Content.Column3]])*1000,"#,##0")</f>
        <v>15,708,636</v>
      </c>
      <c r="Z50" s="14" t="str">
        <f>TEXT(VALUE(Table1[[#This Row],[Content.Column4]])*1000,"#,##0")</f>
        <v>7,356,037</v>
      </c>
      <c r="AA50" s="14" t="str">
        <f>TEXT(VALUE(Table1[[#This Row],[Content.Column5]])*1000,"#,##0")</f>
        <v>23,064,674</v>
      </c>
      <c r="AB50" s="14" t="str">
        <f>TEXT(VALUE(Table1[[#This Row],[Content.Column6]])*1000,"#,##0")</f>
        <v>24,068,097</v>
      </c>
    </row>
    <row r="51" spans="1:28" x14ac:dyDescent="0.3">
      <c r="A51" t="s">
        <v>120</v>
      </c>
      <c r="B51" t="s">
        <v>121</v>
      </c>
      <c r="C51" s="6">
        <v>18110.226999999999</v>
      </c>
      <c r="D51" s="1">
        <v>8532.3619999999992</v>
      </c>
      <c r="E51" s="1">
        <v>26642.59</v>
      </c>
      <c r="F51" s="1">
        <v>27858.19</v>
      </c>
      <c r="G51" s="2">
        <v>3667.6689999999999</v>
      </c>
      <c r="H51" s="2">
        <v>2194.009</v>
      </c>
      <c r="I51" s="2">
        <v>5861.6779999999999</v>
      </c>
      <c r="J51" s="2">
        <v>6138.9560000000001</v>
      </c>
      <c r="K51" s="3">
        <v>14442.558000000001</v>
      </c>
      <c r="L51" s="3">
        <v>6338.3530000000001</v>
      </c>
      <c r="M51" s="3">
        <v>20780.913</v>
      </c>
      <c r="N51" s="3">
        <v>21719.234</v>
      </c>
      <c r="O51">
        <v>2009</v>
      </c>
      <c r="Q51" s="12" t="str">
        <f>TEXT(VALUE(Table1[[#This Row],[Content.Column7]])*1000,"#,##0")</f>
        <v>3,667,669</v>
      </c>
      <c r="R51" s="12" t="str">
        <f>TEXT(VALUE(Table1[[#This Row],[Content.Column8]])*1000,"#,##0")</f>
        <v>2,194,009</v>
      </c>
      <c r="S51" s="12" t="str">
        <f>TEXT(VALUE(Table1[[#This Row],[Content.Column9]])*1000,"#,##0")</f>
        <v>5,861,678</v>
      </c>
      <c r="T51" s="12" t="str">
        <f>TEXT(VALUE(Table1[[#This Row],[Content.Column10]])*1000,"#,##0")</f>
        <v>6,138,956</v>
      </c>
      <c r="U51" s="13" t="str">
        <f>TEXT(VALUE(Table1[[#This Row],[Content.Column11]])*1000,"#,##0")</f>
        <v>14,442,558</v>
      </c>
      <c r="V51" s="13" t="str">
        <f>TEXT(VALUE(Table1[[#This Row],[Content.Column12]])*1000,"#,##0")</f>
        <v>6,338,353</v>
      </c>
      <c r="W51" s="13" t="str">
        <f>TEXT(VALUE(Table1[[#This Row],[Content.Column13]])*1000,"#,##0")</f>
        <v>20,780,913</v>
      </c>
      <c r="X51" s="13" t="str">
        <f>TEXT(VALUE(Table1[[#This Row],[Content.Column14]])*1000,"#,##0")</f>
        <v>21,719,234</v>
      </c>
      <c r="Y51" s="14" t="str">
        <f>TEXT(VALUE(Table1[[#This Row],[Content.Column3]])*1000,"#,##0")</f>
        <v>18,110,227</v>
      </c>
      <c r="Z51" s="14" t="str">
        <f>TEXT(VALUE(Table1[[#This Row],[Content.Column4]])*1000,"#,##0")</f>
        <v>8,532,362</v>
      </c>
      <c r="AA51" s="14" t="str">
        <f>TEXT(VALUE(Table1[[#This Row],[Content.Column5]])*1000,"#,##0")</f>
        <v>26,642,590</v>
      </c>
      <c r="AB51" s="14" t="str">
        <f>TEXT(VALUE(Table1[[#This Row],[Content.Column6]])*1000,"#,##0")</f>
        <v>27,858,190</v>
      </c>
    </row>
    <row r="52" spans="1:28" x14ac:dyDescent="0.3">
      <c r="A52" t="s">
        <v>26</v>
      </c>
      <c r="B52" t="s">
        <v>27</v>
      </c>
      <c r="C52" s="6">
        <v>302.72399999999999</v>
      </c>
      <c r="D52" s="1">
        <v>42.378</v>
      </c>
      <c r="E52" s="1">
        <v>345.08699999999999</v>
      </c>
      <c r="F52" s="1">
        <v>356.62299999999999</v>
      </c>
      <c r="G52" s="2">
        <v>17.608000000000001</v>
      </c>
      <c r="H52" s="2">
        <v>1.94</v>
      </c>
      <c r="I52" s="2">
        <v>19.547999999999998</v>
      </c>
      <c r="J52" s="2">
        <v>19.603000000000002</v>
      </c>
      <c r="K52" s="3">
        <v>285.11599999999999</v>
      </c>
      <c r="L52" s="3">
        <v>40.438000000000002</v>
      </c>
      <c r="M52" s="3">
        <v>325.53899999999999</v>
      </c>
      <c r="N52" s="3">
        <v>337.02</v>
      </c>
      <c r="O52">
        <v>2010</v>
      </c>
      <c r="Q52" s="12" t="str">
        <f>TEXT(VALUE(Table1[[#This Row],[Content.Column7]])*1000,"#,##0")</f>
        <v>17,608</v>
      </c>
      <c r="R52" s="12" t="str">
        <f>TEXT(VALUE(Table1[[#This Row],[Content.Column8]])*1000,"#,##0")</f>
        <v>1,940</v>
      </c>
      <c r="S52" s="12" t="str">
        <f>TEXT(VALUE(Table1[[#This Row],[Content.Column9]])*1000,"#,##0")</f>
        <v>19,548</v>
      </c>
      <c r="T52" s="12" t="str">
        <f>TEXT(VALUE(Table1[[#This Row],[Content.Column10]])*1000,"#,##0")</f>
        <v>19,603</v>
      </c>
      <c r="U52" s="13" t="str">
        <f>TEXT(VALUE(Table1[[#This Row],[Content.Column11]])*1000,"#,##0")</f>
        <v>285,116</v>
      </c>
      <c r="V52" s="13" t="str">
        <f>TEXT(VALUE(Table1[[#This Row],[Content.Column12]])*1000,"#,##0")</f>
        <v>40,438</v>
      </c>
      <c r="W52" s="13" t="str">
        <f>TEXT(VALUE(Table1[[#This Row],[Content.Column13]])*1000,"#,##0")</f>
        <v>325,539</v>
      </c>
      <c r="X52" s="13" t="str">
        <f>TEXT(VALUE(Table1[[#This Row],[Content.Column14]])*1000,"#,##0")</f>
        <v>337,020</v>
      </c>
      <c r="Y52" s="14" t="str">
        <f>TEXT(VALUE(Table1[[#This Row],[Content.Column3]])*1000,"#,##0")</f>
        <v>302,724</v>
      </c>
      <c r="Z52" s="14" t="str">
        <f>TEXT(VALUE(Table1[[#This Row],[Content.Column4]])*1000,"#,##0")</f>
        <v>42,378</v>
      </c>
      <c r="AA52" s="14" t="str">
        <f>TEXT(VALUE(Table1[[#This Row],[Content.Column5]])*1000,"#,##0")</f>
        <v>345,087</v>
      </c>
      <c r="AB52" s="14" t="str">
        <f>TEXT(VALUE(Table1[[#This Row],[Content.Column6]])*1000,"#,##0")</f>
        <v>356,623</v>
      </c>
    </row>
    <row r="53" spans="1:28" x14ac:dyDescent="0.3">
      <c r="A53" t="s">
        <v>28</v>
      </c>
      <c r="B53" t="s">
        <v>29</v>
      </c>
      <c r="C53" s="6">
        <v>33.317999999999998</v>
      </c>
      <c r="D53" s="1">
        <v>14.166</v>
      </c>
      <c r="E53" s="1">
        <v>47.481999999999999</v>
      </c>
      <c r="F53" s="1">
        <v>48.337000000000003</v>
      </c>
      <c r="G53" s="2">
        <v>6.6950000000000003</v>
      </c>
      <c r="H53" s="2">
        <v>5.7750000000000004</v>
      </c>
      <c r="I53" s="2">
        <v>12.47</v>
      </c>
      <c r="J53" s="2">
        <v>12.494</v>
      </c>
      <c r="K53" s="3">
        <v>26.623000000000001</v>
      </c>
      <c r="L53" s="3">
        <v>8.391</v>
      </c>
      <c r="M53" s="3">
        <v>35.012</v>
      </c>
      <c r="N53" s="3">
        <v>35.843000000000004</v>
      </c>
      <c r="O53">
        <v>2010</v>
      </c>
      <c r="Q53" s="12" t="str">
        <f>TEXT(VALUE(Table1[[#This Row],[Content.Column7]])*1000,"#,##0")</f>
        <v>6,695</v>
      </c>
      <c r="R53" s="12" t="str">
        <f>TEXT(VALUE(Table1[[#This Row],[Content.Column8]])*1000,"#,##0")</f>
        <v>5,775</v>
      </c>
      <c r="S53" s="12" t="str">
        <f>TEXT(VALUE(Table1[[#This Row],[Content.Column9]])*1000,"#,##0")</f>
        <v>12,470</v>
      </c>
      <c r="T53" s="12" t="str">
        <f>TEXT(VALUE(Table1[[#This Row],[Content.Column10]])*1000,"#,##0")</f>
        <v>12,494</v>
      </c>
      <c r="U53" s="13" t="str">
        <f>TEXT(VALUE(Table1[[#This Row],[Content.Column11]])*1000,"#,##0")</f>
        <v>26,623</v>
      </c>
      <c r="V53" s="13" t="str">
        <f>TEXT(VALUE(Table1[[#This Row],[Content.Column12]])*1000,"#,##0")</f>
        <v>8,391</v>
      </c>
      <c r="W53" s="13" t="str">
        <f>TEXT(VALUE(Table1[[#This Row],[Content.Column13]])*1000,"#,##0")</f>
        <v>35,012</v>
      </c>
      <c r="X53" s="13" t="str">
        <f>TEXT(VALUE(Table1[[#This Row],[Content.Column14]])*1000,"#,##0")</f>
        <v>35,843</v>
      </c>
      <c r="Y53" s="14" t="str">
        <f>TEXT(VALUE(Table1[[#This Row],[Content.Column3]])*1000,"#,##0")</f>
        <v>33,318</v>
      </c>
      <c r="Z53" s="14" t="str">
        <f>TEXT(VALUE(Table1[[#This Row],[Content.Column4]])*1000,"#,##0")</f>
        <v>14,166</v>
      </c>
      <c r="AA53" s="14" t="str">
        <f>TEXT(VALUE(Table1[[#This Row],[Content.Column5]])*1000,"#,##0")</f>
        <v>47,482</v>
      </c>
      <c r="AB53" s="14" t="str">
        <f>TEXT(VALUE(Table1[[#This Row],[Content.Column6]])*1000,"#,##0")</f>
        <v>48,337</v>
      </c>
    </row>
    <row r="54" spans="1:28" x14ac:dyDescent="0.3">
      <c r="A54" t="s">
        <v>30</v>
      </c>
      <c r="B54" t="s">
        <v>31</v>
      </c>
      <c r="C54" s="6">
        <v>72.846999999999994</v>
      </c>
      <c r="D54" s="1">
        <v>39.216000000000001</v>
      </c>
      <c r="E54" s="1">
        <v>112.059</v>
      </c>
      <c r="F54" s="1">
        <v>115.75</v>
      </c>
      <c r="G54" s="2">
        <v>15.146000000000001</v>
      </c>
      <c r="H54" s="2">
        <v>10.898999999999999</v>
      </c>
      <c r="I54" s="2">
        <v>26.045000000000002</v>
      </c>
      <c r="J54" s="2">
        <v>26.062999999999999</v>
      </c>
      <c r="K54" s="3">
        <v>57.701000000000001</v>
      </c>
      <c r="L54" s="3">
        <v>28.317</v>
      </c>
      <c r="M54" s="3">
        <v>86.015000000000001</v>
      </c>
      <c r="N54" s="3">
        <v>89.686999999999998</v>
      </c>
      <c r="O54">
        <v>2010</v>
      </c>
      <c r="Q54" s="12" t="str">
        <f>TEXT(VALUE(Table1[[#This Row],[Content.Column7]])*1000,"#,##0")</f>
        <v>15,146</v>
      </c>
      <c r="R54" s="12" t="str">
        <f>TEXT(VALUE(Table1[[#This Row],[Content.Column8]])*1000,"#,##0")</f>
        <v>10,899</v>
      </c>
      <c r="S54" s="12" t="str">
        <f>TEXT(VALUE(Table1[[#This Row],[Content.Column9]])*1000,"#,##0")</f>
        <v>26,045</v>
      </c>
      <c r="T54" s="12" t="str">
        <f>TEXT(VALUE(Table1[[#This Row],[Content.Column10]])*1000,"#,##0")</f>
        <v>26,063</v>
      </c>
      <c r="U54" s="13" t="str">
        <f>TEXT(VALUE(Table1[[#This Row],[Content.Column11]])*1000,"#,##0")</f>
        <v>57,701</v>
      </c>
      <c r="V54" s="13" t="str">
        <f>TEXT(VALUE(Table1[[#This Row],[Content.Column12]])*1000,"#,##0")</f>
        <v>28,317</v>
      </c>
      <c r="W54" s="13" t="str">
        <f>TEXT(VALUE(Table1[[#This Row],[Content.Column13]])*1000,"#,##0")</f>
        <v>86,015</v>
      </c>
      <c r="X54" s="13" t="str">
        <f>TEXT(VALUE(Table1[[#This Row],[Content.Column14]])*1000,"#,##0")</f>
        <v>89,687</v>
      </c>
      <c r="Y54" s="14" t="str">
        <f>TEXT(VALUE(Table1[[#This Row],[Content.Column3]])*1000,"#,##0")</f>
        <v>72,847</v>
      </c>
      <c r="Z54" s="14" t="str">
        <f>TEXT(VALUE(Table1[[#This Row],[Content.Column4]])*1000,"#,##0")</f>
        <v>39,216</v>
      </c>
      <c r="AA54" s="14" t="str">
        <f>TEXT(VALUE(Table1[[#This Row],[Content.Column5]])*1000,"#,##0")</f>
        <v>112,059</v>
      </c>
      <c r="AB54" s="14" t="str">
        <f>TEXT(VALUE(Table1[[#This Row],[Content.Column6]])*1000,"#,##0")</f>
        <v>115,750</v>
      </c>
    </row>
    <row r="55" spans="1:28" x14ac:dyDescent="0.3">
      <c r="A55" t="s">
        <v>32</v>
      </c>
      <c r="B55" t="s">
        <v>33</v>
      </c>
      <c r="C55" s="6">
        <v>41.753999999999998</v>
      </c>
      <c r="D55" s="1">
        <v>22.937999999999999</v>
      </c>
      <c r="E55" s="1">
        <v>64.69</v>
      </c>
      <c r="F55" s="1">
        <v>66.7</v>
      </c>
      <c r="G55" s="2">
        <v>7.4450000000000003</v>
      </c>
      <c r="H55" s="2">
        <v>5.1669999999999998</v>
      </c>
      <c r="I55" s="2">
        <v>12.613</v>
      </c>
      <c r="J55" s="2">
        <v>12.62</v>
      </c>
      <c r="K55" s="3">
        <v>34.308999999999997</v>
      </c>
      <c r="L55" s="3">
        <v>17.77</v>
      </c>
      <c r="M55" s="3">
        <v>52.076999999999998</v>
      </c>
      <c r="N55" s="3">
        <v>54.08</v>
      </c>
      <c r="O55">
        <v>2010</v>
      </c>
      <c r="Q55" s="12" t="str">
        <f>TEXT(VALUE(Table1[[#This Row],[Content.Column7]])*1000,"#,##0")</f>
        <v>7,445</v>
      </c>
      <c r="R55" s="12" t="str">
        <f>TEXT(VALUE(Table1[[#This Row],[Content.Column8]])*1000,"#,##0")</f>
        <v>5,167</v>
      </c>
      <c r="S55" s="12" t="str">
        <f>TEXT(VALUE(Table1[[#This Row],[Content.Column9]])*1000,"#,##0")</f>
        <v>12,613</v>
      </c>
      <c r="T55" s="12" t="str">
        <f>TEXT(VALUE(Table1[[#This Row],[Content.Column10]])*1000,"#,##0")</f>
        <v>12,620</v>
      </c>
      <c r="U55" s="13" t="str">
        <f>TEXT(VALUE(Table1[[#This Row],[Content.Column11]])*1000,"#,##0")</f>
        <v>34,309</v>
      </c>
      <c r="V55" s="13" t="str">
        <f>TEXT(VALUE(Table1[[#This Row],[Content.Column12]])*1000,"#,##0")</f>
        <v>17,770</v>
      </c>
      <c r="W55" s="13" t="str">
        <f>TEXT(VALUE(Table1[[#This Row],[Content.Column13]])*1000,"#,##0")</f>
        <v>52,077</v>
      </c>
      <c r="X55" s="13" t="str">
        <f>TEXT(VALUE(Table1[[#This Row],[Content.Column14]])*1000,"#,##0")</f>
        <v>54,080</v>
      </c>
      <c r="Y55" s="14" t="str">
        <f>TEXT(VALUE(Table1[[#This Row],[Content.Column3]])*1000,"#,##0")</f>
        <v>41,754</v>
      </c>
      <c r="Z55" s="14" t="str">
        <f>TEXT(VALUE(Table1[[#This Row],[Content.Column4]])*1000,"#,##0")</f>
        <v>22,938</v>
      </c>
      <c r="AA55" s="14" t="str">
        <f>TEXT(VALUE(Table1[[#This Row],[Content.Column5]])*1000,"#,##0")</f>
        <v>64,690</v>
      </c>
      <c r="AB55" s="14" t="str">
        <f>TEXT(VALUE(Table1[[#This Row],[Content.Column6]])*1000,"#,##0")</f>
        <v>66,700</v>
      </c>
    </row>
    <row r="56" spans="1:28" x14ac:dyDescent="0.3">
      <c r="A56" t="s">
        <v>34</v>
      </c>
      <c r="B56" t="s">
        <v>35</v>
      </c>
      <c r="C56" s="6">
        <v>68.328999999999994</v>
      </c>
      <c r="D56" s="1">
        <v>28.437999999999999</v>
      </c>
      <c r="E56" s="1">
        <v>96.765000000000001</v>
      </c>
      <c r="F56" s="1">
        <v>99</v>
      </c>
      <c r="G56" s="2">
        <v>14.144</v>
      </c>
      <c r="H56" s="2">
        <v>6.9059999999999997</v>
      </c>
      <c r="I56" s="2">
        <v>21.05</v>
      </c>
      <c r="J56" s="2">
        <v>21.082999999999998</v>
      </c>
      <c r="K56" s="3">
        <v>54.185000000000002</v>
      </c>
      <c r="L56" s="3">
        <v>21.532</v>
      </c>
      <c r="M56" s="3">
        <v>75.715000000000003</v>
      </c>
      <c r="N56" s="3">
        <v>77.917000000000002</v>
      </c>
      <c r="O56">
        <v>2010</v>
      </c>
      <c r="Q56" s="12" t="str">
        <f>TEXT(VALUE(Table1[[#This Row],[Content.Column7]])*1000,"#,##0")</f>
        <v>14,144</v>
      </c>
      <c r="R56" s="12" t="str">
        <f>TEXT(VALUE(Table1[[#This Row],[Content.Column8]])*1000,"#,##0")</f>
        <v>6,906</v>
      </c>
      <c r="S56" s="12" t="str">
        <f>TEXT(VALUE(Table1[[#This Row],[Content.Column9]])*1000,"#,##0")</f>
        <v>21,050</v>
      </c>
      <c r="T56" s="12" t="str">
        <f>TEXT(VALUE(Table1[[#This Row],[Content.Column10]])*1000,"#,##0")</f>
        <v>21,083</v>
      </c>
      <c r="U56" s="13" t="str">
        <f>TEXT(VALUE(Table1[[#This Row],[Content.Column11]])*1000,"#,##0")</f>
        <v>54,185</v>
      </c>
      <c r="V56" s="13" t="str">
        <f>TEXT(VALUE(Table1[[#This Row],[Content.Column12]])*1000,"#,##0")</f>
        <v>21,532</v>
      </c>
      <c r="W56" s="13" t="str">
        <f>TEXT(VALUE(Table1[[#This Row],[Content.Column13]])*1000,"#,##0")</f>
        <v>75,715</v>
      </c>
      <c r="X56" s="13" t="str">
        <f>TEXT(VALUE(Table1[[#This Row],[Content.Column14]])*1000,"#,##0")</f>
        <v>77,917</v>
      </c>
      <c r="Y56" s="14" t="str">
        <f>TEXT(VALUE(Table1[[#This Row],[Content.Column3]])*1000,"#,##0")</f>
        <v>68,329</v>
      </c>
      <c r="Z56" s="14" t="str">
        <f>TEXT(VALUE(Table1[[#This Row],[Content.Column4]])*1000,"#,##0")</f>
        <v>28,438</v>
      </c>
      <c r="AA56" s="14" t="str">
        <f>TEXT(VALUE(Table1[[#This Row],[Content.Column5]])*1000,"#,##0")</f>
        <v>96,765</v>
      </c>
      <c r="AB56" s="14" t="str">
        <f>TEXT(VALUE(Table1[[#This Row],[Content.Column6]])*1000,"#,##0")</f>
        <v>99,000</v>
      </c>
    </row>
    <row r="57" spans="1:28" x14ac:dyDescent="0.3">
      <c r="A57" t="s">
        <v>36</v>
      </c>
      <c r="B57" t="s">
        <v>37</v>
      </c>
      <c r="C57" s="6">
        <v>62.741999999999997</v>
      </c>
      <c r="D57" s="1">
        <v>37.637</v>
      </c>
      <c r="E57" s="1">
        <v>100.376</v>
      </c>
      <c r="F57" s="1">
        <v>103.46899999999999</v>
      </c>
      <c r="G57" s="2">
        <v>12.077999999999999</v>
      </c>
      <c r="H57" s="2">
        <v>9.4830000000000005</v>
      </c>
      <c r="I57" s="2">
        <v>21.561</v>
      </c>
      <c r="J57" s="2">
        <v>21.585999999999999</v>
      </c>
      <c r="K57" s="3">
        <v>50.662999999999997</v>
      </c>
      <c r="L57" s="3">
        <v>28.154</v>
      </c>
      <c r="M57" s="3">
        <v>78.814999999999998</v>
      </c>
      <c r="N57" s="3">
        <v>81.882999999999996</v>
      </c>
      <c r="O57">
        <v>2010</v>
      </c>
      <c r="Q57" s="12" t="str">
        <f>TEXT(VALUE(Table1[[#This Row],[Content.Column7]])*1000,"#,##0")</f>
        <v>12,078</v>
      </c>
      <c r="R57" s="12" t="str">
        <f>TEXT(VALUE(Table1[[#This Row],[Content.Column8]])*1000,"#,##0")</f>
        <v>9,483</v>
      </c>
      <c r="S57" s="12" t="str">
        <f>TEXT(VALUE(Table1[[#This Row],[Content.Column9]])*1000,"#,##0")</f>
        <v>21,561</v>
      </c>
      <c r="T57" s="12" t="str">
        <f>TEXT(VALUE(Table1[[#This Row],[Content.Column10]])*1000,"#,##0")</f>
        <v>21,586</v>
      </c>
      <c r="U57" s="13" t="str">
        <f>TEXT(VALUE(Table1[[#This Row],[Content.Column11]])*1000,"#,##0")</f>
        <v>50,663</v>
      </c>
      <c r="V57" s="13" t="str">
        <f>TEXT(VALUE(Table1[[#This Row],[Content.Column12]])*1000,"#,##0")</f>
        <v>28,154</v>
      </c>
      <c r="W57" s="13" t="str">
        <f>TEXT(VALUE(Table1[[#This Row],[Content.Column13]])*1000,"#,##0")</f>
        <v>78,815</v>
      </c>
      <c r="X57" s="13" t="str">
        <f>TEXT(VALUE(Table1[[#This Row],[Content.Column14]])*1000,"#,##0")</f>
        <v>81,883</v>
      </c>
      <c r="Y57" s="14" t="str">
        <f>TEXT(VALUE(Table1[[#This Row],[Content.Column3]])*1000,"#,##0")</f>
        <v>62,742</v>
      </c>
      <c r="Z57" s="14" t="str">
        <f>TEXT(VALUE(Table1[[#This Row],[Content.Column4]])*1000,"#,##0")</f>
        <v>37,637</v>
      </c>
      <c r="AA57" s="14" t="str">
        <f>TEXT(VALUE(Table1[[#This Row],[Content.Column5]])*1000,"#,##0")</f>
        <v>100,376</v>
      </c>
      <c r="AB57" s="14" t="str">
        <f>TEXT(VALUE(Table1[[#This Row],[Content.Column6]])*1000,"#,##0")</f>
        <v>103,469</v>
      </c>
    </row>
    <row r="58" spans="1:28" x14ac:dyDescent="0.3">
      <c r="A58" t="s">
        <v>38</v>
      </c>
      <c r="B58" t="s">
        <v>39</v>
      </c>
      <c r="C58" s="6">
        <v>217.29900000000001</v>
      </c>
      <c r="D58" s="1">
        <v>62.720999999999997</v>
      </c>
      <c r="E58" s="1">
        <v>280.00900000000001</v>
      </c>
      <c r="F58" s="1">
        <v>289.25299999999999</v>
      </c>
      <c r="G58" s="2">
        <v>34.43</v>
      </c>
      <c r="H58" s="2">
        <v>9.9169999999999998</v>
      </c>
      <c r="I58" s="2">
        <v>44.347000000000001</v>
      </c>
      <c r="J58" s="2">
        <v>44.430999999999997</v>
      </c>
      <c r="K58" s="3">
        <v>182.87</v>
      </c>
      <c r="L58" s="3">
        <v>52.802999999999997</v>
      </c>
      <c r="M58" s="3">
        <v>235.66200000000001</v>
      </c>
      <c r="N58" s="3">
        <v>244.822</v>
      </c>
      <c r="O58">
        <v>2010</v>
      </c>
      <c r="Q58" s="12" t="str">
        <f>TEXT(VALUE(Table1[[#This Row],[Content.Column7]])*1000,"#,##0")</f>
        <v>34,430</v>
      </c>
      <c r="R58" s="12" t="str">
        <f>TEXT(VALUE(Table1[[#This Row],[Content.Column8]])*1000,"#,##0")</f>
        <v>9,917</v>
      </c>
      <c r="S58" s="12" t="str">
        <f>TEXT(VALUE(Table1[[#This Row],[Content.Column9]])*1000,"#,##0")</f>
        <v>44,347</v>
      </c>
      <c r="T58" s="12" t="str">
        <f>TEXT(VALUE(Table1[[#This Row],[Content.Column10]])*1000,"#,##0")</f>
        <v>44,431</v>
      </c>
      <c r="U58" s="13" t="str">
        <f>TEXT(VALUE(Table1[[#This Row],[Content.Column11]])*1000,"#,##0")</f>
        <v>182,870</v>
      </c>
      <c r="V58" s="13" t="str">
        <f>TEXT(VALUE(Table1[[#This Row],[Content.Column12]])*1000,"#,##0")</f>
        <v>52,803</v>
      </c>
      <c r="W58" s="13" t="str">
        <f>TEXT(VALUE(Table1[[#This Row],[Content.Column13]])*1000,"#,##0")</f>
        <v>235,662</v>
      </c>
      <c r="X58" s="13" t="str">
        <f>TEXT(VALUE(Table1[[#This Row],[Content.Column14]])*1000,"#,##0")</f>
        <v>244,822</v>
      </c>
      <c r="Y58" s="14" t="str">
        <f>TEXT(VALUE(Table1[[#This Row],[Content.Column3]])*1000,"#,##0")</f>
        <v>217,299</v>
      </c>
      <c r="Z58" s="14" t="str">
        <f>TEXT(VALUE(Table1[[#This Row],[Content.Column4]])*1000,"#,##0")</f>
        <v>62,721</v>
      </c>
      <c r="AA58" s="14" t="str">
        <f>TEXT(VALUE(Table1[[#This Row],[Content.Column5]])*1000,"#,##0")</f>
        <v>280,009</v>
      </c>
      <c r="AB58" s="14" t="str">
        <f>TEXT(VALUE(Table1[[#This Row],[Content.Column6]])*1000,"#,##0")</f>
        <v>289,253</v>
      </c>
    </row>
    <row r="59" spans="1:28" x14ac:dyDescent="0.3">
      <c r="A59" t="s">
        <v>40</v>
      </c>
      <c r="B59" t="s">
        <v>41</v>
      </c>
      <c r="C59" s="6">
        <v>81.260999999999996</v>
      </c>
      <c r="D59" s="1">
        <v>37.921999999999997</v>
      </c>
      <c r="E59" s="1">
        <v>119.179</v>
      </c>
      <c r="F59" s="1">
        <v>122.30500000000001</v>
      </c>
      <c r="G59" s="2">
        <v>20.715</v>
      </c>
      <c r="H59" s="2">
        <v>8.7690000000000001</v>
      </c>
      <c r="I59" s="2">
        <v>29.483000000000001</v>
      </c>
      <c r="J59" s="2">
        <v>29.568000000000001</v>
      </c>
      <c r="K59" s="3">
        <v>60.546999999999997</v>
      </c>
      <c r="L59" s="3">
        <v>29.152999999999999</v>
      </c>
      <c r="M59" s="3">
        <v>89.694999999999993</v>
      </c>
      <c r="N59" s="3">
        <v>92.736999999999995</v>
      </c>
      <c r="O59">
        <v>2010</v>
      </c>
      <c r="Q59" s="12" t="str">
        <f>TEXT(VALUE(Table1[[#This Row],[Content.Column7]])*1000,"#,##0")</f>
        <v>20,715</v>
      </c>
      <c r="R59" s="12" t="str">
        <f>TEXT(VALUE(Table1[[#This Row],[Content.Column8]])*1000,"#,##0")</f>
        <v>8,769</v>
      </c>
      <c r="S59" s="12" t="str">
        <f>TEXT(VALUE(Table1[[#This Row],[Content.Column9]])*1000,"#,##0")</f>
        <v>29,483</v>
      </c>
      <c r="T59" s="12" t="str">
        <f>TEXT(VALUE(Table1[[#This Row],[Content.Column10]])*1000,"#,##0")</f>
        <v>29,568</v>
      </c>
      <c r="U59" s="13" t="str">
        <f>TEXT(VALUE(Table1[[#This Row],[Content.Column11]])*1000,"#,##0")</f>
        <v>60,547</v>
      </c>
      <c r="V59" s="13" t="str">
        <f>TEXT(VALUE(Table1[[#This Row],[Content.Column12]])*1000,"#,##0")</f>
        <v>29,153</v>
      </c>
      <c r="W59" s="13" t="str">
        <f>TEXT(VALUE(Table1[[#This Row],[Content.Column13]])*1000,"#,##0")</f>
        <v>89,695</v>
      </c>
      <c r="X59" s="13" t="str">
        <f>TEXT(VALUE(Table1[[#This Row],[Content.Column14]])*1000,"#,##0")</f>
        <v>92,737</v>
      </c>
      <c r="Y59" s="14" t="str">
        <f>TEXT(VALUE(Table1[[#This Row],[Content.Column3]])*1000,"#,##0")</f>
        <v>81,261</v>
      </c>
      <c r="Z59" s="14" t="str">
        <f>TEXT(VALUE(Table1[[#This Row],[Content.Column4]])*1000,"#,##0")</f>
        <v>37,922</v>
      </c>
      <c r="AA59" s="14" t="str">
        <f>TEXT(VALUE(Table1[[#This Row],[Content.Column5]])*1000,"#,##0")</f>
        <v>119,179</v>
      </c>
      <c r="AB59" s="14" t="str">
        <f>TEXT(VALUE(Table1[[#This Row],[Content.Column6]])*1000,"#,##0")</f>
        <v>122,305</v>
      </c>
    </row>
    <row r="60" spans="1:28" x14ac:dyDescent="0.3">
      <c r="A60" t="s">
        <v>42</v>
      </c>
      <c r="B60" t="s">
        <v>43</v>
      </c>
      <c r="C60" s="6">
        <v>78.775000000000006</v>
      </c>
      <c r="D60" s="1">
        <v>30.645</v>
      </c>
      <c r="E60" s="1">
        <v>109.417</v>
      </c>
      <c r="F60" s="1">
        <v>112.121</v>
      </c>
      <c r="G60" s="2">
        <v>12.759</v>
      </c>
      <c r="H60" s="2">
        <v>7.2389999999999999</v>
      </c>
      <c r="I60" s="2">
        <v>19.998000000000001</v>
      </c>
      <c r="J60" s="2">
        <v>20.056999999999999</v>
      </c>
      <c r="K60" s="3">
        <v>66.016000000000005</v>
      </c>
      <c r="L60" s="3">
        <v>23.405999999999999</v>
      </c>
      <c r="M60" s="3">
        <v>89.418999999999997</v>
      </c>
      <c r="N60" s="3">
        <v>92.063999999999993</v>
      </c>
      <c r="O60">
        <v>2010</v>
      </c>
      <c r="Q60" s="12" t="str">
        <f>TEXT(VALUE(Table1[[#This Row],[Content.Column7]])*1000,"#,##0")</f>
        <v>12,759</v>
      </c>
      <c r="R60" s="12" t="str">
        <f>TEXT(VALUE(Table1[[#This Row],[Content.Column8]])*1000,"#,##0")</f>
        <v>7,239</v>
      </c>
      <c r="S60" s="12" t="str">
        <f>TEXT(VALUE(Table1[[#This Row],[Content.Column9]])*1000,"#,##0")</f>
        <v>19,998</v>
      </c>
      <c r="T60" s="12" t="str">
        <f>TEXT(VALUE(Table1[[#This Row],[Content.Column10]])*1000,"#,##0")</f>
        <v>20,057</v>
      </c>
      <c r="U60" s="13" t="str">
        <f>TEXT(VALUE(Table1[[#This Row],[Content.Column11]])*1000,"#,##0")</f>
        <v>66,016</v>
      </c>
      <c r="V60" s="13" t="str">
        <f>TEXT(VALUE(Table1[[#This Row],[Content.Column12]])*1000,"#,##0")</f>
        <v>23,406</v>
      </c>
      <c r="W60" s="13" t="str">
        <f>TEXT(VALUE(Table1[[#This Row],[Content.Column13]])*1000,"#,##0")</f>
        <v>89,419</v>
      </c>
      <c r="X60" s="13" t="str">
        <f>TEXT(VALUE(Table1[[#This Row],[Content.Column14]])*1000,"#,##0")</f>
        <v>92,064</v>
      </c>
      <c r="Y60" s="14" t="str">
        <f>TEXT(VALUE(Table1[[#This Row],[Content.Column3]])*1000,"#,##0")</f>
        <v>78,775</v>
      </c>
      <c r="Z60" s="14" t="str">
        <f>TEXT(VALUE(Table1[[#This Row],[Content.Column4]])*1000,"#,##0")</f>
        <v>30,645</v>
      </c>
      <c r="AA60" s="14" t="str">
        <f>TEXT(VALUE(Table1[[#This Row],[Content.Column5]])*1000,"#,##0")</f>
        <v>109,417</v>
      </c>
      <c r="AB60" s="14" t="str">
        <f>TEXT(VALUE(Table1[[#This Row],[Content.Column6]])*1000,"#,##0")</f>
        <v>112,121</v>
      </c>
    </row>
    <row r="61" spans="1:28" x14ac:dyDescent="0.3">
      <c r="A61" t="s">
        <v>44</v>
      </c>
      <c r="B61" t="s">
        <v>45</v>
      </c>
      <c r="C61" s="6">
        <v>60.99</v>
      </c>
      <c r="D61" s="1">
        <v>32.655000000000001</v>
      </c>
      <c r="E61" s="1">
        <v>93.643000000000001</v>
      </c>
      <c r="F61" s="1">
        <v>95.763000000000005</v>
      </c>
      <c r="G61" s="2">
        <v>14.581</v>
      </c>
      <c r="H61" s="2">
        <v>9.7200000000000006</v>
      </c>
      <c r="I61" s="2">
        <v>24.300999999999998</v>
      </c>
      <c r="J61" s="2">
        <v>24.466999999999999</v>
      </c>
      <c r="K61" s="3">
        <v>46.408999999999999</v>
      </c>
      <c r="L61" s="3">
        <v>22.934000000000001</v>
      </c>
      <c r="M61" s="3">
        <v>69.341999999999999</v>
      </c>
      <c r="N61" s="3">
        <v>71.296000000000006</v>
      </c>
      <c r="O61">
        <v>2010</v>
      </c>
      <c r="Q61" s="12" t="str">
        <f>TEXT(VALUE(Table1[[#This Row],[Content.Column7]])*1000,"#,##0")</f>
        <v>14,581</v>
      </c>
      <c r="R61" s="12" t="str">
        <f>TEXT(VALUE(Table1[[#This Row],[Content.Column8]])*1000,"#,##0")</f>
        <v>9,720</v>
      </c>
      <c r="S61" s="12" t="str">
        <f>TEXT(VALUE(Table1[[#This Row],[Content.Column9]])*1000,"#,##0")</f>
        <v>24,301</v>
      </c>
      <c r="T61" s="12" t="str">
        <f>TEXT(VALUE(Table1[[#This Row],[Content.Column10]])*1000,"#,##0")</f>
        <v>24,467</v>
      </c>
      <c r="U61" s="13" t="str">
        <f>TEXT(VALUE(Table1[[#This Row],[Content.Column11]])*1000,"#,##0")</f>
        <v>46,409</v>
      </c>
      <c r="V61" s="13" t="str">
        <f>TEXT(VALUE(Table1[[#This Row],[Content.Column12]])*1000,"#,##0")</f>
        <v>22,934</v>
      </c>
      <c r="W61" s="13" t="str">
        <f>TEXT(VALUE(Table1[[#This Row],[Content.Column13]])*1000,"#,##0")</f>
        <v>69,342</v>
      </c>
      <c r="X61" s="13" t="str">
        <f>TEXT(VALUE(Table1[[#This Row],[Content.Column14]])*1000,"#,##0")</f>
        <v>71,296</v>
      </c>
      <c r="Y61" s="14" t="str">
        <f>TEXT(VALUE(Table1[[#This Row],[Content.Column3]])*1000,"#,##0")</f>
        <v>60,990</v>
      </c>
      <c r="Z61" s="14" t="str">
        <f>TEXT(VALUE(Table1[[#This Row],[Content.Column4]])*1000,"#,##0")</f>
        <v>32,655</v>
      </c>
      <c r="AA61" s="14" t="str">
        <f>TEXT(VALUE(Table1[[#This Row],[Content.Column5]])*1000,"#,##0")</f>
        <v>93,643</v>
      </c>
      <c r="AB61" s="14" t="str">
        <f>TEXT(VALUE(Table1[[#This Row],[Content.Column6]])*1000,"#,##0")</f>
        <v>95,763</v>
      </c>
    </row>
    <row r="62" spans="1:28" x14ac:dyDescent="0.3">
      <c r="A62" t="s">
        <v>46</v>
      </c>
      <c r="B62" t="s">
        <v>47</v>
      </c>
      <c r="C62" s="6">
        <v>43.911999999999999</v>
      </c>
      <c r="D62" s="1">
        <v>23.994</v>
      </c>
      <c r="E62" s="1">
        <v>67.903999999999996</v>
      </c>
      <c r="F62" s="1">
        <v>69.700999999999993</v>
      </c>
      <c r="G62" s="2">
        <v>14.497999999999999</v>
      </c>
      <c r="H62" s="2">
        <v>7.12</v>
      </c>
      <c r="I62" s="2">
        <v>21.619</v>
      </c>
      <c r="J62" s="2">
        <v>21.701000000000001</v>
      </c>
      <c r="K62" s="3">
        <v>29.414000000000001</v>
      </c>
      <c r="L62" s="3">
        <v>16.873000000000001</v>
      </c>
      <c r="M62" s="3">
        <v>46.284999999999997</v>
      </c>
      <c r="N62" s="3">
        <v>48</v>
      </c>
      <c r="O62">
        <v>2010</v>
      </c>
      <c r="Q62" s="12" t="str">
        <f>TEXT(VALUE(Table1[[#This Row],[Content.Column7]])*1000,"#,##0")</f>
        <v>14,498</v>
      </c>
      <c r="R62" s="12" t="str">
        <f>TEXT(VALUE(Table1[[#This Row],[Content.Column8]])*1000,"#,##0")</f>
        <v>7,120</v>
      </c>
      <c r="S62" s="12" t="str">
        <f>TEXT(VALUE(Table1[[#This Row],[Content.Column9]])*1000,"#,##0")</f>
        <v>21,619</v>
      </c>
      <c r="T62" s="12" t="str">
        <f>TEXT(VALUE(Table1[[#This Row],[Content.Column10]])*1000,"#,##0")</f>
        <v>21,701</v>
      </c>
      <c r="U62" s="13" t="str">
        <f>TEXT(VALUE(Table1[[#This Row],[Content.Column11]])*1000,"#,##0")</f>
        <v>29,414</v>
      </c>
      <c r="V62" s="13" t="str">
        <f>TEXT(VALUE(Table1[[#This Row],[Content.Column12]])*1000,"#,##0")</f>
        <v>16,873</v>
      </c>
      <c r="W62" s="13" t="str">
        <f>TEXT(VALUE(Table1[[#This Row],[Content.Column13]])*1000,"#,##0")</f>
        <v>46,285</v>
      </c>
      <c r="X62" s="13" t="str">
        <f>TEXT(VALUE(Table1[[#This Row],[Content.Column14]])*1000,"#,##0")</f>
        <v>48,000</v>
      </c>
      <c r="Y62" s="14" t="str">
        <f>TEXT(VALUE(Table1[[#This Row],[Content.Column3]])*1000,"#,##0")</f>
        <v>43,912</v>
      </c>
      <c r="Z62" s="14" t="str">
        <f>TEXT(VALUE(Table1[[#This Row],[Content.Column4]])*1000,"#,##0")</f>
        <v>23,994</v>
      </c>
      <c r="AA62" s="14" t="str">
        <f>TEXT(VALUE(Table1[[#This Row],[Content.Column5]])*1000,"#,##0")</f>
        <v>67,904</v>
      </c>
      <c r="AB62" s="14" t="str">
        <f>TEXT(VALUE(Table1[[#This Row],[Content.Column6]])*1000,"#,##0")</f>
        <v>69,701</v>
      </c>
    </row>
    <row r="63" spans="1:28" x14ac:dyDescent="0.3">
      <c r="A63" t="s">
        <v>48</v>
      </c>
      <c r="B63" t="s">
        <v>49</v>
      </c>
      <c r="C63" s="6">
        <v>62.198999999999998</v>
      </c>
      <c r="D63" s="1">
        <v>23.347999999999999</v>
      </c>
      <c r="E63" s="1">
        <v>85.545000000000002</v>
      </c>
      <c r="F63" s="1">
        <v>88.486000000000004</v>
      </c>
      <c r="G63" s="2">
        <v>13.66</v>
      </c>
      <c r="H63" s="2">
        <v>5.2450000000000001</v>
      </c>
      <c r="I63" s="2">
        <v>18.905000000000001</v>
      </c>
      <c r="J63" s="2">
        <v>18.954000000000001</v>
      </c>
      <c r="K63" s="3">
        <v>48.539000000000001</v>
      </c>
      <c r="L63" s="3">
        <v>18.103000000000002</v>
      </c>
      <c r="M63" s="3">
        <v>66.64</v>
      </c>
      <c r="N63" s="3">
        <v>69.531999999999996</v>
      </c>
      <c r="O63">
        <v>2010</v>
      </c>
      <c r="Q63" s="12" t="str">
        <f>TEXT(VALUE(Table1[[#This Row],[Content.Column7]])*1000,"#,##0")</f>
        <v>13,660</v>
      </c>
      <c r="R63" s="12" t="str">
        <f>TEXT(VALUE(Table1[[#This Row],[Content.Column8]])*1000,"#,##0")</f>
        <v>5,245</v>
      </c>
      <c r="S63" s="12" t="str">
        <f>TEXT(VALUE(Table1[[#This Row],[Content.Column9]])*1000,"#,##0")</f>
        <v>18,905</v>
      </c>
      <c r="T63" s="12" t="str">
        <f>TEXT(VALUE(Table1[[#This Row],[Content.Column10]])*1000,"#,##0")</f>
        <v>18,954</v>
      </c>
      <c r="U63" s="13" t="str">
        <f>TEXT(VALUE(Table1[[#This Row],[Content.Column11]])*1000,"#,##0")</f>
        <v>48,539</v>
      </c>
      <c r="V63" s="13" t="str">
        <f>TEXT(VALUE(Table1[[#This Row],[Content.Column12]])*1000,"#,##0")</f>
        <v>18,103</v>
      </c>
      <c r="W63" s="13" t="str">
        <f>TEXT(VALUE(Table1[[#This Row],[Content.Column13]])*1000,"#,##0")</f>
        <v>66,640</v>
      </c>
      <c r="X63" s="13" t="str">
        <f>TEXT(VALUE(Table1[[#This Row],[Content.Column14]])*1000,"#,##0")</f>
        <v>69,532</v>
      </c>
      <c r="Y63" s="14" t="str">
        <f>TEXT(VALUE(Table1[[#This Row],[Content.Column3]])*1000,"#,##0")</f>
        <v>62,199</v>
      </c>
      <c r="Z63" s="14" t="str">
        <f>TEXT(VALUE(Table1[[#This Row],[Content.Column4]])*1000,"#,##0")</f>
        <v>23,348</v>
      </c>
      <c r="AA63" s="14" t="str">
        <f>TEXT(VALUE(Table1[[#This Row],[Content.Column5]])*1000,"#,##0")</f>
        <v>85,545</v>
      </c>
      <c r="AB63" s="14" t="str">
        <f>TEXT(VALUE(Table1[[#This Row],[Content.Column6]])*1000,"#,##0")</f>
        <v>88,486</v>
      </c>
    </row>
    <row r="64" spans="1:28" x14ac:dyDescent="0.3">
      <c r="A64" t="s">
        <v>50</v>
      </c>
      <c r="B64" t="s">
        <v>51</v>
      </c>
      <c r="C64" s="6">
        <v>93.210999999999999</v>
      </c>
      <c r="D64" s="1">
        <v>32.323999999999998</v>
      </c>
      <c r="E64" s="1">
        <v>125.53</v>
      </c>
      <c r="F64" s="1">
        <v>128.03899999999999</v>
      </c>
      <c r="G64" s="2">
        <v>26.035</v>
      </c>
      <c r="H64" s="2">
        <v>4.3540000000000001</v>
      </c>
      <c r="I64" s="2">
        <v>30.388999999999999</v>
      </c>
      <c r="J64" s="2">
        <v>30.433</v>
      </c>
      <c r="K64" s="3">
        <v>67.176000000000002</v>
      </c>
      <c r="L64" s="3">
        <v>27.97</v>
      </c>
      <c r="M64" s="3">
        <v>95.141000000000005</v>
      </c>
      <c r="N64" s="3">
        <v>97.605000000000004</v>
      </c>
      <c r="O64">
        <v>2010</v>
      </c>
      <c r="Q64" s="12" t="str">
        <f>TEXT(VALUE(Table1[[#This Row],[Content.Column7]])*1000,"#,##0")</f>
        <v>26,035</v>
      </c>
      <c r="R64" s="12" t="str">
        <f>TEXT(VALUE(Table1[[#This Row],[Content.Column8]])*1000,"#,##0")</f>
        <v>4,354</v>
      </c>
      <c r="S64" s="12" t="str">
        <f>TEXT(VALUE(Table1[[#This Row],[Content.Column9]])*1000,"#,##0")</f>
        <v>30,389</v>
      </c>
      <c r="T64" s="12" t="str">
        <f>TEXT(VALUE(Table1[[#This Row],[Content.Column10]])*1000,"#,##0")</f>
        <v>30,433</v>
      </c>
      <c r="U64" s="13" t="str">
        <f>TEXT(VALUE(Table1[[#This Row],[Content.Column11]])*1000,"#,##0")</f>
        <v>67,176</v>
      </c>
      <c r="V64" s="13" t="str">
        <f>TEXT(VALUE(Table1[[#This Row],[Content.Column12]])*1000,"#,##0")</f>
        <v>27,970</v>
      </c>
      <c r="W64" s="13" t="str">
        <f>TEXT(VALUE(Table1[[#This Row],[Content.Column13]])*1000,"#,##0")</f>
        <v>95,141</v>
      </c>
      <c r="X64" s="13" t="str">
        <f>TEXT(VALUE(Table1[[#This Row],[Content.Column14]])*1000,"#,##0")</f>
        <v>97,605</v>
      </c>
      <c r="Y64" s="14" t="str">
        <f>TEXT(VALUE(Table1[[#This Row],[Content.Column3]])*1000,"#,##0")</f>
        <v>93,211</v>
      </c>
      <c r="Z64" s="14" t="str">
        <f>TEXT(VALUE(Table1[[#This Row],[Content.Column4]])*1000,"#,##0")</f>
        <v>32,324</v>
      </c>
      <c r="AA64" s="14" t="str">
        <f>TEXT(VALUE(Table1[[#This Row],[Content.Column5]])*1000,"#,##0")</f>
        <v>125,530</v>
      </c>
      <c r="AB64" s="14" t="str">
        <f>TEXT(VALUE(Table1[[#This Row],[Content.Column6]])*1000,"#,##0")</f>
        <v>128,039</v>
      </c>
    </row>
    <row r="65" spans="1:28" x14ac:dyDescent="0.3">
      <c r="A65" t="s">
        <v>52</v>
      </c>
      <c r="B65" t="s">
        <v>53</v>
      </c>
      <c r="C65" s="6">
        <v>39.463000000000001</v>
      </c>
      <c r="D65" s="1">
        <v>20.442</v>
      </c>
      <c r="E65" s="1">
        <v>59.904000000000003</v>
      </c>
      <c r="F65" s="1">
        <v>61.945</v>
      </c>
      <c r="G65" s="2">
        <v>11.173</v>
      </c>
      <c r="H65" s="2">
        <v>4.88</v>
      </c>
      <c r="I65" s="2">
        <v>16.053000000000001</v>
      </c>
      <c r="J65" s="2">
        <v>16.068000000000001</v>
      </c>
      <c r="K65" s="3">
        <v>28.29</v>
      </c>
      <c r="L65" s="3">
        <v>15.561999999999999</v>
      </c>
      <c r="M65" s="3">
        <v>43.850999999999999</v>
      </c>
      <c r="N65" s="3">
        <v>45.877000000000002</v>
      </c>
      <c r="O65">
        <v>2010</v>
      </c>
      <c r="Q65" s="12" t="str">
        <f>TEXT(VALUE(Table1[[#This Row],[Content.Column7]])*1000,"#,##0")</f>
        <v>11,173</v>
      </c>
      <c r="R65" s="12" t="str">
        <f>TEXT(VALUE(Table1[[#This Row],[Content.Column8]])*1000,"#,##0")</f>
        <v>4,880</v>
      </c>
      <c r="S65" s="12" t="str">
        <f>TEXT(VALUE(Table1[[#This Row],[Content.Column9]])*1000,"#,##0")</f>
        <v>16,053</v>
      </c>
      <c r="T65" s="12" t="str">
        <f>TEXT(VALUE(Table1[[#This Row],[Content.Column10]])*1000,"#,##0")</f>
        <v>16,068</v>
      </c>
      <c r="U65" s="13" t="str">
        <f>TEXT(VALUE(Table1[[#This Row],[Content.Column11]])*1000,"#,##0")</f>
        <v>28,290</v>
      </c>
      <c r="V65" s="13" t="str">
        <f>TEXT(VALUE(Table1[[#This Row],[Content.Column12]])*1000,"#,##0")</f>
        <v>15,562</v>
      </c>
      <c r="W65" s="13" t="str">
        <f>TEXT(VALUE(Table1[[#This Row],[Content.Column13]])*1000,"#,##0")</f>
        <v>43,851</v>
      </c>
      <c r="X65" s="13" t="str">
        <f>TEXT(VALUE(Table1[[#This Row],[Content.Column14]])*1000,"#,##0")</f>
        <v>45,877</v>
      </c>
      <c r="Y65" s="14" t="str">
        <f>TEXT(VALUE(Table1[[#This Row],[Content.Column3]])*1000,"#,##0")</f>
        <v>39,463</v>
      </c>
      <c r="Z65" s="14" t="str">
        <f>TEXT(VALUE(Table1[[#This Row],[Content.Column4]])*1000,"#,##0")</f>
        <v>20,442</v>
      </c>
      <c r="AA65" s="14" t="str">
        <f>TEXT(VALUE(Table1[[#This Row],[Content.Column5]])*1000,"#,##0")</f>
        <v>59,904</v>
      </c>
      <c r="AB65" s="14" t="str">
        <f>TEXT(VALUE(Table1[[#This Row],[Content.Column6]])*1000,"#,##0")</f>
        <v>61,945</v>
      </c>
    </row>
    <row r="66" spans="1:28" x14ac:dyDescent="0.3">
      <c r="A66" t="s">
        <v>54</v>
      </c>
      <c r="B66" t="s">
        <v>55</v>
      </c>
      <c r="C66" s="6">
        <v>44.168999999999997</v>
      </c>
      <c r="D66" s="1">
        <v>21.475999999999999</v>
      </c>
      <c r="E66" s="1">
        <v>65.644000000000005</v>
      </c>
      <c r="F66" s="1">
        <v>67.736999999999995</v>
      </c>
      <c r="G66" s="2">
        <v>6.694</v>
      </c>
      <c r="H66" s="2">
        <v>6.4050000000000002</v>
      </c>
      <c r="I66" s="2">
        <v>13.099</v>
      </c>
      <c r="J66" s="2">
        <v>13.103999999999999</v>
      </c>
      <c r="K66" s="3">
        <v>37.475000000000001</v>
      </c>
      <c r="L66" s="3">
        <v>15.071</v>
      </c>
      <c r="M66" s="3">
        <v>52.545000000000002</v>
      </c>
      <c r="N66" s="3">
        <v>54.633000000000003</v>
      </c>
      <c r="O66">
        <v>2010</v>
      </c>
      <c r="Q66" s="12" t="str">
        <f>TEXT(VALUE(Table1[[#This Row],[Content.Column7]])*1000,"#,##0")</f>
        <v>6,694</v>
      </c>
      <c r="R66" s="12" t="str">
        <f>TEXT(VALUE(Table1[[#This Row],[Content.Column8]])*1000,"#,##0")</f>
        <v>6,405</v>
      </c>
      <c r="S66" s="12" t="str">
        <f>TEXT(VALUE(Table1[[#This Row],[Content.Column9]])*1000,"#,##0")</f>
        <v>13,099</v>
      </c>
      <c r="T66" s="12" t="str">
        <f>TEXT(VALUE(Table1[[#This Row],[Content.Column10]])*1000,"#,##0")</f>
        <v>13,104</v>
      </c>
      <c r="U66" s="13" t="str">
        <f>TEXT(VALUE(Table1[[#This Row],[Content.Column11]])*1000,"#,##0")</f>
        <v>37,475</v>
      </c>
      <c r="V66" s="13" t="str">
        <f>TEXT(VALUE(Table1[[#This Row],[Content.Column12]])*1000,"#,##0")</f>
        <v>15,071</v>
      </c>
      <c r="W66" s="13" t="str">
        <f>TEXT(VALUE(Table1[[#This Row],[Content.Column13]])*1000,"#,##0")</f>
        <v>52,545</v>
      </c>
      <c r="X66" s="13" t="str">
        <f>TEXT(VALUE(Table1[[#This Row],[Content.Column14]])*1000,"#,##0")</f>
        <v>54,633</v>
      </c>
      <c r="Y66" s="14" t="str">
        <f>TEXT(VALUE(Table1[[#This Row],[Content.Column3]])*1000,"#,##0")</f>
        <v>44,169</v>
      </c>
      <c r="Z66" s="14" t="str">
        <f>TEXT(VALUE(Table1[[#This Row],[Content.Column4]])*1000,"#,##0")</f>
        <v>21,476</v>
      </c>
      <c r="AA66" s="14" t="str">
        <f>TEXT(VALUE(Table1[[#This Row],[Content.Column5]])*1000,"#,##0")</f>
        <v>65,644</v>
      </c>
      <c r="AB66" s="14" t="str">
        <f>TEXT(VALUE(Table1[[#This Row],[Content.Column6]])*1000,"#,##0")</f>
        <v>67,737</v>
      </c>
    </row>
    <row r="67" spans="1:28" x14ac:dyDescent="0.3">
      <c r="A67" t="s">
        <v>56</v>
      </c>
      <c r="B67" t="s">
        <v>57</v>
      </c>
      <c r="C67" s="6">
        <v>46.274999999999999</v>
      </c>
      <c r="D67" s="1">
        <v>24.88</v>
      </c>
      <c r="E67" s="1">
        <v>71.153000000000006</v>
      </c>
      <c r="F67" s="1">
        <v>73.173000000000002</v>
      </c>
      <c r="G67" s="2">
        <v>11.24</v>
      </c>
      <c r="H67" s="2">
        <v>5.6890000000000001</v>
      </c>
      <c r="I67" s="2">
        <v>16.928999999999998</v>
      </c>
      <c r="J67" s="2">
        <v>16.928999999999998</v>
      </c>
      <c r="K67" s="3">
        <v>35.034999999999997</v>
      </c>
      <c r="L67" s="3">
        <v>19.190999999999999</v>
      </c>
      <c r="M67" s="3">
        <v>54.223999999999997</v>
      </c>
      <c r="N67" s="3">
        <v>56.244</v>
      </c>
      <c r="O67">
        <v>2010</v>
      </c>
      <c r="Q67" s="12" t="str">
        <f>TEXT(VALUE(Table1[[#This Row],[Content.Column7]])*1000,"#,##0")</f>
        <v>11,240</v>
      </c>
      <c r="R67" s="12" t="str">
        <f>TEXT(VALUE(Table1[[#This Row],[Content.Column8]])*1000,"#,##0")</f>
        <v>5,689</v>
      </c>
      <c r="S67" s="12" t="str">
        <f>TEXT(VALUE(Table1[[#This Row],[Content.Column9]])*1000,"#,##0")</f>
        <v>16,929</v>
      </c>
      <c r="T67" s="12" t="str">
        <f>TEXT(VALUE(Table1[[#This Row],[Content.Column10]])*1000,"#,##0")</f>
        <v>16,929</v>
      </c>
      <c r="U67" s="13" t="str">
        <f>TEXT(VALUE(Table1[[#This Row],[Content.Column11]])*1000,"#,##0")</f>
        <v>35,035</v>
      </c>
      <c r="V67" s="13" t="str">
        <f>TEXT(VALUE(Table1[[#This Row],[Content.Column12]])*1000,"#,##0")</f>
        <v>19,191</v>
      </c>
      <c r="W67" s="13" t="str">
        <f>TEXT(VALUE(Table1[[#This Row],[Content.Column13]])*1000,"#,##0")</f>
        <v>54,224</v>
      </c>
      <c r="X67" s="13" t="str">
        <f>TEXT(VALUE(Table1[[#This Row],[Content.Column14]])*1000,"#,##0")</f>
        <v>56,244</v>
      </c>
      <c r="Y67" s="14" t="str">
        <f>TEXT(VALUE(Table1[[#This Row],[Content.Column3]])*1000,"#,##0")</f>
        <v>46,275</v>
      </c>
      <c r="Z67" s="14" t="str">
        <f>TEXT(VALUE(Table1[[#This Row],[Content.Column4]])*1000,"#,##0")</f>
        <v>24,880</v>
      </c>
      <c r="AA67" s="14" t="str">
        <f>TEXT(VALUE(Table1[[#This Row],[Content.Column5]])*1000,"#,##0")</f>
        <v>71,153</v>
      </c>
      <c r="AB67" s="14" t="str">
        <f>TEXT(VALUE(Table1[[#This Row],[Content.Column6]])*1000,"#,##0")</f>
        <v>73,173</v>
      </c>
    </row>
    <row r="68" spans="1:28" x14ac:dyDescent="0.3">
      <c r="A68" t="s">
        <v>58</v>
      </c>
      <c r="B68" t="s">
        <v>59</v>
      </c>
      <c r="C68" s="6">
        <v>136.74199999999999</v>
      </c>
      <c r="D68" s="1">
        <v>45.668999999999997</v>
      </c>
      <c r="E68" s="1">
        <v>182.40799999999999</v>
      </c>
      <c r="F68" s="1">
        <v>184.779</v>
      </c>
      <c r="G68" s="2">
        <v>14.811999999999999</v>
      </c>
      <c r="H68" s="2">
        <v>6.4850000000000003</v>
      </c>
      <c r="I68" s="2">
        <v>21.297000000000001</v>
      </c>
      <c r="J68" s="2">
        <v>21.404</v>
      </c>
      <c r="K68" s="3">
        <v>121.93</v>
      </c>
      <c r="L68" s="3">
        <v>39.183999999999997</v>
      </c>
      <c r="M68" s="3">
        <v>161.11099999999999</v>
      </c>
      <c r="N68" s="3">
        <v>163.375</v>
      </c>
      <c r="O68">
        <v>2010</v>
      </c>
      <c r="Q68" s="12" t="str">
        <f>TEXT(VALUE(Table1[[#This Row],[Content.Column7]])*1000,"#,##0")</f>
        <v>14,812</v>
      </c>
      <c r="R68" s="12" t="str">
        <f>TEXT(VALUE(Table1[[#This Row],[Content.Column8]])*1000,"#,##0")</f>
        <v>6,485</v>
      </c>
      <c r="S68" s="12" t="str">
        <f>TEXT(VALUE(Table1[[#This Row],[Content.Column9]])*1000,"#,##0")</f>
        <v>21,297</v>
      </c>
      <c r="T68" s="12" t="str">
        <f>TEXT(VALUE(Table1[[#This Row],[Content.Column10]])*1000,"#,##0")</f>
        <v>21,404</v>
      </c>
      <c r="U68" s="13" t="str">
        <f>TEXT(VALUE(Table1[[#This Row],[Content.Column11]])*1000,"#,##0")</f>
        <v>121,930</v>
      </c>
      <c r="V68" s="13" t="str">
        <f>TEXT(VALUE(Table1[[#This Row],[Content.Column12]])*1000,"#,##0")</f>
        <v>39,184</v>
      </c>
      <c r="W68" s="13" t="str">
        <f>TEXT(VALUE(Table1[[#This Row],[Content.Column13]])*1000,"#,##0")</f>
        <v>161,111</v>
      </c>
      <c r="X68" s="13" t="str">
        <f>TEXT(VALUE(Table1[[#This Row],[Content.Column14]])*1000,"#,##0")</f>
        <v>163,375</v>
      </c>
      <c r="Y68" s="14" t="str">
        <f>TEXT(VALUE(Table1[[#This Row],[Content.Column3]])*1000,"#,##0")</f>
        <v>136,742</v>
      </c>
      <c r="Z68" s="14" t="str">
        <f>TEXT(VALUE(Table1[[#This Row],[Content.Column4]])*1000,"#,##0")</f>
        <v>45,669</v>
      </c>
      <c r="AA68" s="14" t="str">
        <f>TEXT(VALUE(Table1[[#This Row],[Content.Column5]])*1000,"#,##0")</f>
        <v>182,408</v>
      </c>
      <c r="AB68" s="14" t="str">
        <f>TEXT(VALUE(Table1[[#This Row],[Content.Column6]])*1000,"#,##0")</f>
        <v>184,779</v>
      </c>
    </row>
    <row r="69" spans="1:28" x14ac:dyDescent="0.3">
      <c r="A69" t="s">
        <v>60</v>
      </c>
      <c r="B69" t="s">
        <v>61</v>
      </c>
      <c r="C69" s="6">
        <v>93.671999999999997</v>
      </c>
      <c r="D69" s="1">
        <v>31.731999999999999</v>
      </c>
      <c r="E69" s="1">
        <v>125.401</v>
      </c>
      <c r="F69" s="1">
        <v>127.601</v>
      </c>
      <c r="G69" s="2">
        <v>19.398</v>
      </c>
      <c r="H69" s="2">
        <v>5.4290000000000003</v>
      </c>
      <c r="I69" s="2">
        <v>24.827000000000002</v>
      </c>
      <c r="J69" s="2">
        <v>24.841999999999999</v>
      </c>
      <c r="K69" s="3">
        <v>74.272999999999996</v>
      </c>
      <c r="L69" s="3">
        <v>26.303000000000001</v>
      </c>
      <c r="M69" s="3">
        <v>100.574</v>
      </c>
      <c r="N69" s="3">
        <v>102.759</v>
      </c>
      <c r="O69">
        <v>2010</v>
      </c>
      <c r="Q69" s="12" t="str">
        <f>TEXT(VALUE(Table1[[#This Row],[Content.Column7]])*1000,"#,##0")</f>
        <v>19,398</v>
      </c>
      <c r="R69" s="12" t="str">
        <f>TEXT(VALUE(Table1[[#This Row],[Content.Column8]])*1000,"#,##0")</f>
        <v>5,429</v>
      </c>
      <c r="S69" s="12" t="str">
        <f>TEXT(VALUE(Table1[[#This Row],[Content.Column9]])*1000,"#,##0")</f>
        <v>24,827</v>
      </c>
      <c r="T69" s="12" t="str">
        <f>TEXT(VALUE(Table1[[#This Row],[Content.Column10]])*1000,"#,##0")</f>
        <v>24,842</v>
      </c>
      <c r="U69" s="13" t="str">
        <f>TEXT(VALUE(Table1[[#This Row],[Content.Column11]])*1000,"#,##0")</f>
        <v>74,273</v>
      </c>
      <c r="V69" s="13" t="str">
        <f>TEXT(VALUE(Table1[[#This Row],[Content.Column12]])*1000,"#,##0")</f>
        <v>26,303</v>
      </c>
      <c r="W69" s="13" t="str">
        <f>TEXT(VALUE(Table1[[#This Row],[Content.Column13]])*1000,"#,##0")</f>
        <v>100,574</v>
      </c>
      <c r="X69" s="13" t="str">
        <f>TEXT(VALUE(Table1[[#This Row],[Content.Column14]])*1000,"#,##0")</f>
        <v>102,759</v>
      </c>
      <c r="Y69" s="14" t="str">
        <f>TEXT(VALUE(Table1[[#This Row],[Content.Column3]])*1000,"#,##0")</f>
        <v>93,672</v>
      </c>
      <c r="Z69" s="14" t="str">
        <f>TEXT(VALUE(Table1[[#This Row],[Content.Column4]])*1000,"#,##0")</f>
        <v>31,732</v>
      </c>
      <c r="AA69" s="14" t="str">
        <f>TEXT(VALUE(Table1[[#This Row],[Content.Column5]])*1000,"#,##0")</f>
        <v>125,401</v>
      </c>
      <c r="AB69" s="14" t="str">
        <f>TEXT(VALUE(Table1[[#This Row],[Content.Column6]])*1000,"#,##0")</f>
        <v>127,601</v>
      </c>
    </row>
    <row r="70" spans="1:28" x14ac:dyDescent="0.3">
      <c r="A70" t="s">
        <v>62</v>
      </c>
      <c r="B70" t="s">
        <v>63</v>
      </c>
      <c r="C70" s="6">
        <v>146.828</v>
      </c>
      <c r="D70" s="1">
        <v>37.03</v>
      </c>
      <c r="E70" s="1">
        <v>183.85</v>
      </c>
      <c r="F70" s="1">
        <v>189.25800000000001</v>
      </c>
      <c r="G70" s="2">
        <v>28.632000000000001</v>
      </c>
      <c r="H70" s="2">
        <v>5.6429999999999998</v>
      </c>
      <c r="I70" s="2">
        <v>34.274999999999999</v>
      </c>
      <c r="J70" s="2">
        <v>34.305999999999997</v>
      </c>
      <c r="K70" s="3">
        <v>118.196</v>
      </c>
      <c r="L70" s="3">
        <v>31.387</v>
      </c>
      <c r="M70" s="3">
        <v>149.57499999999999</v>
      </c>
      <c r="N70" s="3">
        <v>154.95099999999999</v>
      </c>
      <c r="O70">
        <v>2010</v>
      </c>
      <c r="Q70" s="12" t="str">
        <f>TEXT(VALUE(Table1[[#This Row],[Content.Column7]])*1000,"#,##0")</f>
        <v>28,632</v>
      </c>
      <c r="R70" s="12" t="str">
        <f>TEXT(VALUE(Table1[[#This Row],[Content.Column8]])*1000,"#,##0")</f>
        <v>5,643</v>
      </c>
      <c r="S70" s="12" t="str">
        <f>TEXT(VALUE(Table1[[#This Row],[Content.Column9]])*1000,"#,##0")</f>
        <v>34,275</v>
      </c>
      <c r="T70" s="12" t="str">
        <f>TEXT(VALUE(Table1[[#This Row],[Content.Column10]])*1000,"#,##0")</f>
        <v>34,306</v>
      </c>
      <c r="U70" s="13" t="str">
        <f>TEXT(VALUE(Table1[[#This Row],[Content.Column11]])*1000,"#,##0")</f>
        <v>118,196</v>
      </c>
      <c r="V70" s="13" t="str">
        <f>TEXT(VALUE(Table1[[#This Row],[Content.Column12]])*1000,"#,##0")</f>
        <v>31,387</v>
      </c>
      <c r="W70" s="13" t="str">
        <f>TEXT(VALUE(Table1[[#This Row],[Content.Column13]])*1000,"#,##0")</f>
        <v>149,575</v>
      </c>
      <c r="X70" s="13" t="str">
        <f>TEXT(VALUE(Table1[[#This Row],[Content.Column14]])*1000,"#,##0")</f>
        <v>154,951</v>
      </c>
      <c r="Y70" s="14" t="str">
        <f>TEXT(VALUE(Table1[[#This Row],[Content.Column3]])*1000,"#,##0")</f>
        <v>146,828</v>
      </c>
      <c r="Z70" s="14" t="str">
        <f>TEXT(VALUE(Table1[[#This Row],[Content.Column4]])*1000,"#,##0")</f>
        <v>37,030</v>
      </c>
      <c r="AA70" s="14" t="str">
        <f>TEXT(VALUE(Table1[[#This Row],[Content.Column5]])*1000,"#,##0")</f>
        <v>183,850</v>
      </c>
      <c r="AB70" s="14" t="str">
        <f>TEXT(VALUE(Table1[[#This Row],[Content.Column6]])*1000,"#,##0")</f>
        <v>189,258</v>
      </c>
    </row>
    <row r="71" spans="1:28" x14ac:dyDescent="0.3">
      <c r="A71" t="s">
        <v>64</v>
      </c>
      <c r="B71" t="s">
        <v>65</v>
      </c>
      <c r="C71" s="6">
        <v>81.100999999999999</v>
      </c>
      <c r="D71" s="1">
        <v>32.405999999999999</v>
      </c>
      <c r="E71" s="1">
        <v>113.506</v>
      </c>
      <c r="F71" s="1">
        <v>116.744</v>
      </c>
      <c r="G71" s="2">
        <v>16.417000000000002</v>
      </c>
      <c r="H71" s="2">
        <v>6.3559999999999999</v>
      </c>
      <c r="I71" s="2">
        <v>22.774000000000001</v>
      </c>
      <c r="J71" s="2">
        <v>22.881</v>
      </c>
      <c r="K71" s="3">
        <v>64.683999999999997</v>
      </c>
      <c r="L71" s="3">
        <v>26.05</v>
      </c>
      <c r="M71" s="3">
        <v>90.731999999999999</v>
      </c>
      <c r="N71" s="3">
        <v>93.861999999999995</v>
      </c>
      <c r="O71">
        <v>2010</v>
      </c>
      <c r="Q71" s="12" t="str">
        <f>TEXT(VALUE(Table1[[#This Row],[Content.Column7]])*1000,"#,##0")</f>
        <v>16,417</v>
      </c>
      <c r="R71" s="12" t="str">
        <f>TEXT(VALUE(Table1[[#This Row],[Content.Column8]])*1000,"#,##0")</f>
        <v>6,356</v>
      </c>
      <c r="S71" s="12" t="str">
        <f>TEXT(VALUE(Table1[[#This Row],[Content.Column9]])*1000,"#,##0")</f>
        <v>22,774</v>
      </c>
      <c r="T71" s="12" t="str">
        <f>TEXT(VALUE(Table1[[#This Row],[Content.Column10]])*1000,"#,##0")</f>
        <v>22,881</v>
      </c>
      <c r="U71" s="13" t="str">
        <f>TEXT(VALUE(Table1[[#This Row],[Content.Column11]])*1000,"#,##0")</f>
        <v>64,684</v>
      </c>
      <c r="V71" s="13" t="str">
        <f>TEXT(VALUE(Table1[[#This Row],[Content.Column12]])*1000,"#,##0")</f>
        <v>26,050</v>
      </c>
      <c r="W71" s="13" t="str">
        <f>TEXT(VALUE(Table1[[#This Row],[Content.Column13]])*1000,"#,##0")</f>
        <v>90,732</v>
      </c>
      <c r="X71" s="13" t="str">
        <f>TEXT(VALUE(Table1[[#This Row],[Content.Column14]])*1000,"#,##0")</f>
        <v>93,862</v>
      </c>
      <c r="Y71" s="14" t="str">
        <f>TEXT(VALUE(Table1[[#This Row],[Content.Column3]])*1000,"#,##0")</f>
        <v>81,101</v>
      </c>
      <c r="Z71" s="14" t="str">
        <f>TEXT(VALUE(Table1[[#This Row],[Content.Column4]])*1000,"#,##0")</f>
        <v>32,406</v>
      </c>
      <c r="AA71" s="14" t="str">
        <f>TEXT(VALUE(Table1[[#This Row],[Content.Column5]])*1000,"#,##0")</f>
        <v>113,506</v>
      </c>
      <c r="AB71" s="14" t="str">
        <f>TEXT(VALUE(Table1[[#This Row],[Content.Column6]])*1000,"#,##0")</f>
        <v>116,744</v>
      </c>
    </row>
    <row r="72" spans="1:28" x14ac:dyDescent="0.3">
      <c r="A72" t="s">
        <v>66</v>
      </c>
      <c r="B72" t="s">
        <v>67</v>
      </c>
      <c r="C72" s="6">
        <v>50.344000000000001</v>
      </c>
      <c r="D72" s="1">
        <v>25.588000000000001</v>
      </c>
      <c r="E72" s="1">
        <v>75.930999999999997</v>
      </c>
      <c r="F72" s="1">
        <v>77.349999999999994</v>
      </c>
      <c r="G72" s="2">
        <v>9.1029999999999998</v>
      </c>
      <c r="H72" s="2">
        <v>5.5220000000000002</v>
      </c>
      <c r="I72" s="2">
        <v>14.625</v>
      </c>
      <c r="J72" s="2">
        <v>14.64</v>
      </c>
      <c r="K72" s="3">
        <v>41.24</v>
      </c>
      <c r="L72" s="3">
        <v>20.065999999999999</v>
      </c>
      <c r="M72" s="3">
        <v>61.305999999999997</v>
      </c>
      <c r="N72" s="3">
        <v>62.709000000000003</v>
      </c>
      <c r="O72">
        <v>2010</v>
      </c>
      <c r="Q72" s="12" t="str">
        <f>TEXT(VALUE(Table1[[#This Row],[Content.Column7]])*1000,"#,##0")</f>
        <v>9,103</v>
      </c>
      <c r="R72" s="12" t="str">
        <f>TEXT(VALUE(Table1[[#This Row],[Content.Column8]])*1000,"#,##0")</f>
        <v>5,522</v>
      </c>
      <c r="S72" s="12" t="str">
        <f>TEXT(VALUE(Table1[[#This Row],[Content.Column9]])*1000,"#,##0")</f>
        <v>14,625</v>
      </c>
      <c r="T72" s="12" t="str">
        <f>TEXT(VALUE(Table1[[#This Row],[Content.Column10]])*1000,"#,##0")</f>
        <v>14,640</v>
      </c>
      <c r="U72" s="13" t="str">
        <f>TEXT(VALUE(Table1[[#This Row],[Content.Column11]])*1000,"#,##0")</f>
        <v>41,240</v>
      </c>
      <c r="V72" s="13" t="str">
        <f>TEXT(VALUE(Table1[[#This Row],[Content.Column12]])*1000,"#,##0")</f>
        <v>20,066</v>
      </c>
      <c r="W72" s="13" t="str">
        <f>TEXT(VALUE(Table1[[#This Row],[Content.Column13]])*1000,"#,##0")</f>
        <v>61,306</v>
      </c>
      <c r="X72" s="13" t="str">
        <f>TEXT(VALUE(Table1[[#This Row],[Content.Column14]])*1000,"#,##0")</f>
        <v>62,709</v>
      </c>
      <c r="Y72" s="14" t="str">
        <f>TEXT(VALUE(Table1[[#This Row],[Content.Column3]])*1000,"#,##0")</f>
        <v>50,344</v>
      </c>
      <c r="Z72" s="14" t="str">
        <f>TEXT(VALUE(Table1[[#This Row],[Content.Column4]])*1000,"#,##0")</f>
        <v>25,588</v>
      </c>
      <c r="AA72" s="14" t="str">
        <f>TEXT(VALUE(Table1[[#This Row],[Content.Column5]])*1000,"#,##0")</f>
        <v>75,931</v>
      </c>
      <c r="AB72" s="14" t="str">
        <f>TEXT(VALUE(Table1[[#This Row],[Content.Column6]])*1000,"#,##0")</f>
        <v>77,350</v>
      </c>
    </row>
    <row r="73" spans="1:28" x14ac:dyDescent="0.3">
      <c r="A73" t="s">
        <v>68</v>
      </c>
      <c r="B73" t="s">
        <v>69</v>
      </c>
      <c r="C73" s="6">
        <v>89.656000000000006</v>
      </c>
      <c r="D73" s="1">
        <v>33.920999999999999</v>
      </c>
      <c r="E73" s="1">
        <v>123.575</v>
      </c>
      <c r="F73" s="1">
        <v>126.333</v>
      </c>
      <c r="G73" s="2">
        <v>29.085999999999999</v>
      </c>
      <c r="H73" s="2">
        <v>7.2560000000000002</v>
      </c>
      <c r="I73" s="2">
        <v>36.341999999999999</v>
      </c>
      <c r="J73" s="2">
        <v>36.462000000000003</v>
      </c>
      <c r="K73" s="3">
        <v>60.570999999999998</v>
      </c>
      <c r="L73" s="3">
        <v>26.664999999999999</v>
      </c>
      <c r="M73" s="3">
        <v>87.233999999999995</v>
      </c>
      <c r="N73" s="3">
        <v>89.870999999999995</v>
      </c>
      <c r="O73">
        <v>2010</v>
      </c>
      <c r="Q73" s="12" t="str">
        <f>TEXT(VALUE(Table1[[#This Row],[Content.Column7]])*1000,"#,##0")</f>
        <v>29,086</v>
      </c>
      <c r="R73" s="12" t="str">
        <f>TEXT(VALUE(Table1[[#This Row],[Content.Column8]])*1000,"#,##0")</f>
        <v>7,256</v>
      </c>
      <c r="S73" s="12" t="str">
        <f>TEXT(VALUE(Table1[[#This Row],[Content.Column9]])*1000,"#,##0")</f>
        <v>36,342</v>
      </c>
      <c r="T73" s="12" t="str">
        <f>TEXT(VALUE(Table1[[#This Row],[Content.Column10]])*1000,"#,##0")</f>
        <v>36,462</v>
      </c>
      <c r="U73" s="13" t="str">
        <f>TEXT(VALUE(Table1[[#This Row],[Content.Column11]])*1000,"#,##0")</f>
        <v>60,571</v>
      </c>
      <c r="V73" s="13" t="str">
        <f>TEXT(VALUE(Table1[[#This Row],[Content.Column12]])*1000,"#,##0")</f>
        <v>26,665</v>
      </c>
      <c r="W73" s="13" t="str">
        <f>TEXT(VALUE(Table1[[#This Row],[Content.Column13]])*1000,"#,##0")</f>
        <v>87,234</v>
      </c>
      <c r="X73" s="13" t="str">
        <f>TEXT(VALUE(Table1[[#This Row],[Content.Column14]])*1000,"#,##0")</f>
        <v>89,871</v>
      </c>
      <c r="Y73" s="14" t="str">
        <f>TEXT(VALUE(Table1[[#This Row],[Content.Column3]])*1000,"#,##0")</f>
        <v>89,656</v>
      </c>
      <c r="Z73" s="14" t="str">
        <f>TEXT(VALUE(Table1[[#This Row],[Content.Column4]])*1000,"#,##0")</f>
        <v>33,921</v>
      </c>
      <c r="AA73" s="14" t="str">
        <f>TEXT(VALUE(Table1[[#This Row],[Content.Column5]])*1000,"#,##0")</f>
        <v>123,575</v>
      </c>
      <c r="AB73" s="14" t="str">
        <f>TEXT(VALUE(Table1[[#This Row],[Content.Column6]])*1000,"#,##0")</f>
        <v>126,333</v>
      </c>
    </row>
    <row r="74" spans="1:28" x14ac:dyDescent="0.3">
      <c r="A74" t="s">
        <v>70</v>
      </c>
      <c r="B74" t="s">
        <v>71</v>
      </c>
      <c r="C74" s="6">
        <v>36.405000000000001</v>
      </c>
      <c r="D74" s="1">
        <v>22.532</v>
      </c>
      <c r="E74" s="1">
        <v>58.936</v>
      </c>
      <c r="F74" s="1">
        <v>60.761000000000003</v>
      </c>
      <c r="G74" s="2">
        <v>10.817</v>
      </c>
      <c r="H74" s="2">
        <v>8.0790000000000006</v>
      </c>
      <c r="I74" s="2">
        <v>18.896000000000001</v>
      </c>
      <c r="J74" s="2">
        <v>18.984000000000002</v>
      </c>
      <c r="K74" s="3">
        <v>25.588000000000001</v>
      </c>
      <c r="L74" s="3">
        <v>14.452999999999999</v>
      </c>
      <c r="M74" s="3">
        <v>40.04</v>
      </c>
      <c r="N74" s="3">
        <v>41.777000000000001</v>
      </c>
      <c r="O74">
        <v>2010</v>
      </c>
      <c r="Q74" s="12" t="str">
        <f>TEXT(VALUE(Table1[[#This Row],[Content.Column7]])*1000,"#,##0")</f>
        <v>10,817</v>
      </c>
      <c r="R74" s="12" t="str">
        <f>TEXT(VALUE(Table1[[#This Row],[Content.Column8]])*1000,"#,##0")</f>
        <v>8,079</v>
      </c>
      <c r="S74" s="12" t="str">
        <f>TEXT(VALUE(Table1[[#This Row],[Content.Column9]])*1000,"#,##0")</f>
        <v>18,896</v>
      </c>
      <c r="T74" s="12" t="str">
        <f>TEXT(VALUE(Table1[[#This Row],[Content.Column10]])*1000,"#,##0")</f>
        <v>18,984</v>
      </c>
      <c r="U74" s="13" t="str">
        <f>TEXT(VALUE(Table1[[#This Row],[Content.Column11]])*1000,"#,##0")</f>
        <v>25,588</v>
      </c>
      <c r="V74" s="13" t="str">
        <f>TEXT(VALUE(Table1[[#This Row],[Content.Column12]])*1000,"#,##0")</f>
        <v>14,453</v>
      </c>
      <c r="W74" s="13" t="str">
        <f>TEXT(VALUE(Table1[[#This Row],[Content.Column13]])*1000,"#,##0")</f>
        <v>40,040</v>
      </c>
      <c r="X74" s="13" t="str">
        <f>TEXT(VALUE(Table1[[#This Row],[Content.Column14]])*1000,"#,##0")</f>
        <v>41,777</v>
      </c>
      <c r="Y74" s="14" t="str">
        <f>TEXT(VALUE(Table1[[#This Row],[Content.Column3]])*1000,"#,##0")</f>
        <v>36,405</v>
      </c>
      <c r="Z74" s="14" t="str">
        <f>TEXT(VALUE(Table1[[#This Row],[Content.Column4]])*1000,"#,##0")</f>
        <v>22,532</v>
      </c>
      <c r="AA74" s="14" t="str">
        <f>TEXT(VALUE(Table1[[#This Row],[Content.Column5]])*1000,"#,##0")</f>
        <v>58,936</v>
      </c>
      <c r="AB74" s="14" t="str">
        <f>TEXT(VALUE(Table1[[#This Row],[Content.Column6]])*1000,"#,##0")</f>
        <v>60,761</v>
      </c>
    </row>
    <row r="75" spans="1:28" x14ac:dyDescent="0.3">
      <c r="A75" t="s">
        <v>72</v>
      </c>
      <c r="B75" t="s">
        <v>73</v>
      </c>
      <c r="C75" s="6">
        <v>45.905000000000001</v>
      </c>
      <c r="D75" s="1">
        <v>21.349</v>
      </c>
      <c r="E75" s="1">
        <v>67.251000000000005</v>
      </c>
      <c r="F75" s="1">
        <v>69.021000000000001</v>
      </c>
      <c r="G75" s="2">
        <v>6.92</v>
      </c>
      <c r="H75" s="2">
        <v>3.3370000000000002</v>
      </c>
      <c r="I75" s="2">
        <v>10.257</v>
      </c>
      <c r="J75" s="2">
        <v>10.257</v>
      </c>
      <c r="K75" s="3">
        <v>38.984999999999999</v>
      </c>
      <c r="L75" s="3">
        <v>18.013000000000002</v>
      </c>
      <c r="M75" s="3">
        <v>56.994999999999997</v>
      </c>
      <c r="N75" s="3">
        <v>58.764000000000003</v>
      </c>
      <c r="O75">
        <v>2010</v>
      </c>
      <c r="Q75" s="12" t="str">
        <f>TEXT(VALUE(Table1[[#This Row],[Content.Column7]])*1000,"#,##0")</f>
        <v>6,920</v>
      </c>
      <c r="R75" s="12" t="str">
        <f>TEXT(VALUE(Table1[[#This Row],[Content.Column8]])*1000,"#,##0")</f>
        <v>3,337</v>
      </c>
      <c r="S75" s="12" t="str">
        <f>TEXT(VALUE(Table1[[#This Row],[Content.Column9]])*1000,"#,##0")</f>
        <v>10,257</v>
      </c>
      <c r="T75" s="12" t="str">
        <f>TEXT(VALUE(Table1[[#This Row],[Content.Column10]])*1000,"#,##0")</f>
        <v>10,257</v>
      </c>
      <c r="U75" s="13" t="str">
        <f>TEXT(VALUE(Table1[[#This Row],[Content.Column11]])*1000,"#,##0")</f>
        <v>38,985</v>
      </c>
      <c r="V75" s="13" t="str">
        <f>TEXT(VALUE(Table1[[#This Row],[Content.Column12]])*1000,"#,##0")</f>
        <v>18,013</v>
      </c>
      <c r="W75" s="13" t="str">
        <f>TEXT(VALUE(Table1[[#This Row],[Content.Column13]])*1000,"#,##0")</f>
        <v>56,995</v>
      </c>
      <c r="X75" s="13" t="str">
        <f>TEXT(VALUE(Table1[[#This Row],[Content.Column14]])*1000,"#,##0")</f>
        <v>58,764</v>
      </c>
      <c r="Y75" s="14" t="str">
        <f>TEXT(VALUE(Table1[[#This Row],[Content.Column3]])*1000,"#,##0")</f>
        <v>45,905</v>
      </c>
      <c r="Z75" s="14" t="str">
        <f>TEXT(VALUE(Table1[[#This Row],[Content.Column4]])*1000,"#,##0")</f>
        <v>21,349</v>
      </c>
      <c r="AA75" s="14" t="str">
        <f>TEXT(VALUE(Table1[[#This Row],[Content.Column5]])*1000,"#,##0")</f>
        <v>67,251</v>
      </c>
      <c r="AB75" s="14" t="str">
        <f>TEXT(VALUE(Table1[[#This Row],[Content.Column6]])*1000,"#,##0")</f>
        <v>69,021</v>
      </c>
    </row>
    <row r="76" spans="1:28" x14ac:dyDescent="0.3">
      <c r="A76" t="s">
        <v>74</v>
      </c>
      <c r="B76" t="s">
        <v>75</v>
      </c>
      <c r="C76" s="6">
        <v>48.360999999999997</v>
      </c>
      <c r="D76" s="1">
        <v>24.709</v>
      </c>
      <c r="E76" s="1">
        <v>73.069000000000003</v>
      </c>
      <c r="F76" s="1">
        <v>75.061000000000007</v>
      </c>
      <c r="G76" s="2">
        <v>16.126000000000001</v>
      </c>
      <c r="H76" s="2">
        <v>8.2050000000000001</v>
      </c>
      <c r="I76" s="2">
        <v>24.331</v>
      </c>
      <c r="J76" s="2">
        <v>24.69</v>
      </c>
      <c r="K76" s="3">
        <v>32.234999999999999</v>
      </c>
      <c r="L76" s="3">
        <v>16.504000000000001</v>
      </c>
      <c r="M76" s="3">
        <v>48.738</v>
      </c>
      <c r="N76" s="3">
        <v>50.372</v>
      </c>
      <c r="O76">
        <v>2010</v>
      </c>
      <c r="Q76" s="12" t="str">
        <f>TEXT(VALUE(Table1[[#This Row],[Content.Column7]])*1000,"#,##0")</f>
        <v>16,126</v>
      </c>
      <c r="R76" s="12" t="str">
        <f>TEXT(VALUE(Table1[[#This Row],[Content.Column8]])*1000,"#,##0")</f>
        <v>8,205</v>
      </c>
      <c r="S76" s="12" t="str">
        <f>TEXT(VALUE(Table1[[#This Row],[Content.Column9]])*1000,"#,##0")</f>
        <v>24,331</v>
      </c>
      <c r="T76" s="12" t="str">
        <f>TEXT(VALUE(Table1[[#This Row],[Content.Column10]])*1000,"#,##0")</f>
        <v>24,690</v>
      </c>
      <c r="U76" s="13" t="str">
        <f>TEXT(VALUE(Table1[[#This Row],[Content.Column11]])*1000,"#,##0")</f>
        <v>32,235</v>
      </c>
      <c r="V76" s="13" t="str">
        <f>TEXT(VALUE(Table1[[#This Row],[Content.Column12]])*1000,"#,##0")</f>
        <v>16,504</v>
      </c>
      <c r="W76" s="13" t="str">
        <f>TEXT(VALUE(Table1[[#This Row],[Content.Column13]])*1000,"#,##0")</f>
        <v>48,738</v>
      </c>
      <c r="X76" s="13" t="str">
        <f>TEXT(VALUE(Table1[[#This Row],[Content.Column14]])*1000,"#,##0")</f>
        <v>50,372</v>
      </c>
      <c r="Y76" s="14" t="str">
        <f>TEXT(VALUE(Table1[[#This Row],[Content.Column3]])*1000,"#,##0")</f>
        <v>48,361</v>
      </c>
      <c r="Z76" s="14" t="str">
        <f>TEXT(VALUE(Table1[[#This Row],[Content.Column4]])*1000,"#,##0")</f>
        <v>24,709</v>
      </c>
      <c r="AA76" s="14" t="str">
        <f>TEXT(VALUE(Table1[[#This Row],[Content.Column5]])*1000,"#,##0")</f>
        <v>73,069</v>
      </c>
      <c r="AB76" s="14" t="str">
        <f>TEXT(VALUE(Table1[[#This Row],[Content.Column6]])*1000,"#,##0")</f>
        <v>75,061</v>
      </c>
    </row>
    <row r="77" spans="1:28" x14ac:dyDescent="0.3">
      <c r="A77" t="s">
        <v>76</v>
      </c>
      <c r="B77" t="s">
        <v>77</v>
      </c>
      <c r="C77" s="6">
        <v>42.185000000000002</v>
      </c>
      <c r="D77" s="1">
        <v>22.442</v>
      </c>
      <c r="E77" s="1">
        <v>64.623000000000005</v>
      </c>
      <c r="F77" s="1">
        <v>66.245999999999995</v>
      </c>
      <c r="G77" s="2">
        <v>11.778</v>
      </c>
      <c r="H77" s="2">
        <v>6.9930000000000003</v>
      </c>
      <c r="I77" s="2">
        <v>18.771000000000001</v>
      </c>
      <c r="J77" s="2">
        <v>18.774999999999999</v>
      </c>
      <c r="K77" s="3">
        <v>30.405999999999999</v>
      </c>
      <c r="L77" s="3">
        <v>15.449</v>
      </c>
      <c r="M77" s="3">
        <v>45.851999999999997</v>
      </c>
      <c r="N77" s="3">
        <v>47.47</v>
      </c>
      <c r="O77">
        <v>2010</v>
      </c>
      <c r="Q77" s="12" t="str">
        <f>TEXT(VALUE(Table1[[#This Row],[Content.Column7]])*1000,"#,##0")</f>
        <v>11,778</v>
      </c>
      <c r="R77" s="12" t="str">
        <f>TEXT(VALUE(Table1[[#This Row],[Content.Column8]])*1000,"#,##0")</f>
        <v>6,993</v>
      </c>
      <c r="S77" s="12" t="str">
        <f>TEXT(VALUE(Table1[[#This Row],[Content.Column9]])*1000,"#,##0")</f>
        <v>18,771</v>
      </c>
      <c r="T77" s="12" t="str">
        <f>TEXT(VALUE(Table1[[#This Row],[Content.Column10]])*1000,"#,##0")</f>
        <v>18,775</v>
      </c>
      <c r="U77" s="13" t="str">
        <f>TEXT(VALUE(Table1[[#This Row],[Content.Column11]])*1000,"#,##0")</f>
        <v>30,406</v>
      </c>
      <c r="V77" s="13" t="str">
        <f>TEXT(VALUE(Table1[[#This Row],[Content.Column12]])*1000,"#,##0")</f>
        <v>15,449</v>
      </c>
      <c r="W77" s="13" t="str">
        <f>TEXT(VALUE(Table1[[#This Row],[Content.Column13]])*1000,"#,##0")</f>
        <v>45,852</v>
      </c>
      <c r="X77" s="13" t="str">
        <f>TEXT(VALUE(Table1[[#This Row],[Content.Column14]])*1000,"#,##0")</f>
        <v>47,470</v>
      </c>
      <c r="Y77" s="14" t="str">
        <f>TEXT(VALUE(Table1[[#This Row],[Content.Column3]])*1000,"#,##0")</f>
        <v>42,185</v>
      </c>
      <c r="Z77" s="14" t="str">
        <f>TEXT(VALUE(Table1[[#This Row],[Content.Column4]])*1000,"#,##0")</f>
        <v>22,442</v>
      </c>
      <c r="AA77" s="14" t="str">
        <f>TEXT(VALUE(Table1[[#This Row],[Content.Column5]])*1000,"#,##0")</f>
        <v>64,623</v>
      </c>
      <c r="AB77" s="14" t="str">
        <f>TEXT(VALUE(Table1[[#This Row],[Content.Column6]])*1000,"#,##0")</f>
        <v>66,246</v>
      </c>
    </row>
    <row r="78" spans="1:28" x14ac:dyDescent="0.3">
      <c r="A78" t="s">
        <v>78</v>
      </c>
      <c r="B78" t="s">
        <v>79</v>
      </c>
      <c r="C78" s="6">
        <v>48.837000000000003</v>
      </c>
      <c r="D78" s="1">
        <v>21.763999999999999</v>
      </c>
      <c r="E78" s="1">
        <v>70.599000000000004</v>
      </c>
      <c r="F78" s="1">
        <v>73.087999999999994</v>
      </c>
      <c r="G78" s="2">
        <v>7.2290000000000001</v>
      </c>
      <c r="H78" s="2">
        <v>4.258</v>
      </c>
      <c r="I78" s="2">
        <v>11.486000000000001</v>
      </c>
      <c r="J78" s="2">
        <v>11.494</v>
      </c>
      <c r="K78" s="3">
        <v>41.607999999999997</v>
      </c>
      <c r="L78" s="3">
        <v>17.507000000000001</v>
      </c>
      <c r="M78" s="3">
        <v>59.112000000000002</v>
      </c>
      <c r="N78" s="3">
        <v>61.594999999999999</v>
      </c>
      <c r="O78">
        <v>2010</v>
      </c>
      <c r="Q78" s="12" t="str">
        <f>TEXT(VALUE(Table1[[#This Row],[Content.Column7]])*1000,"#,##0")</f>
        <v>7,229</v>
      </c>
      <c r="R78" s="12" t="str">
        <f>TEXT(VALUE(Table1[[#This Row],[Content.Column8]])*1000,"#,##0")</f>
        <v>4,258</v>
      </c>
      <c r="S78" s="12" t="str">
        <f>TEXT(VALUE(Table1[[#This Row],[Content.Column9]])*1000,"#,##0")</f>
        <v>11,486</v>
      </c>
      <c r="T78" s="12" t="str">
        <f>TEXT(VALUE(Table1[[#This Row],[Content.Column10]])*1000,"#,##0")</f>
        <v>11,494</v>
      </c>
      <c r="U78" s="13" t="str">
        <f>TEXT(VALUE(Table1[[#This Row],[Content.Column11]])*1000,"#,##0")</f>
        <v>41,608</v>
      </c>
      <c r="V78" s="13" t="str">
        <f>TEXT(VALUE(Table1[[#This Row],[Content.Column12]])*1000,"#,##0")</f>
        <v>17,507</v>
      </c>
      <c r="W78" s="13" t="str">
        <f>TEXT(VALUE(Table1[[#This Row],[Content.Column13]])*1000,"#,##0")</f>
        <v>59,112</v>
      </c>
      <c r="X78" s="13" t="str">
        <f>TEXT(VALUE(Table1[[#This Row],[Content.Column14]])*1000,"#,##0")</f>
        <v>61,595</v>
      </c>
      <c r="Y78" s="14" t="str">
        <f>TEXT(VALUE(Table1[[#This Row],[Content.Column3]])*1000,"#,##0")</f>
        <v>48,837</v>
      </c>
      <c r="Z78" s="14" t="str">
        <f>TEXT(VALUE(Table1[[#This Row],[Content.Column4]])*1000,"#,##0")</f>
        <v>21,764</v>
      </c>
      <c r="AA78" s="14" t="str">
        <f>TEXT(VALUE(Table1[[#This Row],[Content.Column5]])*1000,"#,##0")</f>
        <v>70,599</v>
      </c>
      <c r="AB78" s="14" t="str">
        <f>TEXT(VALUE(Table1[[#This Row],[Content.Column6]])*1000,"#,##0")</f>
        <v>73,088</v>
      </c>
    </row>
    <row r="79" spans="1:28" x14ac:dyDescent="0.3">
      <c r="A79" t="s">
        <v>80</v>
      </c>
      <c r="B79" t="s">
        <v>81</v>
      </c>
      <c r="C79" s="6">
        <v>138.32400000000001</v>
      </c>
      <c r="D79" s="1">
        <v>42.066000000000003</v>
      </c>
      <c r="E79" s="1">
        <v>180.38499999999999</v>
      </c>
      <c r="F79" s="1">
        <v>185.12</v>
      </c>
      <c r="G79" s="2">
        <v>24.89</v>
      </c>
      <c r="H79" s="2">
        <v>5.3310000000000004</v>
      </c>
      <c r="I79" s="2">
        <v>30.222000000000001</v>
      </c>
      <c r="J79" s="2">
        <v>30.251000000000001</v>
      </c>
      <c r="K79" s="3">
        <v>113.434</v>
      </c>
      <c r="L79" s="3">
        <v>36.734999999999999</v>
      </c>
      <c r="M79" s="3">
        <v>150.16300000000001</v>
      </c>
      <c r="N79" s="3">
        <v>154.869</v>
      </c>
      <c r="O79">
        <v>2010</v>
      </c>
      <c r="Q79" s="12" t="str">
        <f>TEXT(VALUE(Table1[[#This Row],[Content.Column7]])*1000,"#,##0")</f>
        <v>24,890</v>
      </c>
      <c r="R79" s="12" t="str">
        <f>TEXT(VALUE(Table1[[#This Row],[Content.Column8]])*1000,"#,##0")</f>
        <v>5,331</v>
      </c>
      <c r="S79" s="12" t="str">
        <f>TEXT(VALUE(Table1[[#This Row],[Content.Column9]])*1000,"#,##0")</f>
        <v>30,222</v>
      </c>
      <c r="T79" s="12" t="str">
        <f>TEXT(VALUE(Table1[[#This Row],[Content.Column10]])*1000,"#,##0")</f>
        <v>30,251</v>
      </c>
      <c r="U79" s="13" t="str">
        <f>TEXT(VALUE(Table1[[#This Row],[Content.Column11]])*1000,"#,##0")</f>
        <v>113,434</v>
      </c>
      <c r="V79" s="13" t="str">
        <f>TEXT(VALUE(Table1[[#This Row],[Content.Column12]])*1000,"#,##0")</f>
        <v>36,735</v>
      </c>
      <c r="W79" s="13" t="str">
        <f>TEXT(VALUE(Table1[[#This Row],[Content.Column13]])*1000,"#,##0")</f>
        <v>150,163</v>
      </c>
      <c r="X79" s="13" t="str">
        <f>TEXT(VALUE(Table1[[#This Row],[Content.Column14]])*1000,"#,##0")</f>
        <v>154,869</v>
      </c>
      <c r="Y79" s="14" t="str">
        <f>TEXT(VALUE(Table1[[#This Row],[Content.Column3]])*1000,"#,##0")</f>
        <v>138,324</v>
      </c>
      <c r="Z79" s="14" t="str">
        <f>TEXT(VALUE(Table1[[#This Row],[Content.Column4]])*1000,"#,##0")</f>
        <v>42,066</v>
      </c>
      <c r="AA79" s="14" t="str">
        <f>TEXT(VALUE(Table1[[#This Row],[Content.Column5]])*1000,"#,##0")</f>
        <v>180,385</v>
      </c>
      <c r="AB79" s="14" t="str">
        <f>TEXT(VALUE(Table1[[#This Row],[Content.Column6]])*1000,"#,##0")</f>
        <v>185,120</v>
      </c>
    </row>
    <row r="80" spans="1:28" x14ac:dyDescent="0.3">
      <c r="A80" t="s">
        <v>82</v>
      </c>
      <c r="B80" t="s">
        <v>83</v>
      </c>
      <c r="C80" s="6">
        <v>44.847000000000001</v>
      </c>
      <c r="D80" s="1">
        <v>20.927</v>
      </c>
      <c r="E80" s="1">
        <v>65.772999999999996</v>
      </c>
      <c r="F80" s="1">
        <v>67.527000000000001</v>
      </c>
      <c r="G80" s="2">
        <v>9.4329999999999998</v>
      </c>
      <c r="H80" s="2">
        <v>6.3010000000000002</v>
      </c>
      <c r="I80" s="2">
        <v>15.734</v>
      </c>
      <c r="J80" s="2">
        <v>15.808</v>
      </c>
      <c r="K80" s="3">
        <v>35.414000000000001</v>
      </c>
      <c r="L80" s="3">
        <v>14.625999999999999</v>
      </c>
      <c r="M80" s="3">
        <v>50.039000000000001</v>
      </c>
      <c r="N80" s="3">
        <v>51.719000000000001</v>
      </c>
      <c r="O80">
        <v>2010</v>
      </c>
      <c r="Q80" s="12" t="str">
        <f>TEXT(VALUE(Table1[[#This Row],[Content.Column7]])*1000,"#,##0")</f>
        <v>9,433</v>
      </c>
      <c r="R80" s="12" t="str">
        <f>TEXT(VALUE(Table1[[#This Row],[Content.Column8]])*1000,"#,##0")</f>
        <v>6,301</v>
      </c>
      <c r="S80" s="12" t="str">
        <f>TEXT(VALUE(Table1[[#This Row],[Content.Column9]])*1000,"#,##0")</f>
        <v>15,734</v>
      </c>
      <c r="T80" s="12" t="str">
        <f>TEXT(VALUE(Table1[[#This Row],[Content.Column10]])*1000,"#,##0")</f>
        <v>15,808</v>
      </c>
      <c r="U80" s="13" t="str">
        <f>TEXT(VALUE(Table1[[#This Row],[Content.Column11]])*1000,"#,##0")</f>
        <v>35,414</v>
      </c>
      <c r="V80" s="13" t="str">
        <f>TEXT(VALUE(Table1[[#This Row],[Content.Column12]])*1000,"#,##0")</f>
        <v>14,626</v>
      </c>
      <c r="W80" s="13" t="str">
        <f>TEXT(VALUE(Table1[[#This Row],[Content.Column13]])*1000,"#,##0")</f>
        <v>50,039</v>
      </c>
      <c r="X80" s="13" t="str">
        <f>TEXT(VALUE(Table1[[#This Row],[Content.Column14]])*1000,"#,##0")</f>
        <v>51,719</v>
      </c>
      <c r="Y80" s="14" t="str">
        <f>TEXT(VALUE(Table1[[#This Row],[Content.Column3]])*1000,"#,##0")</f>
        <v>44,847</v>
      </c>
      <c r="Z80" s="14" t="str">
        <f>TEXT(VALUE(Table1[[#This Row],[Content.Column4]])*1000,"#,##0")</f>
        <v>20,927</v>
      </c>
      <c r="AA80" s="14" t="str">
        <f>TEXT(VALUE(Table1[[#This Row],[Content.Column5]])*1000,"#,##0")</f>
        <v>65,773</v>
      </c>
      <c r="AB80" s="14" t="str">
        <f>TEXT(VALUE(Table1[[#This Row],[Content.Column6]])*1000,"#,##0")</f>
        <v>67,527</v>
      </c>
    </row>
    <row r="81" spans="1:28" x14ac:dyDescent="0.3">
      <c r="A81" t="s">
        <v>84</v>
      </c>
      <c r="B81" t="s">
        <v>85</v>
      </c>
      <c r="C81" s="6">
        <v>166.68899999999999</v>
      </c>
      <c r="D81" s="1">
        <v>41.771000000000001</v>
      </c>
      <c r="E81" s="1">
        <v>208.45699999999999</v>
      </c>
      <c r="F81" s="1">
        <v>212.12100000000001</v>
      </c>
      <c r="G81" s="2">
        <v>32.715000000000003</v>
      </c>
      <c r="H81" s="2">
        <v>8.673</v>
      </c>
      <c r="I81" s="2">
        <v>41.387999999999998</v>
      </c>
      <c r="J81" s="2">
        <v>41.603999999999999</v>
      </c>
      <c r="K81" s="3">
        <v>133.97300000000001</v>
      </c>
      <c r="L81" s="3">
        <v>33.098999999999997</v>
      </c>
      <c r="M81" s="3">
        <v>167.06899999999999</v>
      </c>
      <c r="N81" s="3">
        <v>170.51599999999999</v>
      </c>
      <c r="O81">
        <v>2010</v>
      </c>
      <c r="Q81" s="12" t="str">
        <f>TEXT(VALUE(Table1[[#This Row],[Content.Column7]])*1000,"#,##0")</f>
        <v>32,715</v>
      </c>
      <c r="R81" s="12" t="str">
        <f>TEXT(VALUE(Table1[[#This Row],[Content.Column8]])*1000,"#,##0")</f>
        <v>8,673</v>
      </c>
      <c r="S81" s="12" t="str">
        <f>TEXT(VALUE(Table1[[#This Row],[Content.Column9]])*1000,"#,##0")</f>
        <v>41,388</v>
      </c>
      <c r="T81" s="12" t="str">
        <f>TEXT(VALUE(Table1[[#This Row],[Content.Column10]])*1000,"#,##0")</f>
        <v>41,604</v>
      </c>
      <c r="U81" s="13" t="str">
        <f>TEXT(VALUE(Table1[[#This Row],[Content.Column11]])*1000,"#,##0")</f>
        <v>133,973</v>
      </c>
      <c r="V81" s="13" t="str">
        <f>TEXT(VALUE(Table1[[#This Row],[Content.Column12]])*1000,"#,##0")</f>
        <v>33,099</v>
      </c>
      <c r="W81" s="13" t="str">
        <f>TEXT(VALUE(Table1[[#This Row],[Content.Column13]])*1000,"#,##0")</f>
        <v>167,069</v>
      </c>
      <c r="X81" s="13" t="str">
        <f>TEXT(VALUE(Table1[[#This Row],[Content.Column14]])*1000,"#,##0")</f>
        <v>170,516</v>
      </c>
      <c r="Y81" s="14" t="str">
        <f>TEXT(VALUE(Table1[[#This Row],[Content.Column3]])*1000,"#,##0")</f>
        <v>166,689</v>
      </c>
      <c r="Z81" s="14" t="str">
        <f>TEXT(VALUE(Table1[[#This Row],[Content.Column4]])*1000,"#,##0")</f>
        <v>41,771</v>
      </c>
      <c r="AA81" s="14" t="str">
        <f>TEXT(VALUE(Table1[[#This Row],[Content.Column5]])*1000,"#,##0")</f>
        <v>208,457</v>
      </c>
      <c r="AB81" s="14" t="str">
        <f>TEXT(VALUE(Table1[[#This Row],[Content.Column6]])*1000,"#,##0")</f>
        <v>212,121</v>
      </c>
    </row>
    <row r="82" spans="1:28" x14ac:dyDescent="0.3">
      <c r="A82" t="s">
        <v>86</v>
      </c>
      <c r="B82" t="s">
        <v>87</v>
      </c>
      <c r="C82" s="6">
        <v>37.741999999999997</v>
      </c>
      <c r="D82" s="1">
        <v>17.306000000000001</v>
      </c>
      <c r="E82" s="1">
        <v>55.045000000000002</v>
      </c>
      <c r="F82" s="1">
        <v>56.552999999999997</v>
      </c>
      <c r="G82" s="2">
        <v>10.558</v>
      </c>
      <c r="H82" s="2">
        <v>5.0529999999999999</v>
      </c>
      <c r="I82" s="2">
        <v>15.611000000000001</v>
      </c>
      <c r="J82" s="2">
        <v>15.622999999999999</v>
      </c>
      <c r="K82" s="3">
        <v>27.184000000000001</v>
      </c>
      <c r="L82" s="3">
        <v>12.253</v>
      </c>
      <c r="M82" s="3">
        <v>39.433999999999997</v>
      </c>
      <c r="N82" s="3">
        <v>40.929000000000002</v>
      </c>
      <c r="O82">
        <v>2010</v>
      </c>
      <c r="Q82" s="12" t="str">
        <f>TEXT(VALUE(Table1[[#This Row],[Content.Column7]])*1000,"#,##0")</f>
        <v>10,558</v>
      </c>
      <c r="R82" s="12" t="str">
        <f>TEXT(VALUE(Table1[[#This Row],[Content.Column8]])*1000,"#,##0")</f>
        <v>5,053</v>
      </c>
      <c r="S82" s="12" t="str">
        <f>TEXT(VALUE(Table1[[#This Row],[Content.Column9]])*1000,"#,##0")</f>
        <v>15,611</v>
      </c>
      <c r="T82" s="12" t="str">
        <f>TEXT(VALUE(Table1[[#This Row],[Content.Column10]])*1000,"#,##0")</f>
        <v>15,623</v>
      </c>
      <c r="U82" s="13" t="str">
        <f>TEXT(VALUE(Table1[[#This Row],[Content.Column11]])*1000,"#,##0")</f>
        <v>27,184</v>
      </c>
      <c r="V82" s="13" t="str">
        <f>TEXT(VALUE(Table1[[#This Row],[Content.Column12]])*1000,"#,##0")</f>
        <v>12,253</v>
      </c>
      <c r="W82" s="13" t="str">
        <f>TEXT(VALUE(Table1[[#This Row],[Content.Column13]])*1000,"#,##0")</f>
        <v>39,434</v>
      </c>
      <c r="X82" s="13" t="str">
        <f>TEXT(VALUE(Table1[[#This Row],[Content.Column14]])*1000,"#,##0")</f>
        <v>40,929</v>
      </c>
      <c r="Y82" s="14" t="str">
        <f>TEXT(VALUE(Table1[[#This Row],[Content.Column3]])*1000,"#,##0")</f>
        <v>37,742</v>
      </c>
      <c r="Z82" s="14" t="str">
        <f>TEXT(VALUE(Table1[[#This Row],[Content.Column4]])*1000,"#,##0")</f>
        <v>17,306</v>
      </c>
      <c r="AA82" s="14" t="str">
        <f>TEXT(VALUE(Table1[[#This Row],[Content.Column5]])*1000,"#,##0")</f>
        <v>55,045</v>
      </c>
      <c r="AB82" s="14" t="str">
        <f>TEXT(VALUE(Table1[[#This Row],[Content.Column6]])*1000,"#,##0")</f>
        <v>56,553</v>
      </c>
    </row>
    <row r="83" spans="1:28" x14ac:dyDescent="0.3">
      <c r="A83" t="s">
        <v>88</v>
      </c>
      <c r="B83" t="s">
        <v>89</v>
      </c>
      <c r="C83" s="6">
        <v>74.186000000000007</v>
      </c>
      <c r="D83" s="1">
        <v>28.51</v>
      </c>
      <c r="E83" s="1">
        <v>102.69499999999999</v>
      </c>
      <c r="F83" s="1">
        <v>105.399</v>
      </c>
      <c r="G83" s="2">
        <v>20.382999999999999</v>
      </c>
      <c r="H83" s="2">
        <v>5.6440000000000001</v>
      </c>
      <c r="I83" s="2">
        <v>26.027000000000001</v>
      </c>
      <c r="J83" s="2">
        <v>26.033000000000001</v>
      </c>
      <c r="K83" s="3">
        <v>53.802999999999997</v>
      </c>
      <c r="L83" s="3">
        <v>22.867000000000001</v>
      </c>
      <c r="M83" s="3">
        <v>76.668999999999997</v>
      </c>
      <c r="N83" s="3">
        <v>79.364999999999995</v>
      </c>
      <c r="O83">
        <v>2010</v>
      </c>
      <c r="Q83" s="12" t="str">
        <f>TEXT(VALUE(Table1[[#This Row],[Content.Column7]])*1000,"#,##0")</f>
        <v>20,383</v>
      </c>
      <c r="R83" s="12" t="str">
        <f>TEXT(VALUE(Table1[[#This Row],[Content.Column8]])*1000,"#,##0")</f>
        <v>5,644</v>
      </c>
      <c r="S83" s="12" t="str">
        <f>TEXT(VALUE(Table1[[#This Row],[Content.Column9]])*1000,"#,##0")</f>
        <v>26,027</v>
      </c>
      <c r="T83" s="12" t="str">
        <f>TEXT(VALUE(Table1[[#This Row],[Content.Column10]])*1000,"#,##0")</f>
        <v>26,033</v>
      </c>
      <c r="U83" s="13" t="str">
        <f>TEXT(VALUE(Table1[[#This Row],[Content.Column11]])*1000,"#,##0")</f>
        <v>53,803</v>
      </c>
      <c r="V83" s="13" t="str">
        <f>TEXT(VALUE(Table1[[#This Row],[Content.Column12]])*1000,"#,##0")</f>
        <v>22,867</v>
      </c>
      <c r="W83" s="13" t="str">
        <f>TEXT(VALUE(Table1[[#This Row],[Content.Column13]])*1000,"#,##0")</f>
        <v>76,669</v>
      </c>
      <c r="X83" s="13" t="str">
        <f>TEXT(VALUE(Table1[[#This Row],[Content.Column14]])*1000,"#,##0")</f>
        <v>79,365</v>
      </c>
      <c r="Y83" s="14" t="str">
        <f>TEXT(VALUE(Table1[[#This Row],[Content.Column3]])*1000,"#,##0")</f>
        <v>74,186</v>
      </c>
      <c r="Z83" s="14" t="str">
        <f>TEXT(VALUE(Table1[[#This Row],[Content.Column4]])*1000,"#,##0")</f>
        <v>28,510</v>
      </c>
      <c r="AA83" s="14" t="str">
        <f>TEXT(VALUE(Table1[[#This Row],[Content.Column5]])*1000,"#,##0")</f>
        <v>102,695</v>
      </c>
      <c r="AB83" s="14" t="str">
        <f>TEXT(VALUE(Table1[[#This Row],[Content.Column6]])*1000,"#,##0")</f>
        <v>105,399</v>
      </c>
    </row>
    <row r="84" spans="1:28" x14ac:dyDescent="0.3">
      <c r="A84" t="s">
        <v>90</v>
      </c>
      <c r="B84" t="s">
        <v>91</v>
      </c>
      <c r="C84" s="6">
        <v>481.79500000000002</v>
      </c>
      <c r="D84" s="1">
        <v>128.36199999999999</v>
      </c>
      <c r="E84" s="1">
        <v>610.13900000000001</v>
      </c>
      <c r="F84" s="1">
        <v>631.44399999999996</v>
      </c>
      <c r="G84" s="2">
        <v>83.680999999999997</v>
      </c>
      <c r="H84" s="2">
        <v>12.744999999999999</v>
      </c>
      <c r="I84" s="2">
        <v>96.427000000000007</v>
      </c>
      <c r="J84" s="2">
        <v>97.557000000000002</v>
      </c>
      <c r="K84" s="3">
        <v>398.11399999999998</v>
      </c>
      <c r="L84" s="3">
        <v>115.617</v>
      </c>
      <c r="M84" s="3">
        <v>513.71199999999999</v>
      </c>
      <c r="N84" s="3">
        <v>533.88699999999994</v>
      </c>
      <c r="O84">
        <v>2010</v>
      </c>
      <c r="Q84" s="12" t="str">
        <f>TEXT(VALUE(Table1[[#This Row],[Content.Column7]])*1000,"#,##0")</f>
        <v>83,681</v>
      </c>
      <c r="R84" s="12" t="str">
        <f>TEXT(VALUE(Table1[[#This Row],[Content.Column8]])*1000,"#,##0")</f>
        <v>12,745</v>
      </c>
      <c r="S84" s="12" t="str">
        <f>TEXT(VALUE(Table1[[#This Row],[Content.Column9]])*1000,"#,##0")</f>
        <v>96,427</v>
      </c>
      <c r="T84" s="12" t="str">
        <f>TEXT(VALUE(Table1[[#This Row],[Content.Column10]])*1000,"#,##0")</f>
        <v>97,557</v>
      </c>
      <c r="U84" s="13" t="str">
        <f>TEXT(VALUE(Table1[[#This Row],[Content.Column11]])*1000,"#,##0")</f>
        <v>398,114</v>
      </c>
      <c r="V84" s="13" t="str">
        <f>TEXT(VALUE(Table1[[#This Row],[Content.Column12]])*1000,"#,##0")</f>
        <v>115,617</v>
      </c>
      <c r="W84" s="13" t="str">
        <f>TEXT(VALUE(Table1[[#This Row],[Content.Column13]])*1000,"#,##0")</f>
        <v>513,712</v>
      </c>
      <c r="X84" s="13" t="str">
        <f>TEXT(VALUE(Table1[[#This Row],[Content.Column14]])*1000,"#,##0")</f>
        <v>533,887</v>
      </c>
      <c r="Y84" s="14" t="str">
        <f>TEXT(VALUE(Table1[[#This Row],[Content.Column3]])*1000,"#,##0")</f>
        <v>481,795</v>
      </c>
      <c r="Z84" s="14" t="str">
        <f>TEXT(VALUE(Table1[[#This Row],[Content.Column4]])*1000,"#,##0")</f>
        <v>128,362</v>
      </c>
      <c r="AA84" s="14" t="str">
        <f>TEXT(VALUE(Table1[[#This Row],[Content.Column5]])*1000,"#,##0")</f>
        <v>610,139</v>
      </c>
      <c r="AB84" s="14" t="str">
        <f>TEXT(VALUE(Table1[[#This Row],[Content.Column6]])*1000,"#,##0")</f>
        <v>631,444</v>
      </c>
    </row>
    <row r="85" spans="1:28" x14ac:dyDescent="0.3">
      <c r="A85" t="s">
        <v>92</v>
      </c>
      <c r="B85" t="s">
        <v>93</v>
      </c>
      <c r="C85" s="6">
        <v>1978.242</v>
      </c>
      <c r="D85" s="1">
        <v>572.52200000000005</v>
      </c>
      <c r="E85" s="1">
        <v>2550.6880000000001</v>
      </c>
      <c r="F85" s="1">
        <v>2626.587</v>
      </c>
      <c r="G85" s="2">
        <v>365.654</v>
      </c>
      <c r="H85" s="2">
        <v>94.268000000000001</v>
      </c>
      <c r="I85" s="2">
        <v>459.92200000000003</v>
      </c>
      <c r="J85" s="2">
        <v>462.26</v>
      </c>
      <c r="K85" s="3">
        <v>1612.588</v>
      </c>
      <c r="L85" s="3">
        <v>478.25299999999999</v>
      </c>
      <c r="M85" s="3">
        <v>2090.7660000000001</v>
      </c>
      <c r="N85" s="3">
        <v>2164.3270000000002</v>
      </c>
      <c r="O85">
        <v>2010</v>
      </c>
      <c r="Q85" s="12" t="str">
        <f>TEXT(VALUE(Table1[[#This Row],[Content.Column7]])*1000,"#,##0")</f>
        <v>365,654</v>
      </c>
      <c r="R85" s="12" t="str">
        <f>TEXT(VALUE(Table1[[#This Row],[Content.Column8]])*1000,"#,##0")</f>
        <v>94,268</v>
      </c>
      <c r="S85" s="12" t="str">
        <f>TEXT(VALUE(Table1[[#This Row],[Content.Column9]])*1000,"#,##0")</f>
        <v>459,922</v>
      </c>
      <c r="T85" s="12" t="str">
        <f>TEXT(VALUE(Table1[[#This Row],[Content.Column10]])*1000,"#,##0")</f>
        <v>462,260</v>
      </c>
      <c r="U85" s="13" t="str">
        <f>TEXT(VALUE(Table1[[#This Row],[Content.Column11]])*1000,"#,##0")</f>
        <v>1,612,588</v>
      </c>
      <c r="V85" s="13" t="str">
        <f>TEXT(VALUE(Table1[[#This Row],[Content.Column12]])*1000,"#,##0")</f>
        <v>478,253</v>
      </c>
      <c r="W85" s="13" t="str">
        <f>TEXT(VALUE(Table1[[#This Row],[Content.Column13]])*1000,"#,##0")</f>
        <v>2,090,766</v>
      </c>
      <c r="X85" s="13" t="str">
        <f>TEXT(VALUE(Table1[[#This Row],[Content.Column14]])*1000,"#,##0")</f>
        <v>2,164,327</v>
      </c>
      <c r="Y85" s="14" t="str">
        <f>TEXT(VALUE(Table1[[#This Row],[Content.Column3]])*1000,"#,##0")</f>
        <v>1,978,242</v>
      </c>
      <c r="Z85" s="14" t="str">
        <f>TEXT(VALUE(Table1[[#This Row],[Content.Column4]])*1000,"#,##0")</f>
        <v>572,522</v>
      </c>
      <c r="AA85" s="14" t="str">
        <f>TEXT(VALUE(Table1[[#This Row],[Content.Column5]])*1000,"#,##0")</f>
        <v>2,550,688</v>
      </c>
      <c r="AB85" s="14" t="str">
        <f>TEXT(VALUE(Table1[[#This Row],[Content.Column6]])*1000,"#,##0")</f>
        <v>2,626,587</v>
      </c>
    </row>
    <row r="86" spans="1:28" x14ac:dyDescent="0.3">
      <c r="A86" t="s">
        <v>94</v>
      </c>
      <c r="B86" t="s">
        <v>95</v>
      </c>
      <c r="C86" s="6">
        <v>1134.644</v>
      </c>
      <c r="D86" s="1">
        <v>520.74199999999996</v>
      </c>
      <c r="E86" s="1">
        <v>1655.3440000000001</v>
      </c>
      <c r="F86" s="1">
        <v>1696.2190000000001</v>
      </c>
      <c r="G86" s="2">
        <v>225.227</v>
      </c>
      <c r="H86" s="2">
        <v>126.54900000000001</v>
      </c>
      <c r="I86" s="2">
        <v>351.77600000000001</v>
      </c>
      <c r="J86" s="2">
        <v>352.51600000000002</v>
      </c>
      <c r="K86" s="3">
        <v>909.41700000000003</v>
      </c>
      <c r="L86" s="3">
        <v>394.19200000000001</v>
      </c>
      <c r="M86" s="3">
        <v>1303.568</v>
      </c>
      <c r="N86" s="3">
        <v>1343.703</v>
      </c>
      <c r="O86">
        <v>2010</v>
      </c>
      <c r="Q86" s="12" t="str">
        <f>TEXT(VALUE(Table1[[#This Row],[Content.Column7]])*1000,"#,##0")</f>
        <v>225,227</v>
      </c>
      <c r="R86" s="12" t="str">
        <f>TEXT(VALUE(Table1[[#This Row],[Content.Column8]])*1000,"#,##0")</f>
        <v>126,549</v>
      </c>
      <c r="S86" s="12" t="str">
        <f>TEXT(VALUE(Table1[[#This Row],[Content.Column9]])*1000,"#,##0")</f>
        <v>351,776</v>
      </c>
      <c r="T86" s="12" t="str">
        <f>TEXT(VALUE(Table1[[#This Row],[Content.Column10]])*1000,"#,##0")</f>
        <v>352,516</v>
      </c>
      <c r="U86" s="13" t="str">
        <f>TEXT(VALUE(Table1[[#This Row],[Content.Column11]])*1000,"#,##0")</f>
        <v>909,417</v>
      </c>
      <c r="V86" s="13" t="str">
        <f>TEXT(VALUE(Table1[[#This Row],[Content.Column12]])*1000,"#,##0")</f>
        <v>394,192</v>
      </c>
      <c r="W86" s="13" t="str">
        <f>TEXT(VALUE(Table1[[#This Row],[Content.Column13]])*1000,"#,##0")</f>
        <v>1,303,568</v>
      </c>
      <c r="X86" s="13" t="str">
        <f>TEXT(VALUE(Table1[[#This Row],[Content.Column14]])*1000,"#,##0")</f>
        <v>1,343,703</v>
      </c>
      <c r="Y86" s="14" t="str">
        <f>TEXT(VALUE(Table1[[#This Row],[Content.Column3]])*1000,"#,##0")</f>
        <v>1,134,644</v>
      </c>
      <c r="Z86" s="14" t="str">
        <f>TEXT(VALUE(Table1[[#This Row],[Content.Column4]])*1000,"#,##0")</f>
        <v>520,742</v>
      </c>
      <c r="AA86" s="14" t="str">
        <f>TEXT(VALUE(Table1[[#This Row],[Content.Column5]])*1000,"#,##0")</f>
        <v>1,655,344</v>
      </c>
      <c r="AB86" s="14" t="str">
        <f>TEXT(VALUE(Table1[[#This Row],[Content.Column6]])*1000,"#,##0")</f>
        <v>1,696,219</v>
      </c>
    </row>
    <row r="87" spans="1:28" x14ac:dyDescent="0.3">
      <c r="A87" t="s">
        <v>96</v>
      </c>
      <c r="B87" t="s">
        <v>97</v>
      </c>
      <c r="C87" s="6">
        <v>674.21900000000005</v>
      </c>
      <c r="D87" s="1">
        <v>336.79</v>
      </c>
      <c r="E87" s="1">
        <v>1011.009</v>
      </c>
      <c r="F87" s="1">
        <v>1044.08</v>
      </c>
      <c r="G87" s="2">
        <v>180.744</v>
      </c>
      <c r="H87" s="2">
        <v>107.07899999999999</v>
      </c>
      <c r="I87" s="2">
        <v>287.82299999999998</v>
      </c>
      <c r="J87" s="2">
        <v>295.25700000000001</v>
      </c>
      <c r="K87" s="3">
        <v>493.47500000000002</v>
      </c>
      <c r="L87" s="3">
        <v>229.71100000000001</v>
      </c>
      <c r="M87" s="3">
        <v>723.18600000000004</v>
      </c>
      <c r="N87" s="3">
        <v>748.82299999999998</v>
      </c>
      <c r="O87">
        <v>2010</v>
      </c>
      <c r="Q87" s="12" t="str">
        <f>TEXT(VALUE(Table1[[#This Row],[Content.Column7]])*1000,"#,##0")</f>
        <v>180,744</v>
      </c>
      <c r="R87" s="12" t="str">
        <f>TEXT(VALUE(Table1[[#This Row],[Content.Column8]])*1000,"#,##0")</f>
        <v>107,079</v>
      </c>
      <c r="S87" s="12" t="str">
        <f>TEXT(VALUE(Table1[[#This Row],[Content.Column9]])*1000,"#,##0")</f>
        <v>287,823</v>
      </c>
      <c r="T87" s="12" t="str">
        <f>TEXT(VALUE(Table1[[#This Row],[Content.Column10]])*1000,"#,##0")</f>
        <v>295,257</v>
      </c>
      <c r="U87" s="13" t="str">
        <f>TEXT(VALUE(Table1[[#This Row],[Content.Column11]])*1000,"#,##0")</f>
        <v>493,475</v>
      </c>
      <c r="V87" s="13" t="str">
        <f>TEXT(VALUE(Table1[[#This Row],[Content.Column12]])*1000,"#,##0")</f>
        <v>229,711</v>
      </c>
      <c r="W87" s="13" t="str">
        <f>TEXT(VALUE(Table1[[#This Row],[Content.Column13]])*1000,"#,##0")</f>
        <v>723,186</v>
      </c>
      <c r="X87" s="13" t="str">
        <f>TEXT(VALUE(Table1[[#This Row],[Content.Column14]])*1000,"#,##0")</f>
        <v>748,823</v>
      </c>
      <c r="Y87" s="14" t="str">
        <f>TEXT(VALUE(Table1[[#This Row],[Content.Column3]])*1000,"#,##0")</f>
        <v>674,219</v>
      </c>
      <c r="Z87" s="14" t="str">
        <f>TEXT(VALUE(Table1[[#This Row],[Content.Column4]])*1000,"#,##0")</f>
        <v>336,790</v>
      </c>
      <c r="AA87" s="14" t="str">
        <f>TEXT(VALUE(Table1[[#This Row],[Content.Column5]])*1000,"#,##0")</f>
        <v>1,011,009</v>
      </c>
      <c r="AB87" s="14" t="str">
        <f>TEXT(VALUE(Table1[[#This Row],[Content.Column6]])*1000,"#,##0")</f>
        <v>1,044,080</v>
      </c>
    </row>
    <row r="88" spans="1:28" x14ac:dyDescent="0.3">
      <c r="A88" t="s">
        <v>98</v>
      </c>
      <c r="B88" t="s">
        <v>99</v>
      </c>
      <c r="C88" s="6">
        <v>2014.9580000000001</v>
      </c>
      <c r="D88" s="1">
        <v>965.24599999999998</v>
      </c>
      <c r="E88" s="1">
        <v>2980.203</v>
      </c>
      <c r="F88" s="1">
        <v>3083.2379999999998</v>
      </c>
      <c r="G88" s="2">
        <v>453.62</v>
      </c>
      <c r="H88" s="2">
        <v>268.005</v>
      </c>
      <c r="I88" s="2">
        <v>721.625</v>
      </c>
      <c r="J88" s="2">
        <v>745.55399999999997</v>
      </c>
      <c r="K88" s="3">
        <v>1561.338</v>
      </c>
      <c r="L88" s="3">
        <v>697.24099999999999</v>
      </c>
      <c r="M88" s="3">
        <v>2258.5790000000002</v>
      </c>
      <c r="N88" s="3">
        <v>2337.6840000000002</v>
      </c>
      <c r="O88">
        <v>2010</v>
      </c>
      <c r="Q88" s="12" t="str">
        <f>TEXT(VALUE(Table1[[#This Row],[Content.Column7]])*1000,"#,##0")</f>
        <v>453,620</v>
      </c>
      <c r="R88" s="12" t="str">
        <f>TEXT(VALUE(Table1[[#This Row],[Content.Column8]])*1000,"#,##0")</f>
        <v>268,005</v>
      </c>
      <c r="S88" s="12" t="str">
        <f>TEXT(VALUE(Table1[[#This Row],[Content.Column9]])*1000,"#,##0")</f>
        <v>721,625</v>
      </c>
      <c r="T88" s="12" t="str">
        <f>TEXT(VALUE(Table1[[#This Row],[Content.Column10]])*1000,"#,##0")</f>
        <v>745,554</v>
      </c>
      <c r="U88" s="13" t="str">
        <f>TEXT(VALUE(Table1[[#This Row],[Content.Column11]])*1000,"#,##0")</f>
        <v>1,561,338</v>
      </c>
      <c r="V88" s="13" t="str">
        <f>TEXT(VALUE(Table1[[#This Row],[Content.Column12]])*1000,"#,##0")</f>
        <v>697,241</v>
      </c>
      <c r="W88" s="13" t="str">
        <f>TEXT(VALUE(Table1[[#This Row],[Content.Column13]])*1000,"#,##0")</f>
        <v>2,258,579</v>
      </c>
      <c r="X88" s="13" t="str">
        <f>TEXT(VALUE(Table1[[#This Row],[Content.Column14]])*1000,"#,##0")</f>
        <v>2,337,684</v>
      </c>
      <c r="Y88" s="14" t="str">
        <f>TEXT(VALUE(Table1[[#This Row],[Content.Column3]])*1000,"#,##0")</f>
        <v>2,014,958</v>
      </c>
      <c r="Z88" s="14" t="str">
        <f>TEXT(VALUE(Table1[[#This Row],[Content.Column4]])*1000,"#,##0")</f>
        <v>965,246</v>
      </c>
      <c r="AA88" s="14" t="str">
        <f>TEXT(VALUE(Table1[[#This Row],[Content.Column5]])*1000,"#,##0")</f>
        <v>2,980,203</v>
      </c>
      <c r="AB88" s="14" t="str">
        <f>TEXT(VALUE(Table1[[#This Row],[Content.Column6]])*1000,"#,##0")</f>
        <v>3,083,238</v>
      </c>
    </row>
    <row r="89" spans="1:28" x14ac:dyDescent="0.3">
      <c r="A89" t="s">
        <v>100</v>
      </c>
      <c r="B89" t="s">
        <v>101</v>
      </c>
      <c r="C89" s="6">
        <v>1466.7070000000001</v>
      </c>
      <c r="D89" s="1">
        <v>735.58799999999997</v>
      </c>
      <c r="E89" s="1">
        <v>2202.2959999999998</v>
      </c>
      <c r="F89" s="1">
        <v>2288.989</v>
      </c>
      <c r="G89" s="2">
        <v>340.78800000000001</v>
      </c>
      <c r="H89" s="2">
        <v>218.86600000000001</v>
      </c>
      <c r="I89" s="2">
        <v>559.654</v>
      </c>
      <c r="J89" s="2">
        <v>581.75599999999997</v>
      </c>
      <c r="K89" s="3">
        <v>1125.9190000000001</v>
      </c>
      <c r="L89" s="3">
        <v>516.72299999999996</v>
      </c>
      <c r="M89" s="3">
        <v>1642.6420000000001</v>
      </c>
      <c r="N89" s="3">
        <v>1707.2329999999999</v>
      </c>
      <c r="O89">
        <v>2010</v>
      </c>
      <c r="Q89" s="12" t="str">
        <f>TEXT(VALUE(Table1[[#This Row],[Content.Column7]])*1000,"#,##0")</f>
        <v>340,788</v>
      </c>
      <c r="R89" s="12" t="str">
        <f>TEXT(VALUE(Table1[[#This Row],[Content.Column8]])*1000,"#,##0")</f>
        <v>218,866</v>
      </c>
      <c r="S89" s="12" t="str">
        <f>TEXT(VALUE(Table1[[#This Row],[Content.Column9]])*1000,"#,##0")</f>
        <v>559,654</v>
      </c>
      <c r="T89" s="12" t="str">
        <f>TEXT(VALUE(Table1[[#This Row],[Content.Column10]])*1000,"#,##0")</f>
        <v>581,756</v>
      </c>
      <c r="U89" s="13" t="str">
        <f>TEXT(VALUE(Table1[[#This Row],[Content.Column11]])*1000,"#,##0")</f>
        <v>1,125,919</v>
      </c>
      <c r="V89" s="13" t="str">
        <f>TEXT(VALUE(Table1[[#This Row],[Content.Column12]])*1000,"#,##0")</f>
        <v>516,723</v>
      </c>
      <c r="W89" s="13" t="str">
        <f>TEXT(VALUE(Table1[[#This Row],[Content.Column13]])*1000,"#,##0")</f>
        <v>1,642,642</v>
      </c>
      <c r="X89" s="13" t="str">
        <f>TEXT(VALUE(Table1[[#This Row],[Content.Column14]])*1000,"#,##0")</f>
        <v>1,707,233</v>
      </c>
      <c r="Y89" s="14" t="str">
        <f>TEXT(VALUE(Table1[[#This Row],[Content.Column3]])*1000,"#,##0")</f>
        <v>1,466,707</v>
      </c>
      <c r="Z89" s="14" t="str">
        <f>TEXT(VALUE(Table1[[#This Row],[Content.Column4]])*1000,"#,##0")</f>
        <v>735,588</v>
      </c>
      <c r="AA89" s="14" t="str">
        <f>TEXT(VALUE(Table1[[#This Row],[Content.Column5]])*1000,"#,##0")</f>
        <v>2,202,296</v>
      </c>
      <c r="AB89" s="14" t="str">
        <f>TEXT(VALUE(Table1[[#This Row],[Content.Column6]])*1000,"#,##0")</f>
        <v>2,288,989</v>
      </c>
    </row>
    <row r="90" spans="1:28" x14ac:dyDescent="0.3">
      <c r="A90" t="s">
        <v>102</v>
      </c>
      <c r="B90" t="s">
        <v>103</v>
      </c>
      <c r="C90" s="6">
        <v>1285.9680000000001</v>
      </c>
      <c r="D90" s="1">
        <v>619.93299999999999</v>
      </c>
      <c r="E90" s="1">
        <v>1905.9010000000001</v>
      </c>
      <c r="F90" s="1">
        <v>1986.364</v>
      </c>
      <c r="G90" s="2">
        <v>238.17599999999999</v>
      </c>
      <c r="H90" s="2">
        <v>185.46899999999999</v>
      </c>
      <c r="I90" s="2">
        <v>423.64400000000001</v>
      </c>
      <c r="J90" s="2">
        <v>444.18900000000002</v>
      </c>
      <c r="K90" s="3">
        <v>1047.7919999999999</v>
      </c>
      <c r="L90" s="3">
        <v>434.464</v>
      </c>
      <c r="M90" s="3">
        <v>1482.2560000000001</v>
      </c>
      <c r="N90" s="3">
        <v>1542.175</v>
      </c>
      <c r="O90">
        <v>2010</v>
      </c>
      <c r="Q90" s="12" t="str">
        <f>TEXT(VALUE(Table1[[#This Row],[Content.Column7]])*1000,"#,##0")</f>
        <v>238,176</v>
      </c>
      <c r="R90" s="12" t="str">
        <f>TEXT(VALUE(Table1[[#This Row],[Content.Column8]])*1000,"#,##0")</f>
        <v>185,469</v>
      </c>
      <c r="S90" s="12" t="str">
        <f>TEXT(VALUE(Table1[[#This Row],[Content.Column9]])*1000,"#,##0")</f>
        <v>423,644</v>
      </c>
      <c r="T90" s="12" t="str">
        <f>TEXT(VALUE(Table1[[#This Row],[Content.Column10]])*1000,"#,##0")</f>
        <v>444,189</v>
      </c>
      <c r="U90" s="13" t="str">
        <f>TEXT(VALUE(Table1[[#This Row],[Content.Column11]])*1000,"#,##0")</f>
        <v>1,047,792</v>
      </c>
      <c r="V90" s="13" t="str">
        <f>TEXT(VALUE(Table1[[#This Row],[Content.Column12]])*1000,"#,##0")</f>
        <v>434,464</v>
      </c>
      <c r="W90" s="13" t="str">
        <f>TEXT(VALUE(Table1[[#This Row],[Content.Column13]])*1000,"#,##0")</f>
        <v>1,482,256</v>
      </c>
      <c r="X90" s="13" t="str">
        <f>TEXT(VALUE(Table1[[#This Row],[Content.Column14]])*1000,"#,##0")</f>
        <v>1,542,175</v>
      </c>
      <c r="Y90" s="14" t="str">
        <f>TEXT(VALUE(Table1[[#This Row],[Content.Column3]])*1000,"#,##0")</f>
        <v>1,285,968</v>
      </c>
      <c r="Z90" s="14" t="str">
        <f>TEXT(VALUE(Table1[[#This Row],[Content.Column4]])*1000,"#,##0")</f>
        <v>619,933</v>
      </c>
      <c r="AA90" s="14" t="str">
        <f>TEXT(VALUE(Table1[[#This Row],[Content.Column5]])*1000,"#,##0")</f>
        <v>1,905,901</v>
      </c>
      <c r="AB90" s="14" t="str">
        <f>TEXT(VALUE(Table1[[#This Row],[Content.Column6]])*1000,"#,##0")</f>
        <v>1,986,364</v>
      </c>
    </row>
    <row r="91" spans="1:28" x14ac:dyDescent="0.3">
      <c r="A91" t="s">
        <v>104</v>
      </c>
      <c r="B91" t="s">
        <v>105</v>
      </c>
      <c r="C91" s="6">
        <v>1548.672</v>
      </c>
      <c r="D91" s="1">
        <v>763.05799999999999</v>
      </c>
      <c r="E91" s="1">
        <v>2311.7310000000002</v>
      </c>
      <c r="F91" s="1">
        <v>2400.5859999999998</v>
      </c>
      <c r="G91" s="2">
        <v>321.54899999999998</v>
      </c>
      <c r="H91" s="2">
        <v>218.92500000000001</v>
      </c>
      <c r="I91" s="2">
        <v>540.47400000000005</v>
      </c>
      <c r="J91" s="2">
        <v>564.99699999999996</v>
      </c>
      <c r="K91" s="3">
        <v>1227.123</v>
      </c>
      <c r="L91" s="3">
        <v>544.13300000000004</v>
      </c>
      <c r="M91" s="3">
        <v>1771.2570000000001</v>
      </c>
      <c r="N91" s="3">
        <v>1835.5889999999999</v>
      </c>
      <c r="O91">
        <v>2010</v>
      </c>
      <c r="Q91" s="12" t="str">
        <f>TEXT(VALUE(Table1[[#This Row],[Content.Column7]])*1000,"#,##0")</f>
        <v>321,549</v>
      </c>
      <c r="R91" s="12" t="str">
        <f>TEXT(VALUE(Table1[[#This Row],[Content.Column8]])*1000,"#,##0")</f>
        <v>218,925</v>
      </c>
      <c r="S91" s="12" t="str">
        <f>TEXT(VALUE(Table1[[#This Row],[Content.Column9]])*1000,"#,##0")</f>
        <v>540,474</v>
      </c>
      <c r="T91" s="12" t="str">
        <f>TEXT(VALUE(Table1[[#This Row],[Content.Column10]])*1000,"#,##0")</f>
        <v>564,997</v>
      </c>
      <c r="U91" s="13" t="str">
        <f>TEXT(VALUE(Table1[[#This Row],[Content.Column11]])*1000,"#,##0")</f>
        <v>1,227,123</v>
      </c>
      <c r="V91" s="13" t="str">
        <f>TEXT(VALUE(Table1[[#This Row],[Content.Column12]])*1000,"#,##0")</f>
        <v>544,133</v>
      </c>
      <c r="W91" s="13" t="str">
        <f>TEXT(VALUE(Table1[[#This Row],[Content.Column13]])*1000,"#,##0")</f>
        <v>1,771,257</v>
      </c>
      <c r="X91" s="13" t="str">
        <f>TEXT(VALUE(Table1[[#This Row],[Content.Column14]])*1000,"#,##0")</f>
        <v>1,835,589</v>
      </c>
      <c r="Y91" s="14" t="str">
        <f>TEXT(VALUE(Table1[[#This Row],[Content.Column3]])*1000,"#,##0")</f>
        <v>1,548,672</v>
      </c>
      <c r="Z91" s="14" t="str">
        <f>TEXT(VALUE(Table1[[#This Row],[Content.Column4]])*1000,"#,##0")</f>
        <v>763,058</v>
      </c>
      <c r="AA91" s="14" t="str">
        <f>TEXT(VALUE(Table1[[#This Row],[Content.Column5]])*1000,"#,##0")</f>
        <v>2,311,731</v>
      </c>
      <c r="AB91" s="14" t="str">
        <f>TEXT(VALUE(Table1[[#This Row],[Content.Column6]])*1000,"#,##0")</f>
        <v>2,400,586</v>
      </c>
    </row>
    <row r="92" spans="1:28" x14ac:dyDescent="0.3">
      <c r="A92" t="s">
        <v>106</v>
      </c>
      <c r="B92" t="s">
        <v>107</v>
      </c>
      <c r="C92" s="6">
        <v>1572.742</v>
      </c>
      <c r="D92" s="1">
        <v>827.33199999999999</v>
      </c>
      <c r="E92" s="1">
        <v>2400.0729999999999</v>
      </c>
      <c r="F92" s="1">
        <v>2497.0500000000002</v>
      </c>
      <c r="G92" s="2">
        <v>293.82</v>
      </c>
      <c r="H92" s="2">
        <v>210.83600000000001</v>
      </c>
      <c r="I92" s="2">
        <v>504.65499999999997</v>
      </c>
      <c r="J92" s="2">
        <v>525.00900000000001</v>
      </c>
      <c r="K92" s="3">
        <v>1278.923</v>
      </c>
      <c r="L92" s="3">
        <v>616.49599999999998</v>
      </c>
      <c r="M92" s="3">
        <v>1895.4179999999999</v>
      </c>
      <c r="N92" s="3">
        <v>1972.0409999999999</v>
      </c>
      <c r="O92">
        <v>2010</v>
      </c>
      <c r="Q92" s="12" t="str">
        <f>TEXT(VALUE(Table1[[#This Row],[Content.Column7]])*1000,"#,##0")</f>
        <v>293,820</v>
      </c>
      <c r="R92" s="12" t="str">
        <f>TEXT(VALUE(Table1[[#This Row],[Content.Column8]])*1000,"#,##0")</f>
        <v>210,836</v>
      </c>
      <c r="S92" s="12" t="str">
        <f>TEXT(VALUE(Table1[[#This Row],[Content.Column9]])*1000,"#,##0")</f>
        <v>504,655</v>
      </c>
      <c r="T92" s="12" t="str">
        <f>TEXT(VALUE(Table1[[#This Row],[Content.Column10]])*1000,"#,##0")</f>
        <v>525,009</v>
      </c>
      <c r="U92" s="13" t="str">
        <f>TEXT(VALUE(Table1[[#This Row],[Content.Column11]])*1000,"#,##0")</f>
        <v>1,278,923</v>
      </c>
      <c r="V92" s="13" t="str">
        <f>TEXT(VALUE(Table1[[#This Row],[Content.Column12]])*1000,"#,##0")</f>
        <v>616,496</v>
      </c>
      <c r="W92" s="13" t="str">
        <f>TEXT(VALUE(Table1[[#This Row],[Content.Column13]])*1000,"#,##0")</f>
        <v>1,895,418</v>
      </c>
      <c r="X92" s="13" t="str">
        <f>TEXT(VALUE(Table1[[#This Row],[Content.Column14]])*1000,"#,##0")</f>
        <v>1,972,041</v>
      </c>
      <c r="Y92" s="14" t="str">
        <f>TEXT(VALUE(Table1[[#This Row],[Content.Column3]])*1000,"#,##0")</f>
        <v>1,572,742</v>
      </c>
      <c r="Z92" s="14" t="str">
        <f>TEXT(VALUE(Table1[[#This Row],[Content.Column4]])*1000,"#,##0")</f>
        <v>827,332</v>
      </c>
      <c r="AA92" s="14" t="str">
        <f>TEXT(VALUE(Table1[[#This Row],[Content.Column5]])*1000,"#,##0")</f>
        <v>2,400,073</v>
      </c>
      <c r="AB92" s="14" t="str">
        <f>TEXT(VALUE(Table1[[#This Row],[Content.Column6]])*1000,"#,##0")</f>
        <v>2,497,050</v>
      </c>
    </row>
    <row r="93" spans="1:28" x14ac:dyDescent="0.3">
      <c r="A93" t="s">
        <v>108</v>
      </c>
      <c r="B93" t="s">
        <v>109</v>
      </c>
      <c r="C93" s="6">
        <v>3113.2069999999999</v>
      </c>
      <c r="D93" s="1">
        <v>1093.365</v>
      </c>
      <c r="E93" s="1">
        <v>4206.4539999999997</v>
      </c>
      <c r="F93" s="1">
        <v>4323.5619999999999</v>
      </c>
      <c r="G93" s="2">
        <v>591.202</v>
      </c>
      <c r="H93" s="2">
        <v>220.91900000000001</v>
      </c>
      <c r="I93" s="2">
        <v>812.12099999999998</v>
      </c>
      <c r="J93" s="2">
        <v>815.53099999999995</v>
      </c>
      <c r="K93" s="3">
        <v>2522.0050000000001</v>
      </c>
      <c r="L93" s="3">
        <v>872.44600000000003</v>
      </c>
      <c r="M93" s="3">
        <v>3394.3339999999998</v>
      </c>
      <c r="N93" s="3">
        <v>3508.03</v>
      </c>
      <c r="O93">
        <v>2010</v>
      </c>
      <c r="Q93" s="12" t="str">
        <f>TEXT(VALUE(Table1[[#This Row],[Content.Column7]])*1000,"#,##0")</f>
        <v>591,202</v>
      </c>
      <c r="R93" s="12" t="str">
        <f>TEXT(VALUE(Table1[[#This Row],[Content.Column8]])*1000,"#,##0")</f>
        <v>220,919</v>
      </c>
      <c r="S93" s="12" t="str">
        <f>TEXT(VALUE(Table1[[#This Row],[Content.Column9]])*1000,"#,##0")</f>
        <v>812,121</v>
      </c>
      <c r="T93" s="12" t="str">
        <f>TEXT(VALUE(Table1[[#This Row],[Content.Column10]])*1000,"#,##0")</f>
        <v>815,531</v>
      </c>
      <c r="U93" s="13" t="str">
        <f>TEXT(VALUE(Table1[[#This Row],[Content.Column11]])*1000,"#,##0")</f>
        <v>2,522,005</v>
      </c>
      <c r="V93" s="13" t="str">
        <f>TEXT(VALUE(Table1[[#This Row],[Content.Column12]])*1000,"#,##0")</f>
        <v>872,446</v>
      </c>
      <c r="W93" s="13" t="str">
        <f>TEXT(VALUE(Table1[[#This Row],[Content.Column13]])*1000,"#,##0")</f>
        <v>3,394,334</v>
      </c>
      <c r="X93" s="13" t="str">
        <f>TEXT(VALUE(Table1[[#This Row],[Content.Column14]])*1000,"#,##0")</f>
        <v>3,508,030</v>
      </c>
      <c r="Y93" s="14" t="str">
        <f>TEXT(VALUE(Table1[[#This Row],[Content.Column3]])*1000,"#,##0")</f>
        <v>3,113,207</v>
      </c>
      <c r="Z93" s="14" t="str">
        <f>TEXT(VALUE(Table1[[#This Row],[Content.Column4]])*1000,"#,##0")</f>
        <v>1,093,365</v>
      </c>
      <c r="AA93" s="14" t="str">
        <f>TEXT(VALUE(Table1[[#This Row],[Content.Column5]])*1000,"#,##0")</f>
        <v>4,206,454</v>
      </c>
      <c r="AB93" s="14" t="str">
        <f>TEXT(VALUE(Table1[[#This Row],[Content.Column6]])*1000,"#,##0")</f>
        <v>4,323,562</v>
      </c>
    </row>
    <row r="94" spans="1:28" x14ac:dyDescent="0.3">
      <c r="A94" t="s">
        <v>110</v>
      </c>
      <c r="B94" t="s">
        <v>111</v>
      </c>
      <c r="C94" s="6">
        <v>2551.9630000000002</v>
      </c>
      <c r="D94" s="1">
        <v>1231.433</v>
      </c>
      <c r="E94" s="1">
        <v>3783.3939999999998</v>
      </c>
      <c r="F94" s="1">
        <v>3934.6640000000002</v>
      </c>
      <c r="G94" s="2">
        <v>445.12400000000002</v>
      </c>
      <c r="H94" s="2">
        <v>283.94600000000003</v>
      </c>
      <c r="I94" s="2">
        <v>729.07</v>
      </c>
      <c r="J94" s="2">
        <v>751.78899999999999</v>
      </c>
      <c r="K94" s="3">
        <v>2106.8389999999999</v>
      </c>
      <c r="L94" s="3">
        <v>947.48800000000006</v>
      </c>
      <c r="M94" s="3">
        <v>3054.3240000000001</v>
      </c>
      <c r="N94" s="3">
        <v>3182.875</v>
      </c>
      <c r="O94">
        <v>2010</v>
      </c>
      <c r="Q94" s="12" t="str">
        <f>TEXT(VALUE(Table1[[#This Row],[Content.Column7]])*1000,"#,##0")</f>
        <v>445,124</v>
      </c>
      <c r="R94" s="12" t="str">
        <f>TEXT(VALUE(Table1[[#This Row],[Content.Column8]])*1000,"#,##0")</f>
        <v>283,946</v>
      </c>
      <c r="S94" s="12" t="str">
        <f>TEXT(VALUE(Table1[[#This Row],[Content.Column9]])*1000,"#,##0")</f>
        <v>729,070</v>
      </c>
      <c r="T94" s="12" t="str">
        <f>TEXT(VALUE(Table1[[#This Row],[Content.Column10]])*1000,"#,##0")</f>
        <v>751,789</v>
      </c>
      <c r="U94" s="13" t="str">
        <f>TEXT(VALUE(Table1[[#This Row],[Content.Column11]])*1000,"#,##0")</f>
        <v>2,106,839</v>
      </c>
      <c r="V94" s="13" t="str">
        <f>TEXT(VALUE(Table1[[#This Row],[Content.Column12]])*1000,"#,##0")</f>
        <v>947,488</v>
      </c>
      <c r="W94" s="13" t="str">
        <f>TEXT(VALUE(Table1[[#This Row],[Content.Column13]])*1000,"#,##0")</f>
        <v>3,054,324</v>
      </c>
      <c r="X94" s="13" t="str">
        <f>TEXT(VALUE(Table1[[#This Row],[Content.Column14]])*1000,"#,##0")</f>
        <v>3,182,875</v>
      </c>
      <c r="Y94" s="14" t="str">
        <f>TEXT(VALUE(Table1[[#This Row],[Content.Column3]])*1000,"#,##0")</f>
        <v>2,551,963</v>
      </c>
      <c r="Z94" s="14" t="str">
        <f>TEXT(VALUE(Table1[[#This Row],[Content.Column4]])*1000,"#,##0")</f>
        <v>1,231,433</v>
      </c>
      <c r="AA94" s="14" t="str">
        <f>TEXT(VALUE(Table1[[#This Row],[Content.Column5]])*1000,"#,##0")</f>
        <v>3,783,394</v>
      </c>
      <c r="AB94" s="14" t="str">
        <f>TEXT(VALUE(Table1[[#This Row],[Content.Column6]])*1000,"#,##0")</f>
        <v>3,934,664</v>
      </c>
    </row>
    <row r="95" spans="1:28" x14ac:dyDescent="0.3">
      <c r="A95" t="s">
        <v>112</v>
      </c>
      <c r="B95" t="s">
        <v>113</v>
      </c>
      <c r="C95" s="6">
        <v>1470.8230000000001</v>
      </c>
      <c r="D95" s="1">
        <v>813.46400000000006</v>
      </c>
      <c r="E95" s="1">
        <v>2284.2179999999998</v>
      </c>
      <c r="F95" s="1">
        <v>2423.4639999999999</v>
      </c>
      <c r="G95" s="2">
        <v>308.30500000000001</v>
      </c>
      <c r="H95" s="2">
        <v>215.53299999999999</v>
      </c>
      <c r="I95" s="2">
        <v>523.83799999999997</v>
      </c>
      <c r="J95" s="2">
        <v>568.86099999999999</v>
      </c>
      <c r="K95" s="3">
        <v>1162.518</v>
      </c>
      <c r="L95" s="3">
        <v>597.93100000000004</v>
      </c>
      <c r="M95" s="3">
        <v>1760.3789999999999</v>
      </c>
      <c r="N95" s="3">
        <v>1854.6030000000001</v>
      </c>
      <c r="O95">
        <v>2010</v>
      </c>
      <c r="Q95" s="12" t="str">
        <f>TEXT(VALUE(Table1[[#This Row],[Content.Column7]])*1000,"#,##0")</f>
        <v>308,305</v>
      </c>
      <c r="R95" s="12" t="str">
        <f>TEXT(VALUE(Table1[[#This Row],[Content.Column8]])*1000,"#,##0")</f>
        <v>215,533</v>
      </c>
      <c r="S95" s="12" t="str">
        <f>TEXT(VALUE(Table1[[#This Row],[Content.Column9]])*1000,"#,##0")</f>
        <v>523,838</v>
      </c>
      <c r="T95" s="12" t="str">
        <f>TEXT(VALUE(Table1[[#This Row],[Content.Column10]])*1000,"#,##0")</f>
        <v>568,861</v>
      </c>
      <c r="U95" s="13" t="str">
        <f>TEXT(VALUE(Table1[[#This Row],[Content.Column11]])*1000,"#,##0")</f>
        <v>1,162,518</v>
      </c>
      <c r="V95" s="13" t="str">
        <f>TEXT(VALUE(Table1[[#This Row],[Content.Column12]])*1000,"#,##0")</f>
        <v>597,931</v>
      </c>
      <c r="W95" s="13" t="str">
        <f>TEXT(VALUE(Table1[[#This Row],[Content.Column13]])*1000,"#,##0")</f>
        <v>1,760,379</v>
      </c>
      <c r="X95" s="13" t="str">
        <f>TEXT(VALUE(Table1[[#This Row],[Content.Column14]])*1000,"#,##0")</f>
        <v>1,854,603</v>
      </c>
      <c r="Y95" s="14" t="str">
        <f>TEXT(VALUE(Table1[[#This Row],[Content.Column3]])*1000,"#,##0")</f>
        <v>1,470,823</v>
      </c>
      <c r="Z95" s="14" t="str">
        <f>TEXT(VALUE(Table1[[#This Row],[Content.Column4]])*1000,"#,##0")</f>
        <v>813,464</v>
      </c>
      <c r="AA95" s="14" t="str">
        <f>TEXT(VALUE(Table1[[#This Row],[Content.Column5]])*1000,"#,##0")</f>
        <v>2,284,218</v>
      </c>
      <c r="AB95" s="14" t="str">
        <f>TEXT(VALUE(Table1[[#This Row],[Content.Column6]])*1000,"#,##0")</f>
        <v>2,423,464</v>
      </c>
    </row>
    <row r="96" spans="1:28" x14ac:dyDescent="0.3">
      <c r="A96" t="s">
        <v>114</v>
      </c>
      <c r="B96" t="s">
        <v>115</v>
      </c>
      <c r="C96" s="6">
        <v>750.11099999999999</v>
      </c>
      <c r="D96" s="1">
        <v>415.40800000000002</v>
      </c>
      <c r="E96" s="1">
        <v>1165.52</v>
      </c>
      <c r="F96" s="1">
        <v>1254.2840000000001</v>
      </c>
      <c r="G96" s="2">
        <v>211.74799999999999</v>
      </c>
      <c r="H96" s="2">
        <v>138.18</v>
      </c>
      <c r="I96" s="2">
        <v>349.928</v>
      </c>
      <c r="J96" s="2">
        <v>396.82</v>
      </c>
      <c r="K96" s="3">
        <v>538.36300000000006</v>
      </c>
      <c r="L96" s="3">
        <v>277.22800000000001</v>
      </c>
      <c r="M96" s="3">
        <v>815.59199999999998</v>
      </c>
      <c r="N96" s="3">
        <v>857.46400000000006</v>
      </c>
      <c r="O96">
        <v>2010</v>
      </c>
      <c r="Q96" s="12" t="str">
        <f>TEXT(VALUE(Table1[[#This Row],[Content.Column7]])*1000,"#,##0")</f>
        <v>211,748</v>
      </c>
      <c r="R96" s="12" t="str">
        <f>TEXT(VALUE(Table1[[#This Row],[Content.Column8]])*1000,"#,##0")</f>
        <v>138,180</v>
      </c>
      <c r="S96" s="12" t="str">
        <f>TEXT(VALUE(Table1[[#This Row],[Content.Column9]])*1000,"#,##0")</f>
        <v>349,928</v>
      </c>
      <c r="T96" s="12" t="str">
        <f>TEXT(VALUE(Table1[[#This Row],[Content.Column10]])*1000,"#,##0")</f>
        <v>396,820</v>
      </c>
      <c r="U96" s="13" t="str">
        <f>TEXT(VALUE(Table1[[#This Row],[Content.Column11]])*1000,"#,##0")</f>
        <v>538,363</v>
      </c>
      <c r="V96" s="13" t="str">
        <f>TEXT(VALUE(Table1[[#This Row],[Content.Column12]])*1000,"#,##0")</f>
        <v>277,228</v>
      </c>
      <c r="W96" s="13" t="str">
        <f>TEXT(VALUE(Table1[[#This Row],[Content.Column13]])*1000,"#,##0")</f>
        <v>815,592</v>
      </c>
      <c r="X96" s="13" t="str">
        <f>TEXT(VALUE(Table1[[#This Row],[Content.Column14]])*1000,"#,##0")</f>
        <v>857,464</v>
      </c>
      <c r="Y96" s="14" t="str">
        <f>TEXT(VALUE(Table1[[#This Row],[Content.Column3]])*1000,"#,##0")</f>
        <v>750,111</v>
      </c>
      <c r="Z96" s="14" t="str">
        <f>TEXT(VALUE(Table1[[#This Row],[Content.Column4]])*1000,"#,##0")</f>
        <v>415,408</v>
      </c>
      <c r="AA96" s="14" t="str">
        <f>TEXT(VALUE(Table1[[#This Row],[Content.Column5]])*1000,"#,##0")</f>
        <v>1,165,520</v>
      </c>
      <c r="AB96" s="14" t="str">
        <f>TEXT(VALUE(Table1[[#This Row],[Content.Column6]])*1000,"#,##0")</f>
        <v>1,254,284</v>
      </c>
    </row>
    <row r="97" spans="1:28" x14ac:dyDescent="0.3">
      <c r="A97" t="s">
        <v>116</v>
      </c>
      <c r="B97" t="s">
        <v>117</v>
      </c>
      <c r="C97" s="6">
        <v>1569.586</v>
      </c>
      <c r="D97" s="1">
        <v>760.92600000000004</v>
      </c>
      <c r="E97" s="1">
        <v>2330.5120000000002</v>
      </c>
      <c r="F97" s="1">
        <v>2435.3139999999999</v>
      </c>
      <c r="G97" s="2">
        <v>427.75900000000001</v>
      </c>
      <c r="H97" s="2">
        <v>238.172</v>
      </c>
      <c r="I97" s="2">
        <v>665.93100000000004</v>
      </c>
      <c r="J97" s="2">
        <v>709.62</v>
      </c>
      <c r="K97" s="3">
        <v>1141.827</v>
      </c>
      <c r="L97" s="3">
        <v>522.75400000000002</v>
      </c>
      <c r="M97" s="3">
        <v>1664.58</v>
      </c>
      <c r="N97" s="3">
        <v>1725.694</v>
      </c>
      <c r="O97">
        <v>2010</v>
      </c>
      <c r="Q97" s="12" t="str">
        <f>TEXT(VALUE(Table1[[#This Row],[Content.Column7]])*1000,"#,##0")</f>
        <v>427,759</v>
      </c>
      <c r="R97" s="12" t="str">
        <f>TEXT(VALUE(Table1[[#This Row],[Content.Column8]])*1000,"#,##0")</f>
        <v>238,172</v>
      </c>
      <c r="S97" s="12" t="str">
        <f>TEXT(VALUE(Table1[[#This Row],[Content.Column9]])*1000,"#,##0")</f>
        <v>665,931</v>
      </c>
      <c r="T97" s="12" t="str">
        <f>TEXT(VALUE(Table1[[#This Row],[Content.Column10]])*1000,"#,##0")</f>
        <v>709,620</v>
      </c>
      <c r="U97" s="13" t="str">
        <f>TEXT(VALUE(Table1[[#This Row],[Content.Column11]])*1000,"#,##0")</f>
        <v>1,141,827</v>
      </c>
      <c r="V97" s="13" t="str">
        <f>TEXT(VALUE(Table1[[#This Row],[Content.Column12]])*1000,"#,##0")</f>
        <v>522,754</v>
      </c>
      <c r="W97" s="13" t="str">
        <f>TEXT(VALUE(Table1[[#This Row],[Content.Column13]])*1000,"#,##0")</f>
        <v>1,664,580</v>
      </c>
      <c r="X97" s="13" t="str">
        <f>TEXT(VALUE(Table1[[#This Row],[Content.Column14]])*1000,"#,##0")</f>
        <v>1,725,694</v>
      </c>
      <c r="Y97" s="14" t="str">
        <f>TEXT(VALUE(Table1[[#This Row],[Content.Column3]])*1000,"#,##0")</f>
        <v>1,569,586</v>
      </c>
      <c r="Z97" s="14" t="str">
        <f>TEXT(VALUE(Table1[[#This Row],[Content.Column4]])*1000,"#,##0")</f>
        <v>760,926</v>
      </c>
      <c r="AA97" s="14" t="str">
        <f>TEXT(VALUE(Table1[[#This Row],[Content.Column5]])*1000,"#,##0")</f>
        <v>2,330,512</v>
      </c>
      <c r="AB97" s="14" t="str">
        <f>TEXT(VALUE(Table1[[#This Row],[Content.Column6]])*1000,"#,##0")</f>
        <v>2,435,314</v>
      </c>
    </row>
    <row r="98" spans="1:28" x14ac:dyDescent="0.3">
      <c r="A98" t="s">
        <v>118</v>
      </c>
      <c r="B98" t="s">
        <v>119</v>
      </c>
      <c r="C98" s="6">
        <v>15699.261</v>
      </c>
      <c r="D98" s="1">
        <v>7386.2079999999996</v>
      </c>
      <c r="E98" s="1">
        <v>23085.278999999999</v>
      </c>
      <c r="F98" s="1">
        <v>23981.995999999999</v>
      </c>
      <c r="G98" s="2">
        <v>3173.328</v>
      </c>
      <c r="H98" s="2">
        <v>1929.576</v>
      </c>
      <c r="I98" s="2">
        <v>5102.9040000000005</v>
      </c>
      <c r="J98" s="2">
        <v>5292.9430000000002</v>
      </c>
      <c r="K98" s="3">
        <v>12525.932000000001</v>
      </c>
      <c r="L98" s="3">
        <v>5456.6319999999996</v>
      </c>
      <c r="M98" s="3">
        <v>17982.375</v>
      </c>
      <c r="N98" s="3">
        <v>18689.053</v>
      </c>
      <c r="O98">
        <v>2010</v>
      </c>
      <c r="Q98" s="12" t="str">
        <f>TEXT(VALUE(Table1[[#This Row],[Content.Column7]])*1000,"#,##0")</f>
        <v>3,173,328</v>
      </c>
      <c r="R98" s="12" t="str">
        <f>TEXT(VALUE(Table1[[#This Row],[Content.Column8]])*1000,"#,##0")</f>
        <v>1,929,576</v>
      </c>
      <c r="S98" s="12" t="str">
        <f>TEXT(VALUE(Table1[[#This Row],[Content.Column9]])*1000,"#,##0")</f>
        <v>5,102,904</v>
      </c>
      <c r="T98" s="12" t="str">
        <f>TEXT(VALUE(Table1[[#This Row],[Content.Column10]])*1000,"#,##0")</f>
        <v>5,292,943</v>
      </c>
      <c r="U98" s="13" t="str">
        <f>TEXT(VALUE(Table1[[#This Row],[Content.Column11]])*1000,"#,##0")</f>
        <v>12,525,932</v>
      </c>
      <c r="V98" s="13" t="str">
        <f>TEXT(VALUE(Table1[[#This Row],[Content.Column12]])*1000,"#,##0")</f>
        <v>5,456,632</v>
      </c>
      <c r="W98" s="13" t="str">
        <f>TEXT(VALUE(Table1[[#This Row],[Content.Column13]])*1000,"#,##0")</f>
        <v>17,982,375</v>
      </c>
      <c r="X98" s="13" t="str">
        <f>TEXT(VALUE(Table1[[#This Row],[Content.Column14]])*1000,"#,##0")</f>
        <v>18,689,053</v>
      </c>
      <c r="Y98" s="14" t="str">
        <f>TEXT(VALUE(Table1[[#This Row],[Content.Column3]])*1000,"#,##0")</f>
        <v>15,699,261</v>
      </c>
      <c r="Z98" s="14" t="str">
        <f>TEXT(VALUE(Table1[[#This Row],[Content.Column4]])*1000,"#,##0")</f>
        <v>7,386,208</v>
      </c>
      <c r="AA98" s="14" t="str">
        <f>TEXT(VALUE(Table1[[#This Row],[Content.Column5]])*1000,"#,##0")</f>
        <v>23,085,279</v>
      </c>
      <c r="AB98" s="14" t="str">
        <f>TEXT(VALUE(Table1[[#This Row],[Content.Column6]])*1000,"#,##0")</f>
        <v>23,981,996</v>
      </c>
    </row>
    <row r="99" spans="1:28" x14ac:dyDescent="0.3">
      <c r="A99" t="s">
        <v>120</v>
      </c>
      <c r="B99" t="s">
        <v>121</v>
      </c>
      <c r="C99" s="6">
        <v>18018.956999999999</v>
      </c>
      <c r="D99" s="1">
        <v>8562.5429999999997</v>
      </c>
      <c r="E99" s="1">
        <v>26581.311000000002</v>
      </c>
      <c r="F99" s="1">
        <v>27671.593000000001</v>
      </c>
      <c r="G99" s="2">
        <v>3812.835</v>
      </c>
      <c r="H99" s="2">
        <v>2305.9290000000001</v>
      </c>
      <c r="I99" s="2">
        <v>6118.7640000000001</v>
      </c>
      <c r="J99" s="2">
        <v>6399.3829999999998</v>
      </c>
      <c r="K99" s="3">
        <v>14206.121999999999</v>
      </c>
      <c r="L99" s="3">
        <v>6256.6139999999996</v>
      </c>
      <c r="M99" s="3">
        <v>20462.546999999999</v>
      </c>
      <c r="N99" s="3">
        <v>21272.21</v>
      </c>
      <c r="O99">
        <v>2010</v>
      </c>
      <c r="Q99" s="12" t="str">
        <f>TEXT(VALUE(Table1[[#This Row],[Content.Column7]])*1000,"#,##0")</f>
        <v>3,812,835</v>
      </c>
      <c r="R99" s="12" t="str">
        <f>TEXT(VALUE(Table1[[#This Row],[Content.Column8]])*1000,"#,##0")</f>
        <v>2,305,929</v>
      </c>
      <c r="S99" s="12" t="str">
        <f>TEXT(VALUE(Table1[[#This Row],[Content.Column9]])*1000,"#,##0")</f>
        <v>6,118,764</v>
      </c>
      <c r="T99" s="12" t="str">
        <f>TEXT(VALUE(Table1[[#This Row],[Content.Column10]])*1000,"#,##0")</f>
        <v>6,399,383</v>
      </c>
      <c r="U99" s="13" t="str">
        <f>TEXT(VALUE(Table1[[#This Row],[Content.Column11]])*1000,"#,##0")</f>
        <v>14,206,122</v>
      </c>
      <c r="V99" s="13" t="str">
        <f>TEXT(VALUE(Table1[[#This Row],[Content.Column12]])*1000,"#,##0")</f>
        <v>6,256,614</v>
      </c>
      <c r="W99" s="13" t="str">
        <f>TEXT(VALUE(Table1[[#This Row],[Content.Column13]])*1000,"#,##0")</f>
        <v>20,462,547</v>
      </c>
      <c r="X99" s="13" t="str">
        <f>TEXT(VALUE(Table1[[#This Row],[Content.Column14]])*1000,"#,##0")</f>
        <v>21,272,210</v>
      </c>
      <c r="Y99" s="14" t="str">
        <f>TEXT(VALUE(Table1[[#This Row],[Content.Column3]])*1000,"#,##0")</f>
        <v>18,018,957</v>
      </c>
      <c r="Z99" s="14" t="str">
        <f>TEXT(VALUE(Table1[[#This Row],[Content.Column4]])*1000,"#,##0")</f>
        <v>8,562,543</v>
      </c>
      <c r="AA99" s="14" t="str">
        <f>TEXT(VALUE(Table1[[#This Row],[Content.Column5]])*1000,"#,##0")</f>
        <v>26,581,311</v>
      </c>
      <c r="AB99" s="14" t="str">
        <f>TEXT(VALUE(Table1[[#This Row],[Content.Column6]])*1000,"#,##0")</f>
        <v>27,671,593</v>
      </c>
    </row>
    <row r="100" spans="1:28" x14ac:dyDescent="0.3">
      <c r="A100" t="s">
        <v>26</v>
      </c>
      <c r="B100" t="s">
        <v>27</v>
      </c>
      <c r="C100" s="6">
        <v>327.197</v>
      </c>
      <c r="D100" s="1">
        <v>46.869</v>
      </c>
      <c r="E100" s="1">
        <v>374.06599999999997</v>
      </c>
      <c r="F100" s="1">
        <v>388.57299999999998</v>
      </c>
      <c r="G100" s="2">
        <v>17.869</v>
      </c>
      <c r="H100" s="2">
        <v>2.5129999999999999</v>
      </c>
      <c r="I100" s="2">
        <v>20.381</v>
      </c>
      <c r="J100" s="2">
        <v>20.434999999999999</v>
      </c>
      <c r="K100" s="3">
        <v>309.32900000000001</v>
      </c>
      <c r="L100" s="3">
        <v>44.356000000000002</v>
      </c>
      <c r="M100" s="3">
        <v>353.685</v>
      </c>
      <c r="N100" s="3">
        <v>368.13900000000001</v>
      </c>
      <c r="O100">
        <v>2011</v>
      </c>
      <c r="Q100" s="12" t="str">
        <f>TEXT(VALUE(Table1[[#This Row],[Content.Column7]])*1000,"#,##0")</f>
        <v>17,869</v>
      </c>
      <c r="R100" s="12" t="str">
        <f>TEXT(VALUE(Table1[[#This Row],[Content.Column8]])*1000,"#,##0")</f>
        <v>2,513</v>
      </c>
      <c r="S100" s="12" t="str">
        <f>TEXT(VALUE(Table1[[#This Row],[Content.Column9]])*1000,"#,##0")</f>
        <v>20,381</v>
      </c>
      <c r="T100" s="12" t="str">
        <f>TEXT(VALUE(Table1[[#This Row],[Content.Column10]])*1000,"#,##0")</f>
        <v>20,435</v>
      </c>
      <c r="U100" s="13" t="str">
        <f>TEXT(VALUE(Table1[[#This Row],[Content.Column11]])*1000,"#,##0")</f>
        <v>309,329</v>
      </c>
      <c r="V100" s="13" t="str">
        <f>TEXT(VALUE(Table1[[#This Row],[Content.Column12]])*1000,"#,##0")</f>
        <v>44,356</v>
      </c>
      <c r="W100" s="13" t="str">
        <f>TEXT(VALUE(Table1[[#This Row],[Content.Column13]])*1000,"#,##0")</f>
        <v>353,685</v>
      </c>
      <c r="X100" s="13" t="str">
        <f>TEXT(VALUE(Table1[[#This Row],[Content.Column14]])*1000,"#,##0")</f>
        <v>368,139</v>
      </c>
      <c r="Y100" s="14" t="str">
        <f>TEXT(VALUE(Table1[[#This Row],[Content.Column3]])*1000,"#,##0")</f>
        <v>327,197</v>
      </c>
      <c r="Z100" s="14" t="str">
        <f>TEXT(VALUE(Table1[[#This Row],[Content.Column4]])*1000,"#,##0")</f>
        <v>46,869</v>
      </c>
      <c r="AA100" s="14" t="str">
        <f>TEXT(VALUE(Table1[[#This Row],[Content.Column5]])*1000,"#,##0")</f>
        <v>374,066</v>
      </c>
      <c r="AB100" s="14" t="str">
        <f>TEXT(VALUE(Table1[[#This Row],[Content.Column6]])*1000,"#,##0")</f>
        <v>388,573</v>
      </c>
    </row>
    <row r="101" spans="1:28" x14ac:dyDescent="0.3">
      <c r="A101" t="s">
        <v>28</v>
      </c>
      <c r="B101" t="s">
        <v>29</v>
      </c>
      <c r="C101" s="6">
        <v>32.548000000000002</v>
      </c>
      <c r="D101" s="1">
        <v>14.823</v>
      </c>
      <c r="E101" s="1">
        <v>47.371000000000002</v>
      </c>
      <c r="F101" s="1">
        <v>48.655999999999999</v>
      </c>
      <c r="G101" s="2">
        <v>5.0229999999999997</v>
      </c>
      <c r="H101" s="2">
        <v>5.8150000000000004</v>
      </c>
      <c r="I101" s="2">
        <v>10.837999999999999</v>
      </c>
      <c r="J101" s="2">
        <v>10.847</v>
      </c>
      <c r="K101" s="3">
        <v>27.524999999999999</v>
      </c>
      <c r="L101" s="3">
        <v>9.0079999999999991</v>
      </c>
      <c r="M101" s="3">
        <v>36.533000000000001</v>
      </c>
      <c r="N101" s="3">
        <v>37.808999999999997</v>
      </c>
      <c r="O101">
        <v>2011</v>
      </c>
      <c r="Q101" s="12" t="str">
        <f>TEXT(VALUE(Table1[[#This Row],[Content.Column7]])*1000,"#,##0")</f>
        <v>5,023</v>
      </c>
      <c r="R101" s="12" t="str">
        <f>TEXT(VALUE(Table1[[#This Row],[Content.Column8]])*1000,"#,##0")</f>
        <v>5,815</v>
      </c>
      <c r="S101" s="12" t="str">
        <f>TEXT(VALUE(Table1[[#This Row],[Content.Column9]])*1000,"#,##0")</f>
        <v>10,838</v>
      </c>
      <c r="T101" s="12" t="str">
        <f>TEXT(VALUE(Table1[[#This Row],[Content.Column10]])*1000,"#,##0")</f>
        <v>10,847</v>
      </c>
      <c r="U101" s="13" t="str">
        <f>TEXT(VALUE(Table1[[#This Row],[Content.Column11]])*1000,"#,##0")</f>
        <v>27,525</v>
      </c>
      <c r="V101" s="13" t="str">
        <f>TEXT(VALUE(Table1[[#This Row],[Content.Column12]])*1000,"#,##0")</f>
        <v>9,008</v>
      </c>
      <c r="W101" s="13" t="str">
        <f>TEXT(VALUE(Table1[[#This Row],[Content.Column13]])*1000,"#,##0")</f>
        <v>36,533</v>
      </c>
      <c r="X101" s="13" t="str">
        <f>TEXT(VALUE(Table1[[#This Row],[Content.Column14]])*1000,"#,##0")</f>
        <v>37,809</v>
      </c>
      <c r="Y101" s="14" t="str">
        <f>TEXT(VALUE(Table1[[#This Row],[Content.Column3]])*1000,"#,##0")</f>
        <v>32,548</v>
      </c>
      <c r="Z101" s="14" t="str">
        <f>TEXT(VALUE(Table1[[#This Row],[Content.Column4]])*1000,"#,##0")</f>
        <v>14,823</v>
      </c>
      <c r="AA101" s="14" t="str">
        <f>TEXT(VALUE(Table1[[#This Row],[Content.Column5]])*1000,"#,##0")</f>
        <v>47,371</v>
      </c>
      <c r="AB101" s="14" t="str">
        <f>TEXT(VALUE(Table1[[#This Row],[Content.Column6]])*1000,"#,##0")</f>
        <v>48,656</v>
      </c>
    </row>
    <row r="102" spans="1:28" x14ac:dyDescent="0.3">
      <c r="A102" t="s">
        <v>30</v>
      </c>
      <c r="B102" t="s">
        <v>31</v>
      </c>
      <c r="C102" s="6">
        <v>74.052000000000007</v>
      </c>
      <c r="D102" s="1">
        <v>39.029000000000003</v>
      </c>
      <c r="E102" s="1">
        <v>113.081</v>
      </c>
      <c r="F102" s="1">
        <v>118.34399999999999</v>
      </c>
      <c r="G102" s="2">
        <v>16.001000000000001</v>
      </c>
      <c r="H102" s="2">
        <v>8.6750000000000007</v>
      </c>
      <c r="I102" s="2">
        <v>24.675999999999998</v>
      </c>
      <c r="J102" s="2">
        <v>24.738</v>
      </c>
      <c r="K102" s="3">
        <v>58.051000000000002</v>
      </c>
      <c r="L102" s="3">
        <v>30.353999999999999</v>
      </c>
      <c r="M102" s="3">
        <v>88.405000000000001</v>
      </c>
      <c r="N102" s="3">
        <v>93.605999999999995</v>
      </c>
      <c r="O102">
        <v>2011</v>
      </c>
      <c r="Q102" s="12" t="str">
        <f>TEXT(VALUE(Table1[[#This Row],[Content.Column7]])*1000,"#,##0")</f>
        <v>16,001</v>
      </c>
      <c r="R102" s="12" t="str">
        <f>TEXT(VALUE(Table1[[#This Row],[Content.Column8]])*1000,"#,##0")</f>
        <v>8,675</v>
      </c>
      <c r="S102" s="12" t="str">
        <f>TEXT(VALUE(Table1[[#This Row],[Content.Column9]])*1000,"#,##0")</f>
        <v>24,676</v>
      </c>
      <c r="T102" s="12" t="str">
        <f>TEXT(VALUE(Table1[[#This Row],[Content.Column10]])*1000,"#,##0")</f>
        <v>24,738</v>
      </c>
      <c r="U102" s="13" t="str">
        <f>TEXT(VALUE(Table1[[#This Row],[Content.Column11]])*1000,"#,##0")</f>
        <v>58,051</v>
      </c>
      <c r="V102" s="13" t="str">
        <f>TEXT(VALUE(Table1[[#This Row],[Content.Column12]])*1000,"#,##0")</f>
        <v>30,354</v>
      </c>
      <c r="W102" s="13" t="str">
        <f>TEXT(VALUE(Table1[[#This Row],[Content.Column13]])*1000,"#,##0")</f>
        <v>88,405</v>
      </c>
      <c r="X102" s="13" t="str">
        <f>TEXT(VALUE(Table1[[#This Row],[Content.Column14]])*1000,"#,##0")</f>
        <v>93,606</v>
      </c>
      <c r="Y102" s="14" t="str">
        <f>TEXT(VALUE(Table1[[#This Row],[Content.Column3]])*1000,"#,##0")</f>
        <v>74,052</v>
      </c>
      <c r="Z102" s="14" t="str">
        <f>TEXT(VALUE(Table1[[#This Row],[Content.Column4]])*1000,"#,##0")</f>
        <v>39,029</v>
      </c>
      <c r="AA102" s="14" t="str">
        <f>TEXT(VALUE(Table1[[#This Row],[Content.Column5]])*1000,"#,##0")</f>
        <v>113,081</v>
      </c>
      <c r="AB102" s="14" t="str">
        <f>TEXT(VALUE(Table1[[#This Row],[Content.Column6]])*1000,"#,##0")</f>
        <v>118,344</v>
      </c>
    </row>
    <row r="103" spans="1:28" x14ac:dyDescent="0.3">
      <c r="A103" t="s">
        <v>32</v>
      </c>
      <c r="B103" t="s">
        <v>33</v>
      </c>
      <c r="C103" s="6">
        <v>39.951000000000001</v>
      </c>
      <c r="D103" s="1">
        <v>23.460999999999999</v>
      </c>
      <c r="E103" s="1">
        <v>63.411999999999999</v>
      </c>
      <c r="F103" s="1">
        <v>65.787000000000006</v>
      </c>
      <c r="G103" s="2">
        <v>6.9649999999999999</v>
      </c>
      <c r="H103" s="2">
        <v>5.1219999999999999</v>
      </c>
      <c r="I103" s="2">
        <v>12.087</v>
      </c>
      <c r="J103" s="2">
        <v>12.097</v>
      </c>
      <c r="K103" s="3">
        <v>32.985999999999997</v>
      </c>
      <c r="L103" s="3">
        <v>18.338999999999999</v>
      </c>
      <c r="M103" s="3">
        <v>51.325000000000003</v>
      </c>
      <c r="N103" s="3">
        <v>53.69</v>
      </c>
      <c r="O103">
        <v>2011</v>
      </c>
      <c r="Q103" s="12" t="str">
        <f>TEXT(VALUE(Table1[[#This Row],[Content.Column7]])*1000,"#,##0")</f>
        <v>6,965</v>
      </c>
      <c r="R103" s="12" t="str">
        <f>TEXT(VALUE(Table1[[#This Row],[Content.Column8]])*1000,"#,##0")</f>
        <v>5,122</v>
      </c>
      <c r="S103" s="12" t="str">
        <f>TEXT(VALUE(Table1[[#This Row],[Content.Column9]])*1000,"#,##0")</f>
        <v>12,087</v>
      </c>
      <c r="T103" s="12" t="str">
        <f>TEXT(VALUE(Table1[[#This Row],[Content.Column10]])*1000,"#,##0")</f>
        <v>12,097</v>
      </c>
      <c r="U103" s="13" t="str">
        <f>TEXT(VALUE(Table1[[#This Row],[Content.Column11]])*1000,"#,##0")</f>
        <v>32,986</v>
      </c>
      <c r="V103" s="13" t="str">
        <f>TEXT(VALUE(Table1[[#This Row],[Content.Column12]])*1000,"#,##0")</f>
        <v>18,339</v>
      </c>
      <c r="W103" s="13" t="str">
        <f>TEXT(VALUE(Table1[[#This Row],[Content.Column13]])*1000,"#,##0")</f>
        <v>51,325</v>
      </c>
      <c r="X103" s="13" t="str">
        <f>TEXT(VALUE(Table1[[#This Row],[Content.Column14]])*1000,"#,##0")</f>
        <v>53,690</v>
      </c>
      <c r="Y103" s="14" t="str">
        <f>TEXT(VALUE(Table1[[#This Row],[Content.Column3]])*1000,"#,##0")</f>
        <v>39,951</v>
      </c>
      <c r="Z103" s="14" t="str">
        <f>TEXT(VALUE(Table1[[#This Row],[Content.Column4]])*1000,"#,##0")</f>
        <v>23,461</v>
      </c>
      <c r="AA103" s="14" t="str">
        <f>TEXT(VALUE(Table1[[#This Row],[Content.Column5]])*1000,"#,##0")</f>
        <v>63,412</v>
      </c>
      <c r="AB103" s="14" t="str">
        <f>TEXT(VALUE(Table1[[#This Row],[Content.Column6]])*1000,"#,##0")</f>
        <v>65,787</v>
      </c>
    </row>
    <row r="104" spans="1:28" x14ac:dyDescent="0.3">
      <c r="A104" t="s">
        <v>34</v>
      </c>
      <c r="B104" t="s">
        <v>35</v>
      </c>
      <c r="C104" s="6">
        <v>68.450999999999993</v>
      </c>
      <c r="D104" s="1">
        <v>29.440999999999999</v>
      </c>
      <c r="E104" s="1">
        <v>97.891999999999996</v>
      </c>
      <c r="F104" s="1">
        <v>101.05500000000001</v>
      </c>
      <c r="G104" s="2">
        <v>14.023</v>
      </c>
      <c r="H104" s="2">
        <v>7.1239999999999997</v>
      </c>
      <c r="I104" s="2">
        <v>21.146000000000001</v>
      </c>
      <c r="J104" s="2">
        <v>21.175000000000001</v>
      </c>
      <c r="K104" s="3">
        <v>54.429000000000002</v>
      </c>
      <c r="L104" s="3">
        <v>22.317</v>
      </c>
      <c r="M104" s="3">
        <v>76.745000000000005</v>
      </c>
      <c r="N104" s="3">
        <v>79.88</v>
      </c>
      <c r="O104">
        <v>2011</v>
      </c>
      <c r="Q104" s="12" t="str">
        <f>TEXT(VALUE(Table1[[#This Row],[Content.Column7]])*1000,"#,##0")</f>
        <v>14,023</v>
      </c>
      <c r="R104" s="12" t="str">
        <f>TEXT(VALUE(Table1[[#This Row],[Content.Column8]])*1000,"#,##0")</f>
        <v>7,124</v>
      </c>
      <c r="S104" s="12" t="str">
        <f>TEXT(VALUE(Table1[[#This Row],[Content.Column9]])*1000,"#,##0")</f>
        <v>21,146</v>
      </c>
      <c r="T104" s="12" t="str">
        <f>TEXT(VALUE(Table1[[#This Row],[Content.Column10]])*1000,"#,##0")</f>
        <v>21,175</v>
      </c>
      <c r="U104" s="13" t="str">
        <f>TEXT(VALUE(Table1[[#This Row],[Content.Column11]])*1000,"#,##0")</f>
        <v>54,429</v>
      </c>
      <c r="V104" s="13" t="str">
        <f>TEXT(VALUE(Table1[[#This Row],[Content.Column12]])*1000,"#,##0")</f>
        <v>22,317</v>
      </c>
      <c r="W104" s="13" t="str">
        <f>TEXT(VALUE(Table1[[#This Row],[Content.Column13]])*1000,"#,##0")</f>
        <v>76,745</v>
      </c>
      <c r="X104" s="13" t="str">
        <f>TEXT(VALUE(Table1[[#This Row],[Content.Column14]])*1000,"#,##0")</f>
        <v>79,880</v>
      </c>
      <c r="Y104" s="14" t="str">
        <f>TEXT(VALUE(Table1[[#This Row],[Content.Column3]])*1000,"#,##0")</f>
        <v>68,451</v>
      </c>
      <c r="Z104" s="14" t="str">
        <f>TEXT(VALUE(Table1[[#This Row],[Content.Column4]])*1000,"#,##0")</f>
        <v>29,441</v>
      </c>
      <c r="AA104" s="14" t="str">
        <f>TEXT(VALUE(Table1[[#This Row],[Content.Column5]])*1000,"#,##0")</f>
        <v>97,892</v>
      </c>
      <c r="AB104" s="14" t="str">
        <f>TEXT(VALUE(Table1[[#This Row],[Content.Column6]])*1000,"#,##0")</f>
        <v>101,055</v>
      </c>
    </row>
    <row r="105" spans="1:28" x14ac:dyDescent="0.3">
      <c r="A105" t="s">
        <v>36</v>
      </c>
      <c r="B105" t="s">
        <v>37</v>
      </c>
      <c r="C105" s="6">
        <v>60.024000000000001</v>
      </c>
      <c r="D105" s="1">
        <v>35.835999999999999</v>
      </c>
      <c r="E105" s="1">
        <v>95.858999999999995</v>
      </c>
      <c r="F105" s="1">
        <v>99.718999999999994</v>
      </c>
      <c r="G105" s="2">
        <v>12.09</v>
      </c>
      <c r="H105" s="2">
        <v>8.66</v>
      </c>
      <c r="I105" s="2">
        <v>20.75</v>
      </c>
      <c r="J105" s="2">
        <v>20.785</v>
      </c>
      <c r="K105" s="3">
        <v>47.933999999999997</v>
      </c>
      <c r="L105" s="3">
        <v>27.175000000000001</v>
      </c>
      <c r="M105" s="3">
        <v>75.108999999999995</v>
      </c>
      <c r="N105" s="3">
        <v>78.935000000000002</v>
      </c>
      <c r="O105">
        <v>2011</v>
      </c>
      <c r="Q105" s="12" t="str">
        <f>TEXT(VALUE(Table1[[#This Row],[Content.Column7]])*1000,"#,##0")</f>
        <v>12,090</v>
      </c>
      <c r="R105" s="12" t="str">
        <f>TEXT(VALUE(Table1[[#This Row],[Content.Column8]])*1000,"#,##0")</f>
        <v>8,660</v>
      </c>
      <c r="S105" s="12" t="str">
        <f>TEXT(VALUE(Table1[[#This Row],[Content.Column9]])*1000,"#,##0")</f>
        <v>20,750</v>
      </c>
      <c r="T105" s="12" t="str">
        <f>TEXT(VALUE(Table1[[#This Row],[Content.Column10]])*1000,"#,##0")</f>
        <v>20,785</v>
      </c>
      <c r="U105" s="13" t="str">
        <f>TEXT(VALUE(Table1[[#This Row],[Content.Column11]])*1000,"#,##0")</f>
        <v>47,934</v>
      </c>
      <c r="V105" s="13" t="str">
        <f>TEXT(VALUE(Table1[[#This Row],[Content.Column12]])*1000,"#,##0")</f>
        <v>27,175</v>
      </c>
      <c r="W105" s="13" t="str">
        <f>TEXT(VALUE(Table1[[#This Row],[Content.Column13]])*1000,"#,##0")</f>
        <v>75,109</v>
      </c>
      <c r="X105" s="13" t="str">
        <f>TEXT(VALUE(Table1[[#This Row],[Content.Column14]])*1000,"#,##0")</f>
        <v>78,935</v>
      </c>
      <c r="Y105" s="14" t="str">
        <f>TEXT(VALUE(Table1[[#This Row],[Content.Column3]])*1000,"#,##0")</f>
        <v>60,024</v>
      </c>
      <c r="Z105" s="14" t="str">
        <f>TEXT(VALUE(Table1[[#This Row],[Content.Column4]])*1000,"#,##0")</f>
        <v>35,836</v>
      </c>
      <c r="AA105" s="14" t="str">
        <f>TEXT(VALUE(Table1[[#This Row],[Content.Column5]])*1000,"#,##0")</f>
        <v>95,859</v>
      </c>
      <c r="AB105" s="14" t="str">
        <f>TEXT(VALUE(Table1[[#This Row],[Content.Column6]])*1000,"#,##0")</f>
        <v>99,719</v>
      </c>
    </row>
    <row r="106" spans="1:28" x14ac:dyDescent="0.3">
      <c r="A106" t="s">
        <v>38</v>
      </c>
      <c r="B106" t="s">
        <v>39</v>
      </c>
      <c r="C106" s="6">
        <v>226.56200000000001</v>
      </c>
      <c r="D106" s="1">
        <v>71.147000000000006</v>
      </c>
      <c r="E106" s="1">
        <v>297.709</v>
      </c>
      <c r="F106" s="1">
        <v>310.517</v>
      </c>
      <c r="G106" s="2">
        <v>36.79</v>
      </c>
      <c r="H106" s="2">
        <v>8.7910000000000004</v>
      </c>
      <c r="I106" s="2">
        <v>45.581000000000003</v>
      </c>
      <c r="J106" s="2">
        <v>45.646000000000001</v>
      </c>
      <c r="K106" s="3">
        <v>189.77199999999999</v>
      </c>
      <c r="L106" s="3">
        <v>62.356000000000002</v>
      </c>
      <c r="M106" s="3">
        <v>252.12799999999999</v>
      </c>
      <c r="N106" s="3">
        <v>264.87099999999998</v>
      </c>
      <c r="O106">
        <v>2011</v>
      </c>
      <c r="Q106" s="12" t="str">
        <f>TEXT(VALUE(Table1[[#This Row],[Content.Column7]])*1000,"#,##0")</f>
        <v>36,790</v>
      </c>
      <c r="R106" s="12" t="str">
        <f>TEXT(VALUE(Table1[[#This Row],[Content.Column8]])*1000,"#,##0")</f>
        <v>8,791</v>
      </c>
      <c r="S106" s="12" t="str">
        <f>TEXT(VALUE(Table1[[#This Row],[Content.Column9]])*1000,"#,##0")</f>
        <v>45,581</v>
      </c>
      <c r="T106" s="12" t="str">
        <f>TEXT(VALUE(Table1[[#This Row],[Content.Column10]])*1000,"#,##0")</f>
        <v>45,646</v>
      </c>
      <c r="U106" s="13" t="str">
        <f>TEXT(VALUE(Table1[[#This Row],[Content.Column11]])*1000,"#,##0")</f>
        <v>189,772</v>
      </c>
      <c r="V106" s="13" t="str">
        <f>TEXT(VALUE(Table1[[#This Row],[Content.Column12]])*1000,"#,##0")</f>
        <v>62,356</v>
      </c>
      <c r="W106" s="13" t="str">
        <f>TEXT(VALUE(Table1[[#This Row],[Content.Column13]])*1000,"#,##0")</f>
        <v>252,128</v>
      </c>
      <c r="X106" s="13" t="str">
        <f>TEXT(VALUE(Table1[[#This Row],[Content.Column14]])*1000,"#,##0")</f>
        <v>264,871</v>
      </c>
      <c r="Y106" s="14" t="str">
        <f>TEXT(VALUE(Table1[[#This Row],[Content.Column3]])*1000,"#,##0")</f>
        <v>226,562</v>
      </c>
      <c r="Z106" s="14" t="str">
        <f>TEXT(VALUE(Table1[[#This Row],[Content.Column4]])*1000,"#,##0")</f>
        <v>71,147</v>
      </c>
      <c r="AA106" s="14" t="str">
        <f>TEXT(VALUE(Table1[[#This Row],[Content.Column5]])*1000,"#,##0")</f>
        <v>297,709</v>
      </c>
      <c r="AB106" s="14" t="str">
        <f>TEXT(VALUE(Table1[[#This Row],[Content.Column6]])*1000,"#,##0")</f>
        <v>310,517</v>
      </c>
    </row>
    <row r="107" spans="1:28" x14ac:dyDescent="0.3">
      <c r="A107" t="s">
        <v>40</v>
      </c>
      <c r="B107" t="s">
        <v>41</v>
      </c>
      <c r="C107" s="6">
        <v>73.328999999999994</v>
      </c>
      <c r="D107" s="1">
        <v>40.387</v>
      </c>
      <c r="E107" s="1">
        <v>113.71599999999999</v>
      </c>
      <c r="F107" s="1">
        <v>117.43300000000001</v>
      </c>
      <c r="G107" s="2">
        <v>15.724</v>
      </c>
      <c r="H107" s="2">
        <v>12.273</v>
      </c>
      <c r="I107" s="2">
        <v>27.997</v>
      </c>
      <c r="J107" s="2">
        <v>28.082999999999998</v>
      </c>
      <c r="K107" s="3">
        <v>57.604999999999997</v>
      </c>
      <c r="L107" s="3">
        <v>28.114000000000001</v>
      </c>
      <c r="M107" s="3">
        <v>85.718999999999994</v>
      </c>
      <c r="N107" s="3">
        <v>89.350999999999999</v>
      </c>
      <c r="O107">
        <v>2011</v>
      </c>
      <c r="Q107" s="12" t="str">
        <f>TEXT(VALUE(Table1[[#This Row],[Content.Column7]])*1000,"#,##0")</f>
        <v>15,724</v>
      </c>
      <c r="R107" s="12" t="str">
        <f>TEXT(VALUE(Table1[[#This Row],[Content.Column8]])*1000,"#,##0")</f>
        <v>12,273</v>
      </c>
      <c r="S107" s="12" t="str">
        <f>TEXT(VALUE(Table1[[#This Row],[Content.Column9]])*1000,"#,##0")</f>
        <v>27,997</v>
      </c>
      <c r="T107" s="12" t="str">
        <f>TEXT(VALUE(Table1[[#This Row],[Content.Column10]])*1000,"#,##0")</f>
        <v>28,083</v>
      </c>
      <c r="U107" s="13" t="str">
        <f>TEXT(VALUE(Table1[[#This Row],[Content.Column11]])*1000,"#,##0")</f>
        <v>57,605</v>
      </c>
      <c r="V107" s="13" t="str">
        <f>TEXT(VALUE(Table1[[#This Row],[Content.Column12]])*1000,"#,##0")</f>
        <v>28,114</v>
      </c>
      <c r="W107" s="13" t="str">
        <f>TEXT(VALUE(Table1[[#This Row],[Content.Column13]])*1000,"#,##0")</f>
        <v>85,719</v>
      </c>
      <c r="X107" s="13" t="str">
        <f>TEXT(VALUE(Table1[[#This Row],[Content.Column14]])*1000,"#,##0")</f>
        <v>89,351</v>
      </c>
      <c r="Y107" s="14" t="str">
        <f>TEXT(VALUE(Table1[[#This Row],[Content.Column3]])*1000,"#,##0")</f>
        <v>73,329</v>
      </c>
      <c r="Z107" s="14" t="str">
        <f>TEXT(VALUE(Table1[[#This Row],[Content.Column4]])*1000,"#,##0")</f>
        <v>40,387</v>
      </c>
      <c r="AA107" s="14" t="str">
        <f>TEXT(VALUE(Table1[[#This Row],[Content.Column5]])*1000,"#,##0")</f>
        <v>113,716</v>
      </c>
      <c r="AB107" s="14" t="str">
        <f>TEXT(VALUE(Table1[[#This Row],[Content.Column6]])*1000,"#,##0")</f>
        <v>117,433</v>
      </c>
    </row>
    <row r="108" spans="1:28" x14ac:dyDescent="0.3">
      <c r="A108" t="s">
        <v>42</v>
      </c>
      <c r="B108" t="s">
        <v>43</v>
      </c>
      <c r="C108" s="6">
        <v>84.808999999999997</v>
      </c>
      <c r="D108" s="1">
        <v>33.159999999999997</v>
      </c>
      <c r="E108" s="1">
        <v>117.96899999999999</v>
      </c>
      <c r="F108" s="1">
        <v>121.289</v>
      </c>
      <c r="G108" s="2">
        <v>14.58</v>
      </c>
      <c r="H108" s="2">
        <v>6.8479999999999999</v>
      </c>
      <c r="I108" s="2">
        <v>21.428999999999998</v>
      </c>
      <c r="J108" s="2">
        <v>21.48</v>
      </c>
      <c r="K108" s="3">
        <v>70.228999999999999</v>
      </c>
      <c r="L108" s="3">
        <v>26.311</v>
      </c>
      <c r="M108" s="3">
        <v>96.54</v>
      </c>
      <c r="N108" s="3">
        <v>99.808999999999997</v>
      </c>
      <c r="O108">
        <v>2011</v>
      </c>
      <c r="Q108" s="12" t="str">
        <f>TEXT(VALUE(Table1[[#This Row],[Content.Column7]])*1000,"#,##0")</f>
        <v>14,580</v>
      </c>
      <c r="R108" s="12" t="str">
        <f>TEXT(VALUE(Table1[[#This Row],[Content.Column8]])*1000,"#,##0")</f>
        <v>6,848</v>
      </c>
      <c r="S108" s="12" t="str">
        <f>TEXT(VALUE(Table1[[#This Row],[Content.Column9]])*1000,"#,##0")</f>
        <v>21,429</v>
      </c>
      <c r="T108" s="12" t="str">
        <f>TEXT(VALUE(Table1[[#This Row],[Content.Column10]])*1000,"#,##0")</f>
        <v>21,480</v>
      </c>
      <c r="U108" s="13" t="str">
        <f>TEXT(VALUE(Table1[[#This Row],[Content.Column11]])*1000,"#,##0")</f>
        <v>70,229</v>
      </c>
      <c r="V108" s="13" t="str">
        <f>TEXT(VALUE(Table1[[#This Row],[Content.Column12]])*1000,"#,##0")</f>
        <v>26,311</v>
      </c>
      <c r="W108" s="13" t="str">
        <f>TEXT(VALUE(Table1[[#This Row],[Content.Column13]])*1000,"#,##0")</f>
        <v>96,540</v>
      </c>
      <c r="X108" s="13" t="str">
        <f>TEXT(VALUE(Table1[[#This Row],[Content.Column14]])*1000,"#,##0")</f>
        <v>99,809</v>
      </c>
      <c r="Y108" s="14" t="str">
        <f>TEXT(VALUE(Table1[[#This Row],[Content.Column3]])*1000,"#,##0")</f>
        <v>84,809</v>
      </c>
      <c r="Z108" s="14" t="str">
        <f>TEXT(VALUE(Table1[[#This Row],[Content.Column4]])*1000,"#,##0")</f>
        <v>33,160</v>
      </c>
      <c r="AA108" s="14" t="str">
        <f>TEXT(VALUE(Table1[[#This Row],[Content.Column5]])*1000,"#,##0")</f>
        <v>117,969</v>
      </c>
      <c r="AB108" s="14" t="str">
        <f>TEXT(VALUE(Table1[[#This Row],[Content.Column6]])*1000,"#,##0")</f>
        <v>121,289</v>
      </c>
    </row>
    <row r="109" spans="1:28" x14ac:dyDescent="0.3">
      <c r="A109" t="s">
        <v>44</v>
      </c>
      <c r="B109" t="s">
        <v>45</v>
      </c>
      <c r="C109" s="6">
        <v>61.536000000000001</v>
      </c>
      <c r="D109" s="1">
        <v>30.893999999999998</v>
      </c>
      <c r="E109" s="1">
        <v>92.429000000000002</v>
      </c>
      <c r="F109" s="1">
        <v>95.125</v>
      </c>
      <c r="G109" s="2">
        <v>15.125</v>
      </c>
      <c r="H109" s="2">
        <v>7.8140000000000001</v>
      </c>
      <c r="I109" s="2">
        <v>22.939</v>
      </c>
      <c r="J109" s="2">
        <v>22.963000000000001</v>
      </c>
      <c r="K109" s="3">
        <v>46.411000000000001</v>
      </c>
      <c r="L109" s="3">
        <v>23.08</v>
      </c>
      <c r="M109" s="3">
        <v>69.491</v>
      </c>
      <c r="N109" s="3">
        <v>72.162000000000006</v>
      </c>
      <c r="O109">
        <v>2011</v>
      </c>
      <c r="Q109" s="12" t="str">
        <f>TEXT(VALUE(Table1[[#This Row],[Content.Column7]])*1000,"#,##0")</f>
        <v>15,125</v>
      </c>
      <c r="R109" s="12" t="str">
        <f>TEXT(VALUE(Table1[[#This Row],[Content.Column8]])*1000,"#,##0")</f>
        <v>7,814</v>
      </c>
      <c r="S109" s="12" t="str">
        <f>TEXT(VALUE(Table1[[#This Row],[Content.Column9]])*1000,"#,##0")</f>
        <v>22,939</v>
      </c>
      <c r="T109" s="12" t="str">
        <f>TEXT(VALUE(Table1[[#This Row],[Content.Column10]])*1000,"#,##0")</f>
        <v>22,963</v>
      </c>
      <c r="U109" s="13" t="str">
        <f>TEXT(VALUE(Table1[[#This Row],[Content.Column11]])*1000,"#,##0")</f>
        <v>46,411</v>
      </c>
      <c r="V109" s="13" t="str">
        <f>TEXT(VALUE(Table1[[#This Row],[Content.Column12]])*1000,"#,##0")</f>
        <v>23,080</v>
      </c>
      <c r="W109" s="13" t="str">
        <f>TEXT(VALUE(Table1[[#This Row],[Content.Column13]])*1000,"#,##0")</f>
        <v>69,491</v>
      </c>
      <c r="X109" s="13" t="str">
        <f>TEXT(VALUE(Table1[[#This Row],[Content.Column14]])*1000,"#,##0")</f>
        <v>72,162</v>
      </c>
      <c r="Y109" s="14" t="str">
        <f>TEXT(VALUE(Table1[[#This Row],[Content.Column3]])*1000,"#,##0")</f>
        <v>61,536</v>
      </c>
      <c r="Z109" s="14" t="str">
        <f>TEXT(VALUE(Table1[[#This Row],[Content.Column4]])*1000,"#,##0")</f>
        <v>30,894</v>
      </c>
      <c r="AA109" s="14" t="str">
        <f>TEXT(VALUE(Table1[[#This Row],[Content.Column5]])*1000,"#,##0")</f>
        <v>92,429</v>
      </c>
      <c r="AB109" s="14" t="str">
        <f>TEXT(VALUE(Table1[[#This Row],[Content.Column6]])*1000,"#,##0")</f>
        <v>95,125</v>
      </c>
    </row>
    <row r="110" spans="1:28" x14ac:dyDescent="0.3">
      <c r="A110" t="s">
        <v>46</v>
      </c>
      <c r="B110" t="s">
        <v>47</v>
      </c>
      <c r="C110" s="6">
        <v>43.734000000000002</v>
      </c>
      <c r="D110" s="1">
        <v>25.17</v>
      </c>
      <c r="E110" s="1">
        <v>68.905000000000001</v>
      </c>
      <c r="F110" s="1">
        <v>71.183999999999997</v>
      </c>
      <c r="G110" s="2">
        <v>14.484</v>
      </c>
      <c r="H110" s="2">
        <v>8</v>
      </c>
      <c r="I110" s="2">
        <v>22.484000000000002</v>
      </c>
      <c r="J110" s="2">
        <v>22.571999999999999</v>
      </c>
      <c r="K110" s="3">
        <v>29.25</v>
      </c>
      <c r="L110" s="3">
        <v>17.170999999999999</v>
      </c>
      <c r="M110" s="3">
        <v>46.420999999999999</v>
      </c>
      <c r="N110" s="3">
        <v>48.612000000000002</v>
      </c>
      <c r="O110">
        <v>2011</v>
      </c>
      <c r="Q110" s="12" t="str">
        <f>TEXT(VALUE(Table1[[#This Row],[Content.Column7]])*1000,"#,##0")</f>
        <v>14,484</v>
      </c>
      <c r="R110" s="12" t="str">
        <f>TEXT(VALUE(Table1[[#This Row],[Content.Column8]])*1000,"#,##0")</f>
        <v>8,000</v>
      </c>
      <c r="S110" s="12" t="str">
        <f>TEXT(VALUE(Table1[[#This Row],[Content.Column9]])*1000,"#,##0")</f>
        <v>22,484</v>
      </c>
      <c r="T110" s="12" t="str">
        <f>TEXT(VALUE(Table1[[#This Row],[Content.Column10]])*1000,"#,##0")</f>
        <v>22,572</v>
      </c>
      <c r="U110" s="13" t="str">
        <f>TEXT(VALUE(Table1[[#This Row],[Content.Column11]])*1000,"#,##0")</f>
        <v>29,250</v>
      </c>
      <c r="V110" s="13" t="str">
        <f>TEXT(VALUE(Table1[[#This Row],[Content.Column12]])*1000,"#,##0")</f>
        <v>17,171</v>
      </c>
      <c r="W110" s="13" t="str">
        <f>TEXT(VALUE(Table1[[#This Row],[Content.Column13]])*1000,"#,##0")</f>
        <v>46,421</v>
      </c>
      <c r="X110" s="13" t="str">
        <f>TEXT(VALUE(Table1[[#This Row],[Content.Column14]])*1000,"#,##0")</f>
        <v>48,612</v>
      </c>
      <c r="Y110" s="14" t="str">
        <f>TEXT(VALUE(Table1[[#This Row],[Content.Column3]])*1000,"#,##0")</f>
        <v>43,734</v>
      </c>
      <c r="Z110" s="14" t="str">
        <f>TEXT(VALUE(Table1[[#This Row],[Content.Column4]])*1000,"#,##0")</f>
        <v>25,170</v>
      </c>
      <c r="AA110" s="14" t="str">
        <f>TEXT(VALUE(Table1[[#This Row],[Content.Column5]])*1000,"#,##0")</f>
        <v>68,905</v>
      </c>
      <c r="AB110" s="14" t="str">
        <f>TEXT(VALUE(Table1[[#This Row],[Content.Column6]])*1000,"#,##0")</f>
        <v>71,184</v>
      </c>
    </row>
    <row r="111" spans="1:28" x14ac:dyDescent="0.3">
      <c r="A111" t="s">
        <v>48</v>
      </c>
      <c r="B111" t="s">
        <v>49</v>
      </c>
      <c r="C111" s="6">
        <v>63.814</v>
      </c>
      <c r="D111" s="1">
        <v>26.029</v>
      </c>
      <c r="E111" s="1">
        <v>89.843000000000004</v>
      </c>
      <c r="F111" s="1">
        <v>93.724999999999994</v>
      </c>
      <c r="G111" s="2">
        <v>13.451000000000001</v>
      </c>
      <c r="H111" s="2">
        <v>5.2629999999999999</v>
      </c>
      <c r="I111" s="2">
        <v>18.713999999999999</v>
      </c>
      <c r="J111" s="2">
        <v>18.843</v>
      </c>
      <c r="K111" s="3">
        <v>50.363</v>
      </c>
      <c r="L111" s="3">
        <v>20.765999999999998</v>
      </c>
      <c r="M111" s="3">
        <v>71.129000000000005</v>
      </c>
      <c r="N111" s="3">
        <v>74.882000000000005</v>
      </c>
      <c r="O111">
        <v>2011</v>
      </c>
      <c r="Q111" s="12" t="str">
        <f>TEXT(VALUE(Table1[[#This Row],[Content.Column7]])*1000,"#,##0")</f>
        <v>13,451</v>
      </c>
      <c r="R111" s="12" t="str">
        <f>TEXT(VALUE(Table1[[#This Row],[Content.Column8]])*1000,"#,##0")</f>
        <v>5,263</v>
      </c>
      <c r="S111" s="12" t="str">
        <f>TEXT(VALUE(Table1[[#This Row],[Content.Column9]])*1000,"#,##0")</f>
        <v>18,714</v>
      </c>
      <c r="T111" s="12" t="str">
        <f>TEXT(VALUE(Table1[[#This Row],[Content.Column10]])*1000,"#,##0")</f>
        <v>18,843</v>
      </c>
      <c r="U111" s="13" t="str">
        <f>TEXT(VALUE(Table1[[#This Row],[Content.Column11]])*1000,"#,##0")</f>
        <v>50,363</v>
      </c>
      <c r="V111" s="13" t="str">
        <f>TEXT(VALUE(Table1[[#This Row],[Content.Column12]])*1000,"#,##0")</f>
        <v>20,766</v>
      </c>
      <c r="W111" s="13" t="str">
        <f>TEXT(VALUE(Table1[[#This Row],[Content.Column13]])*1000,"#,##0")</f>
        <v>71,129</v>
      </c>
      <c r="X111" s="13" t="str">
        <f>TEXT(VALUE(Table1[[#This Row],[Content.Column14]])*1000,"#,##0")</f>
        <v>74,882</v>
      </c>
      <c r="Y111" s="14" t="str">
        <f>TEXT(VALUE(Table1[[#This Row],[Content.Column3]])*1000,"#,##0")</f>
        <v>63,814</v>
      </c>
      <c r="Z111" s="14" t="str">
        <f>TEXT(VALUE(Table1[[#This Row],[Content.Column4]])*1000,"#,##0")</f>
        <v>26,029</v>
      </c>
      <c r="AA111" s="14" t="str">
        <f>TEXT(VALUE(Table1[[#This Row],[Content.Column5]])*1000,"#,##0")</f>
        <v>89,843</v>
      </c>
      <c r="AB111" s="14" t="str">
        <f>TEXT(VALUE(Table1[[#This Row],[Content.Column6]])*1000,"#,##0")</f>
        <v>93,725</v>
      </c>
    </row>
    <row r="112" spans="1:28" x14ac:dyDescent="0.3">
      <c r="A112" t="s">
        <v>50</v>
      </c>
      <c r="B112" t="s">
        <v>51</v>
      </c>
      <c r="C112" s="6">
        <v>90.471000000000004</v>
      </c>
      <c r="D112" s="1">
        <v>31.952000000000002</v>
      </c>
      <c r="E112" s="1">
        <v>122.42400000000001</v>
      </c>
      <c r="F112" s="1">
        <v>125.297</v>
      </c>
      <c r="G112" s="2">
        <v>23.32</v>
      </c>
      <c r="H112" s="2">
        <v>3.7890000000000001</v>
      </c>
      <c r="I112" s="2">
        <v>27.11</v>
      </c>
      <c r="J112" s="2">
        <v>27.114999999999998</v>
      </c>
      <c r="K112" s="3">
        <v>67.150999999999996</v>
      </c>
      <c r="L112" s="3">
        <v>28.163</v>
      </c>
      <c r="M112" s="3">
        <v>95.313999999999993</v>
      </c>
      <c r="N112" s="3">
        <v>98.182000000000002</v>
      </c>
      <c r="O112">
        <v>2011</v>
      </c>
      <c r="Q112" s="12" t="str">
        <f>TEXT(VALUE(Table1[[#This Row],[Content.Column7]])*1000,"#,##0")</f>
        <v>23,320</v>
      </c>
      <c r="R112" s="12" t="str">
        <f>TEXT(VALUE(Table1[[#This Row],[Content.Column8]])*1000,"#,##0")</f>
        <v>3,789</v>
      </c>
      <c r="S112" s="12" t="str">
        <f>TEXT(VALUE(Table1[[#This Row],[Content.Column9]])*1000,"#,##0")</f>
        <v>27,110</v>
      </c>
      <c r="T112" s="12" t="str">
        <f>TEXT(VALUE(Table1[[#This Row],[Content.Column10]])*1000,"#,##0")</f>
        <v>27,115</v>
      </c>
      <c r="U112" s="13" t="str">
        <f>TEXT(VALUE(Table1[[#This Row],[Content.Column11]])*1000,"#,##0")</f>
        <v>67,151</v>
      </c>
      <c r="V112" s="13" t="str">
        <f>TEXT(VALUE(Table1[[#This Row],[Content.Column12]])*1000,"#,##0")</f>
        <v>28,163</v>
      </c>
      <c r="W112" s="13" t="str">
        <f>TEXT(VALUE(Table1[[#This Row],[Content.Column13]])*1000,"#,##0")</f>
        <v>95,314</v>
      </c>
      <c r="X112" s="13" t="str">
        <f>TEXT(VALUE(Table1[[#This Row],[Content.Column14]])*1000,"#,##0")</f>
        <v>98,182</v>
      </c>
      <c r="Y112" s="14" t="str">
        <f>TEXT(VALUE(Table1[[#This Row],[Content.Column3]])*1000,"#,##0")</f>
        <v>90,471</v>
      </c>
      <c r="Z112" s="14" t="str">
        <f>TEXT(VALUE(Table1[[#This Row],[Content.Column4]])*1000,"#,##0")</f>
        <v>31,952</v>
      </c>
      <c r="AA112" s="14" t="str">
        <f>TEXT(VALUE(Table1[[#This Row],[Content.Column5]])*1000,"#,##0")</f>
        <v>122,424</v>
      </c>
      <c r="AB112" s="14" t="str">
        <f>TEXT(VALUE(Table1[[#This Row],[Content.Column6]])*1000,"#,##0")</f>
        <v>125,297</v>
      </c>
    </row>
    <row r="113" spans="1:28" x14ac:dyDescent="0.3">
      <c r="A113" t="s">
        <v>52</v>
      </c>
      <c r="B113" t="s">
        <v>53</v>
      </c>
      <c r="C113" s="6">
        <v>39.045999999999999</v>
      </c>
      <c r="D113" s="1">
        <v>20.253</v>
      </c>
      <c r="E113" s="1">
        <v>59.298999999999999</v>
      </c>
      <c r="F113" s="1">
        <v>61.856000000000002</v>
      </c>
      <c r="G113" s="2">
        <v>9.94</v>
      </c>
      <c r="H113" s="2">
        <v>4.3739999999999997</v>
      </c>
      <c r="I113" s="2">
        <v>14.314</v>
      </c>
      <c r="J113" s="2">
        <v>14.332000000000001</v>
      </c>
      <c r="K113" s="3">
        <v>29.106999999999999</v>
      </c>
      <c r="L113" s="3">
        <v>15.878</v>
      </c>
      <c r="M113" s="3">
        <v>44.984999999999999</v>
      </c>
      <c r="N113" s="3">
        <v>47.524000000000001</v>
      </c>
      <c r="O113">
        <v>2011</v>
      </c>
      <c r="Q113" s="12" t="str">
        <f>TEXT(VALUE(Table1[[#This Row],[Content.Column7]])*1000,"#,##0")</f>
        <v>9,940</v>
      </c>
      <c r="R113" s="12" t="str">
        <f>TEXT(VALUE(Table1[[#This Row],[Content.Column8]])*1000,"#,##0")</f>
        <v>4,374</v>
      </c>
      <c r="S113" s="12" t="str">
        <f>TEXT(VALUE(Table1[[#This Row],[Content.Column9]])*1000,"#,##0")</f>
        <v>14,314</v>
      </c>
      <c r="T113" s="12" t="str">
        <f>TEXT(VALUE(Table1[[#This Row],[Content.Column10]])*1000,"#,##0")</f>
        <v>14,332</v>
      </c>
      <c r="U113" s="13" t="str">
        <f>TEXT(VALUE(Table1[[#This Row],[Content.Column11]])*1000,"#,##0")</f>
        <v>29,107</v>
      </c>
      <c r="V113" s="13" t="str">
        <f>TEXT(VALUE(Table1[[#This Row],[Content.Column12]])*1000,"#,##0")</f>
        <v>15,878</v>
      </c>
      <c r="W113" s="13" t="str">
        <f>TEXT(VALUE(Table1[[#This Row],[Content.Column13]])*1000,"#,##0")</f>
        <v>44,985</v>
      </c>
      <c r="X113" s="13" t="str">
        <f>TEXT(VALUE(Table1[[#This Row],[Content.Column14]])*1000,"#,##0")</f>
        <v>47,524</v>
      </c>
      <c r="Y113" s="14" t="str">
        <f>TEXT(VALUE(Table1[[#This Row],[Content.Column3]])*1000,"#,##0")</f>
        <v>39,046</v>
      </c>
      <c r="Z113" s="14" t="str">
        <f>TEXT(VALUE(Table1[[#This Row],[Content.Column4]])*1000,"#,##0")</f>
        <v>20,253</v>
      </c>
      <c r="AA113" s="14" t="str">
        <f>TEXT(VALUE(Table1[[#This Row],[Content.Column5]])*1000,"#,##0")</f>
        <v>59,299</v>
      </c>
      <c r="AB113" s="14" t="str">
        <f>TEXT(VALUE(Table1[[#This Row],[Content.Column6]])*1000,"#,##0")</f>
        <v>61,856</v>
      </c>
    </row>
    <row r="114" spans="1:28" x14ac:dyDescent="0.3">
      <c r="A114" t="s">
        <v>54</v>
      </c>
      <c r="B114" t="s">
        <v>55</v>
      </c>
      <c r="C114" s="6">
        <v>40.47</v>
      </c>
      <c r="D114" s="1">
        <v>23.465</v>
      </c>
      <c r="E114" s="1">
        <v>63.935000000000002</v>
      </c>
      <c r="F114" s="1">
        <v>66.747</v>
      </c>
      <c r="G114" s="2">
        <v>5.8019999999999996</v>
      </c>
      <c r="H114" s="2">
        <v>7.085</v>
      </c>
      <c r="I114" s="2">
        <v>12.888</v>
      </c>
      <c r="J114" s="2">
        <v>12.95</v>
      </c>
      <c r="K114" s="3">
        <v>34.667000000000002</v>
      </c>
      <c r="L114" s="3">
        <v>16.38</v>
      </c>
      <c r="M114" s="3">
        <v>51.046999999999997</v>
      </c>
      <c r="N114" s="3">
        <v>53.796999999999997</v>
      </c>
      <c r="O114">
        <v>2011</v>
      </c>
      <c r="Q114" s="12" t="str">
        <f>TEXT(VALUE(Table1[[#This Row],[Content.Column7]])*1000,"#,##0")</f>
        <v>5,802</v>
      </c>
      <c r="R114" s="12" t="str">
        <f>TEXT(VALUE(Table1[[#This Row],[Content.Column8]])*1000,"#,##0")</f>
        <v>7,085</v>
      </c>
      <c r="S114" s="12" t="str">
        <f>TEXT(VALUE(Table1[[#This Row],[Content.Column9]])*1000,"#,##0")</f>
        <v>12,888</v>
      </c>
      <c r="T114" s="12" t="str">
        <f>TEXT(VALUE(Table1[[#This Row],[Content.Column10]])*1000,"#,##0")</f>
        <v>12,950</v>
      </c>
      <c r="U114" s="13" t="str">
        <f>TEXT(VALUE(Table1[[#This Row],[Content.Column11]])*1000,"#,##0")</f>
        <v>34,667</v>
      </c>
      <c r="V114" s="13" t="str">
        <f>TEXT(VALUE(Table1[[#This Row],[Content.Column12]])*1000,"#,##0")</f>
        <v>16,380</v>
      </c>
      <c r="W114" s="13" t="str">
        <f>TEXT(VALUE(Table1[[#This Row],[Content.Column13]])*1000,"#,##0")</f>
        <v>51,047</v>
      </c>
      <c r="X114" s="13" t="str">
        <f>TEXT(VALUE(Table1[[#This Row],[Content.Column14]])*1000,"#,##0")</f>
        <v>53,797</v>
      </c>
      <c r="Y114" s="14" t="str">
        <f>TEXT(VALUE(Table1[[#This Row],[Content.Column3]])*1000,"#,##0")</f>
        <v>40,470</v>
      </c>
      <c r="Z114" s="14" t="str">
        <f>TEXT(VALUE(Table1[[#This Row],[Content.Column4]])*1000,"#,##0")</f>
        <v>23,465</v>
      </c>
      <c r="AA114" s="14" t="str">
        <f>TEXT(VALUE(Table1[[#This Row],[Content.Column5]])*1000,"#,##0")</f>
        <v>63,935</v>
      </c>
      <c r="AB114" s="14" t="str">
        <f>TEXT(VALUE(Table1[[#This Row],[Content.Column6]])*1000,"#,##0")</f>
        <v>66,747</v>
      </c>
    </row>
    <row r="115" spans="1:28" x14ac:dyDescent="0.3">
      <c r="A115" t="s">
        <v>56</v>
      </c>
      <c r="B115" t="s">
        <v>57</v>
      </c>
      <c r="C115" s="6">
        <v>45.112000000000002</v>
      </c>
      <c r="D115" s="1">
        <v>24.884</v>
      </c>
      <c r="E115" s="1">
        <v>69.995000000000005</v>
      </c>
      <c r="F115" s="1">
        <v>72.659000000000006</v>
      </c>
      <c r="G115" s="2">
        <v>10.677</v>
      </c>
      <c r="H115" s="2">
        <v>6.0780000000000003</v>
      </c>
      <c r="I115" s="2">
        <v>16.754000000000001</v>
      </c>
      <c r="J115" s="2">
        <v>16.763999999999999</v>
      </c>
      <c r="K115" s="3">
        <v>34.435000000000002</v>
      </c>
      <c r="L115" s="3">
        <v>18.806000000000001</v>
      </c>
      <c r="M115" s="3">
        <v>53.241</v>
      </c>
      <c r="N115" s="3">
        <v>55.895000000000003</v>
      </c>
      <c r="O115">
        <v>2011</v>
      </c>
      <c r="Q115" s="12" t="str">
        <f>TEXT(VALUE(Table1[[#This Row],[Content.Column7]])*1000,"#,##0")</f>
        <v>10,677</v>
      </c>
      <c r="R115" s="12" t="str">
        <f>TEXT(VALUE(Table1[[#This Row],[Content.Column8]])*1000,"#,##0")</f>
        <v>6,078</v>
      </c>
      <c r="S115" s="12" t="str">
        <f>TEXT(VALUE(Table1[[#This Row],[Content.Column9]])*1000,"#,##0")</f>
        <v>16,754</v>
      </c>
      <c r="T115" s="12" t="str">
        <f>TEXT(VALUE(Table1[[#This Row],[Content.Column10]])*1000,"#,##0")</f>
        <v>16,764</v>
      </c>
      <c r="U115" s="13" t="str">
        <f>TEXT(VALUE(Table1[[#This Row],[Content.Column11]])*1000,"#,##0")</f>
        <v>34,435</v>
      </c>
      <c r="V115" s="13" t="str">
        <f>TEXT(VALUE(Table1[[#This Row],[Content.Column12]])*1000,"#,##0")</f>
        <v>18,806</v>
      </c>
      <c r="W115" s="13" t="str">
        <f>TEXT(VALUE(Table1[[#This Row],[Content.Column13]])*1000,"#,##0")</f>
        <v>53,241</v>
      </c>
      <c r="X115" s="13" t="str">
        <f>TEXT(VALUE(Table1[[#This Row],[Content.Column14]])*1000,"#,##0")</f>
        <v>55,895</v>
      </c>
      <c r="Y115" s="14" t="str">
        <f>TEXT(VALUE(Table1[[#This Row],[Content.Column3]])*1000,"#,##0")</f>
        <v>45,112</v>
      </c>
      <c r="Z115" s="14" t="str">
        <f>TEXT(VALUE(Table1[[#This Row],[Content.Column4]])*1000,"#,##0")</f>
        <v>24,884</v>
      </c>
      <c r="AA115" s="14" t="str">
        <f>TEXT(VALUE(Table1[[#This Row],[Content.Column5]])*1000,"#,##0")</f>
        <v>69,995</v>
      </c>
      <c r="AB115" s="14" t="str">
        <f>TEXT(VALUE(Table1[[#This Row],[Content.Column6]])*1000,"#,##0")</f>
        <v>72,659</v>
      </c>
    </row>
    <row r="116" spans="1:28" x14ac:dyDescent="0.3">
      <c r="A116" t="s">
        <v>58</v>
      </c>
      <c r="B116" t="s">
        <v>59</v>
      </c>
      <c r="C116" s="6">
        <v>133.82</v>
      </c>
      <c r="D116" s="1">
        <v>49.859000000000002</v>
      </c>
      <c r="E116" s="1">
        <v>183.679</v>
      </c>
      <c r="F116" s="1">
        <v>186.60599999999999</v>
      </c>
      <c r="G116" s="2">
        <v>12.659000000000001</v>
      </c>
      <c r="H116" s="2">
        <v>8.6259999999999994</v>
      </c>
      <c r="I116" s="2">
        <v>21.285</v>
      </c>
      <c r="J116" s="2">
        <v>21.326000000000001</v>
      </c>
      <c r="K116" s="3">
        <v>121.161</v>
      </c>
      <c r="L116" s="3">
        <v>41.234000000000002</v>
      </c>
      <c r="M116" s="3">
        <v>162.39400000000001</v>
      </c>
      <c r="N116" s="3">
        <v>165.28</v>
      </c>
      <c r="O116">
        <v>2011</v>
      </c>
      <c r="Q116" s="12" t="str">
        <f>TEXT(VALUE(Table1[[#This Row],[Content.Column7]])*1000,"#,##0")</f>
        <v>12,659</v>
      </c>
      <c r="R116" s="12" t="str">
        <f>TEXT(VALUE(Table1[[#This Row],[Content.Column8]])*1000,"#,##0")</f>
        <v>8,626</v>
      </c>
      <c r="S116" s="12" t="str">
        <f>TEXT(VALUE(Table1[[#This Row],[Content.Column9]])*1000,"#,##0")</f>
        <v>21,285</v>
      </c>
      <c r="T116" s="12" t="str">
        <f>TEXT(VALUE(Table1[[#This Row],[Content.Column10]])*1000,"#,##0")</f>
        <v>21,326</v>
      </c>
      <c r="U116" s="13" t="str">
        <f>TEXT(VALUE(Table1[[#This Row],[Content.Column11]])*1000,"#,##0")</f>
        <v>121,161</v>
      </c>
      <c r="V116" s="13" t="str">
        <f>TEXT(VALUE(Table1[[#This Row],[Content.Column12]])*1000,"#,##0")</f>
        <v>41,234</v>
      </c>
      <c r="W116" s="13" t="str">
        <f>TEXT(VALUE(Table1[[#This Row],[Content.Column13]])*1000,"#,##0")</f>
        <v>162,394</v>
      </c>
      <c r="X116" s="13" t="str">
        <f>TEXT(VALUE(Table1[[#This Row],[Content.Column14]])*1000,"#,##0")</f>
        <v>165,280</v>
      </c>
      <c r="Y116" s="14" t="str">
        <f>TEXT(VALUE(Table1[[#This Row],[Content.Column3]])*1000,"#,##0")</f>
        <v>133,820</v>
      </c>
      <c r="Z116" s="14" t="str">
        <f>TEXT(VALUE(Table1[[#This Row],[Content.Column4]])*1000,"#,##0")</f>
        <v>49,859</v>
      </c>
      <c r="AA116" s="14" t="str">
        <f>TEXT(VALUE(Table1[[#This Row],[Content.Column5]])*1000,"#,##0")</f>
        <v>183,679</v>
      </c>
      <c r="AB116" s="14" t="str">
        <f>TEXT(VALUE(Table1[[#This Row],[Content.Column6]])*1000,"#,##0")</f>
        <v>186,606</v>
      </c>
    </row>
    <row r="117" spans="1:28" x14ac:dyDescent="0.3">
      <c r="A117" t="s">
        <v>60</v>
      </c>
      <c r="B117" t="s">
        <v>61</v>
      </c>
      <c r="C117" s="6">
        <v>94.435000000000002</v>
      </c>
      <c r="D117" s="1">
        <v>31.946000000000002</v>
      </c>
      <c r="E117" s="1">
        <v>126.381</v>
      </c>
      <c r="F117" s="1">
        <v>129.11600000000001</v>
      </c>
      <c r="G117" s="2">
        <v>11.587</v>
      </c>
      <c r="H117" s="2">
        <v>6.0330000000000004</v>
      </c>
      <c r="I117" s="2">
        <v>17.62</v>
      </c>
      <c r="J117" s="2">
        <v>17.620999999999999</v>
      </c>
      <c r="K117" s="3">
        <v>82.847999999999999</v>
      </c>
      <c r="L117" s="3">
        <v>25.914000000000001</v>
      </c>
      <c r="M117" s="3">
        <v>108.761</v>
      </c>
      <c r="N117" s="3">
        <v>111.495</v>
      </c>
      <c r="O117">
        <v>2011</v>
      </c>
      <c r="Q117" s="12" t="str">
        <f>TEXT(VALUE(Table1[[#This Row],[Content.Column7]])*1000,"#,##0")</f>
        <v>11,587</v>
      </c>
      <c r="R117" s="12" t="str">
        <f>TEXT(VALUE(Table1[[#This Row],[Content.Column8]])*1000,"#,##0")</f>
        <v>6,033</v>
      </c>
      <c r="S117" s="12" t="str">
        <f>TEXT(VALUE(Table1[[#This Row],[Content.Column9]])*1000,"#,##0")</f>
        <v>17,620</v>
      </c>
      <c r="T117" s="12" t="str">
        <f>TEXT(VALUE(Table1[[#This Row],[Content.Column10]])*1000,"#,##0")</f>
        <v>17,621</v>
      </c>
      <c r="U117" s="13" t="str">
        <f>TEXT(VALUE(Table1[[#This Row],[Content.Column11]])*1000,"#,##0")</f>
        <v>82,848</v>
      </c>
      <c r="V117" s="13" t="str">
        <f>TEXT(VALUE(Table1[[#This Row],[Content.Column12]])*1000,"#,##0")</f>
        <v>25,914</v>
      </c>
      <c r="W117" s="13" t="str">
        <f>TEXT(VALUE(Table1[[#This Row],[Content.Column13]])*1000,"#,##0")</f>
        <v>108,761</v>
      </c>
      <c r="X117" s="13" t="str">
        <f>TEXT(VALUE(Table1[[#This Row],[Content.Column14]])*1000,"#,##0")</f>
        <v>111,495</v>
      </c>
      <c r="Y117" s="14" t="str">
        <f>TEXT(VALUE(Table1[[#This Row],[Content.Column3]])*1000,"#,##0")</f>
        <v>94,435</v>
      </c>
      <c r="Z117" s="14" t="str">
        <f>TEXT(VALUE(Table1[[#This Row],[Content.Column4]])*1000,"#,##0")</f>
        <v>31,946</v>
      </c>
      <c r="AA117" s="14" t="str">
        <f>TEXT(VALUE(Table1[[#This Row],[Content.Column5]])*1000,"#,##0")</f>
        <v>126,381</v>
      </c>
      <c r="AB117" s="14" t="str">
        <f>TEXT(VALUE(Table1[[#This Row],[Content.Column6]])*1000,"#,##0")</f>
        <v>129,116</v>
      </c>
    </row>
    <row r="118" spans="1:28" x14ac:dyDescent="0.3">
      <c r="A118" t="s">
        <v>62</v>
      </c>
      <c r="B118" t="s">
        <v>63</v>
      </c>
      <c r="C118" s="6">
        <v>143.65</v>
      </c>
      <c r="D118" s="1">
        <v>37.021999999999998</v>
      </c>
      <c r="E118" s="1">
        <v>180.672</v>
      </c>
      <c r="F118" s="1">
        <v>187.47499999999999</v>
      </c>
      <c r="G118" s="2">
        <v>24.629000000000001</v>
      </c>
      <c r="H118" s="2">
        <v>6.4210000000000003</v>
      </c>
      <c r="I118" s="2">
        <v>31.050999999999998</v>
      </c>
      <c r="J118" s="2">
        <v>31.141999999999999</v>
      </c>
      <c r="K118" s="3">
        <v>119.02</v>
      </c>
      <c r="L118" s="3">
        <v>30.600999999999999</v>
      </c>
      <c r="M118" s="3">
        <v>149.62100000000001</v>
      </c>
      <c r="N118" s="3">
        <v>156.33199999999999</v>
      </c>
      <c r="O118">
        <v>2011</v>
      </c>
      <c r="Q118" s="12" t="str">
        <f>TEXT(VALUE(Table1[[#This Row],[Content.Column7]])*1000,"#,##0")</f>
        <v>24,629</v>
      </c>
      <c r="R118" s="12" t="str">
        <f>TEXT(VALUE(Table1[[#This Row],[Content.Column8]])*1000,"#,##0")</f>
        <v>6,421</v>
      </c>
      <c r="S118" s="12" t="str">
        <f>TEXT(VALUE(Table1[[#This Row],[Content.Column9]])*1000,"#,##0")</f>
        <v>31,051</v>
      </c>
      <c r="T118" s="12" t="str">
        <f>TEXT(VALUE(Table1[[#This Row],[Content.Column10]])*1000,"#,##0")</f>
        <v>31,142</v>
      </c>
      <c r="U118" s="13" t="str">
        <f>TEXT(VALUE(Table1[[#This Row],[Content.Column11]])*1000,"#,##0")</f>
        <v>119,020</v>
      </c>
      <c r="V118" s="13" t="str">
        <f>TEXT(VALUE(Table1[[#This Row],[Content.Column12]])*1000,"#,##0")</f>
        <v>30,601</v>
      </c>
      <c r="W118" s="13" t="str">
        <f>TEXT(VALUE(Table1[[#This Row],[Content.Column13]])*1000,"#,##0")</f>
        <v>149,621</v>
      </c>
      <c r="X118" s="13" t="str">
        <f>TEXT(VALUE(Table1[[#This Row],[Content.Column14]])*1000,"#,##0")</f>
        <v>156,332</v>
      </c>
      <c r="Y118" s="14" t="str">
        <f>TEXT(VALUE(Table1[[#This Row],[Content.Column3]])*1000,"#,##0")</f>
        <v>143,650</v>
      </c>
      <c r="Z118" s="14" t="str">
        <f>TEXT(VALUE(Table1[[#This Row],[Content.Column4]])*1000,"#,##0")</f>
        <v>37,022</v>
      </c>
      <c r="AA118" s="14" t="str">
        <f>TEXT(VALUE(Table1[[#This Row],[Content.Column5]])*1000,"#,##0")</f>
        <v>180,672</v>
      </c>
      <c r="AB118" s="14" t="str">
        <f>TEXT(VALUE(Table1[[#This Row],[Content.Column6]])*1000,"#,##0")</f>
        <v>187,475</v>
      </c>
    </row>
    <row r="119" spans="1:28" x14ac:dyDescent="0.3">
      <c r="A119" t="s">
        <v>64</v>
      </c>
      <c r="B119" t="s">
        <v>65</v>
      </c>
      <c r="C119" s="6">
        <v>82.754000000000005</v>
      </c>
      <c r="D119" s="1">
        <v>31.744</v>
      </c>
      <c r="E119" s="1">
        <v>114.498</v>
      </c>
      <c r="F119" s="1">
        <v>118.47499999999999</v>
      </c>
      <c r="G119" s="2">
        <v>16.123000000000001</v>
      </c>
      <c r="H119" s="2">
        <v>3.61</v>
      </c>
      <c r="I119" s="2">
        <v>19.731999999999999</v>
      </c>
      <c r="J119" s="2">
        <v>19.84</v>
      </c>
      <c r="K119" s="3">
        <v>66.631</v>
      </c>
      <c r="L119" s="3">
        <v>28.134</v>
      </c>
      <c r="M119" s="3">
        <v>94.765000000000001</v>
      </c>
      <c r="N119" s="3">
        <v>98.635000000000005</v>
      </c>
      <c r="O119">
        <v>2011</v>
      </c>
      <c r="Q119" s="12" t="str">
        <f>TEXT(VALUE(Table1[[#This Row],[Content.Column7]])*1000,"#,##0")</f>
        <v>16,123</v>
      </c>
      <c r="R119" s="12" t="str">
        <f>TEXT(VALUE(Table1[[#This Row],[Content.Column8]])*1000,"#,##0")</f>
        <v>3,610</v>
      </c>
      <c r="S119" s="12" t="str">
        <f>TEXT(VALUE(Table1[[#This Row],[Content.Column9]])*1000,"#,##0")</f>
        <v>19,732</v>
      </c>
      <c r="T119" s="12" t="str">
        <f>TEXT(VALUE(Table1[[#This Row],[Content.Column10]])*1000,"#,##0")</f>
        <v>19,840</v>
      </c>
      <c r="U119" s="13" t="str">
        <f>TEXT(VALUE(Table1[[#This Row],[Content.Column11]])*1000,"#,##0")</f>
        <v>66,631</v>
      </c>
      <c r="V119" s="13" t="str">
        <f>TEXT(VALUE(Table1[[#This Row],[Content.Column12]])*1000,"#,##0")</f>
        <v>28,134</v>
      </c>
      <c r="W119" s="13" t="str">
        <f>TEXT(VALUE(Table1[[#This Row],[Content.Column13]])*1000,"#,##0")</f>
        <v>94,765</v>
      </c>
      <c r="X119" s="13" t="str">
        <f>TEXT(VALUE(Table1[[#This Row],[Content.Column14]])*1000,"#,##0")</f>
        <v>98,635</v>
      </c>
      <c r="Y119" s="14" t="str">
        <f>TEXT(VALUE(Table1[[#This Row],[Content.Column3]])*1000,"#,##0")</f>
        <v>82,754</v>
      </c>
      <c r="Z119" s="14" t="str">
        <f>TEXT(VALUE(Table1[[#This Row],[Content.Column4]])*1000,"#,##0")</f>
        <v>31,744</v>
      </c>
      <c r="AA119" s="14" t="str">
        <f>TEXT(VALUE(Table1[[#This Row],[Content.Column5]])*1000,"#,##0")</f>
        <v>114,498</v>
      </c>
      <c r="AB119" s="14" t="str">
        <f>TEXT(VALUE(Table1[[#This Row],[Content.Column6]])*1000,"#,##0")</f>
        <v>118,475</v>
      </c>
    </row>
    <row r="120" spans="1:28" x14ac:dyDescent="0.3">
      <c r="A120" t="s">
        <v>66</v>
      </c>
      <c r="B120" t="s">
        <v>67</v>
      </c>
      <c r="C120" s="6">
        <v>46.161999999999999</v>
      </c>
      <c r="D120" s="1">
        <v>24.88</v>
      </c>
      <c r="E120" s="1">
        <v>71.042000000000002</v>
      </c>
      <c r="F120" s="1">
        <v>72.95</v>
      </c>
      <c r="G120" s="2">
        <v>8.7959999999999994</v>
      </c>
      <c r="H120" s="2">
        <v>5.8209999999999997</v>
      </c>
      <c r="I120" s="2">
        <v>14.617000000000001</v>
      </c>
      <c r="J120" s="2">
        <v>14.634</v>
      </c>
      <c r="K120" s="3">
        <v>37.366</v>
      </c>
      <c r="L120" s="3">
        <v>19.059000000000001</v>
      </c>
      <c r="M120" s="3">
        <v>56.424999999999997</v>
      </c>
      <c r="N120" s="3">
        <v>58.316000000000003</v>
      </c>
      <c r="O120">
        <v>2011</v>
      </c>
      <c r="Q120" s="12" t="str">
        <f>TEXT(VALUE(Table1[[#This Row],[Content.Column7]])*1000,"#,##0")</f>
        <v>8,796</v>
      </c>
      <c r="R120" s="12" t="str">
        <f>TEXT(VALUE(Table1[[#This Row],[Content.Column8]])*1000,"#,##0")</f>
        <v>5,821</v>
      </c>
      <c r="S120" s="12" t="str">
        <f>TEXT(VALUE(Table1[[#This Row],[Content.Column9]])*1000,"#,##0")</f>
        <v>14,617</v>
      </c>
      <c r="T120" s="12" t="str">
        <f>TEXT(VALUE(Table1[[#This Row],[Content.Column10]])*1000,"#,##0")</f>
        <v>14,634</v>
      </c>
      <c r="U120" s="13" t="str">
        <f>TEXT(VALUE(Table1[[#This Row],[Content.Column11]])*1000,"#,##0")</f>
        <v>37,366</v>
      </c>
      <c r="V120" s="13" t="str">
        <f>TEXT(VALUE(Table1[[#This Row],[Content.Column12]])*1000,"#,##0")</f>
        <v>19,059</v>
      </c>
      <c r="W120" s="13" t="str">
        <f>TEXT(VALUE(Table1[[#This Row],[Content.Column13]])*1000,"#,##0")</f>
        <v>56,425</v>
      </c>
      <c r="X120" s="13" t="str">
        <f>TEXT(VALUE(Table1[[#This Row],[Content.Column14]])*1000,"#,##0")</f>
        <v>58,316</v>
      </c>
      <c r="Y120" s="14" t="str">
        <f>TEXT(VALUE(Table1[[#This Row],[Content.Column3]])*1000,"#,##0")</f>
        <v>46,162</v>
      </c>
      <c r="Z120" s="14" t="str">
        <f>TEXT(VALUE(Table1[[#This Row],[Content.Column4]])*1000,"#,##0")</f>
        <v>24,880</v>
      </c>
      <c r="AA120" s="14" t="str">
        <f>TEXT(VALUE(Table1[[#This Row],[Content.Column5]])*1000,"#,##0")</f>
        <v>71,042</v>
      </c>
      <c r="AB120" s="14" t="str">
        <f>TEXT(VALUE(Table1[[#This Row],[Content.Column6]])*1000,"#,##0")</f>
        <v>72,950</v>
      </c>
    </row>
    <row r="121" spans="1:28" x14ac:dyDescent="0.3">
      <c r="A121" t="s">
        <v>68</v>
      </c>
      <c r="B121" t="s">
        <v>69</v>
      </c>
      <c r="C121" s="6">
        <v>92.578999999999994</v>
      </c>
      <c r="D121" s="1">
        <v>34.893999999999998</v>
      </c>
      <c r="E121" s="1">
        <v>127.474</v>
      </c>
      <c r="F121" s="1">
        <v>130.94900000000001</v>
      </c>
      <c r="G121" s="2">
        <v>26.7</v>
      </c>
      <c r="H121" s="2">
        <v>6.87</v>
      </c>
      <c r="I121" s="2">
        <v>33.57</v>
      </c>
      <c r="J121" s="2">
        <v>33.582999999999998</v>
      </c>
      <c r="K121" s="3">
        <v>65.879000000000005</v>
      </c>
      <c r="L121" s="3">
        <v>28.024999999999999</v>
      </c>
      <c r="M121" s="3">
        <v>93.903999999999996</v>
      </c>
      <c r="N121" s="3">
        <v>97.366</v>
      </c>
      <c r="O121">
        <v>2011</v>
      </c>
      <c r="Q121" s="12" t="str">
        <f>TEXT(VALUE(Table1[[#This Row],[Content.Column7]])*1000,"#,##0")</f>
        <v>26,700</v>
      </c>
      <c r="R121" s="12" t="str">
        <f>TEXT(VALUE(Table1[[#This Row],[Content.Column8]])*1000,"#,##0")</f>
        <v>6,870</v>
      </c>
      <c r="S121" s="12" t="str">
        <f>TEXT(VALUE(Table1[[#This Row],[Content.Column9]])*1000,"#,##0")</f>
        <v>33,570</v>
      </c>
      <c r="T121" s="12" t="str">
        <f>TEXT(VALUE(Table1[[#This Row],[Content.Column10]])*1000,"#,##0")</f>
        <v>33,583</v>
      </c>
      <c r="U121" s="13" t="str">
        <f>TEXT(VALUE(Table1[[#This Row],[Content.Column11]])*1000,"#,##0")</f>
        <v>65,879</v>
      </c>
      <c r="V121" s="13" t="str">
        <f>TEXT(VALUE(Table1[[#This Row],[Content.Column12]])*1000,"#,##0")</f>
        <v>28,025</v>
      </c>
      <c r="W121" s="13" t="str">
        <f>TEXT(VALUE(Table1[[#This Row],[Content.Column13]])*1000,"#,##0")</f>
        <v>93,904</v>
      </c>
      <c r="X121" s="13" t="str">
        <f>TEXT(VALUE(Table1[[#This Row],[Content.Column14]])*1000,"#,##0")</f>
        <v>97,366</v>
      </c>
      <c r="Y121" s="14" t="str">
        <f>TEXT(VALUE(Table1[[#This Row],[Content.Column3]])*1000,"#,##0")</f>
        <v>92,579</v>
      </c>
      <c r="Z121" s="14" t="str">
        <f>TEXT(VALUE(Table1[[#This Row],[Content.Column4]])*1000,"#,##0")</f>
        <v>34,894</v>
      </c>
      <c r="AA121" s="14" t="str">
        <f>TEXT(VALUE(Table1[[#This Row],[Content.Column5]])*1000,"#,##0")</f>
        <v>127,474</v>
      </c>
      <c r="AB121" s="14" t="str">
        <f>TEXT(VALUE(Table1[[#This Row],[Content.Column6]])*1000,"#,##0")</f>
        <v>130,949</v>
      </c>
    </row>
    <row r="122" spans="1:28" x14ac:dyDescent="0.3">
      <c r="A122" t="s">
        <v>70</v>
      </c>
      <c r="B122" t="s">
        <v>71</v>
      </c>
      <c r="C122" s="6">
        <v>38.482999999999997</v>
      </c>
      <c r="D122" s="1">
        <v>20.369</v>
      </c>
      <c r="E122" s="1">
        <v>58.851999999999997</v>
      </c>
      <c r="F122" s="1">
        <v>61.104999999999997</v>
      </c>
      <c r="G122" s="2">
        <v>12.327</v>
      </c>
      <c r="H122" s="2">
        <v>4.7380000000000004</v>
      </c>
      <c r="I122" s="2">
        <v>17.065000000000001</v>
      </c>
      <c r="J122" s="2">
        <v>17.231999999999999</v>
      </c>
      <c r="K122" s="3">
        <v>26.155000000000001</v>
      </c>
      <c r="L122" s="3">
        <v>15.631</v>
      </c>
      <c r="M122" s="3">
        <v>41.786000000000001</v>
      </c>
      <c r="N122" s="3">
        <v>43.872999999999998</v>
      </c>
      <c r="O122">
        <v>2011</v>
      </c>
      <c r="Q122" s="12" t="str">
        <f>TEXT(VALUE(Table1[[#This Row],[Content.Column7]])*1000,"#,##0")</f>
        <v>12,327</v>
      </c>
      <c r="R122" s="12" t="str">
        <f>TEXT(VALUE(Table1[[#This Row],[Content.Column8]])*1000,"#,##0")</f>
        <v>4,738</v>
      </c>
      <c r="S122" s="12" t="str">
        <f>TEXT(VALUE(Table1[[#This Row],[Content.Column9]])*1000,"#,##0")</f>
        <v>17,065</v>
      </c>
      <c r="T122" s="12" t="str">
        <f>TEXT(VALUE(Table1[[#This Row],[Content.Column10]])*1000,"#,##0")</f>
        <v>17,232</v>
      </c>
      <c r="U122" s="13" t="str">
        <f>TEXT(VALUE(Table1[[#This Row],[Content.Column11]])*1000,"#,##0")</f>
        <v>26,155</v>
      </c>
      <c r="V122" s="13" t="str">
        <f>TEXT(VALUE(Table1[[#This Row],[Content.Column12]])*1000,"#,##0")</f>
        <v>15,631</v>
      </c>
      <c r="W122" s="13" t="str">
        <f>TEXT(VALUE(Table1[[#This Row],[Content.Column13]])*1000,"#,##0")</f>
        <v>41,786</v>
      </c>
      <c r="X122" s="13" t="str">
        <f>TEXT(VALUE(Table1[[#This Row],[Content.Column14]])*1000,"#,##0")</f>
        <v>43,873</v>
      </c>
      <c r="Y122" s="14" t="str">
        <f>TEXT(VALUE(Table1[[#This Row],[Content.Column3]])*1000,"#,##0")</f>
        <v>38,483</v>
      </c>
      <c r="Z122" s="14" t="str">
        <f>TEXT(VALUE(Table1[[#This Row],[Content.Column4]])*1000,"#,##0")</f>
        <v>20,369</v>
      </c>
      <c r="AA122" s="14" t="str">
        <f>TEXT(VALUE(Table1[[#This Row],[Content.Column5]])*1000,"#,##0")</f>
        <v>58,852</v>
      </c>
      <c r="AB122" s="14" t="str">
        <f>TEXT(VALUE(Table1[[#This Row],[Content.Column6]])*1000,"#,##0")</f>
        <v>61,105</v>
      </c>
    </row>
    <row r="123" spans="1:28" x14ac:dyDescent="0.3">
      <c r="A123" t="s">
        <v>72</v>
      </c>
      <c r="B123" t="s">
        <v>73</v>
      </c>
      <c r="C123" s="6">
        <v>47.734999999999999</v>
      </c>
      <c r="D123" s="1">
        <v>21.73</v>
      </c>
      <c r="E123" s="1">
        <v>69.465000000000003</v>
      </c>
      <c r="F123" s="1">
        <v>71.486999999999995</v>
      </c>
      <c r="G123" s="2">
        <v>6.81</v>
      </c>
      <c r="H123" s="2">
        <v>3.621</v>
      </c>
      <c r="I123" s="2">
        <v>10.432</v>
      </c>
      <c r="J123" s="2">
        <v>10.432</v>
      </c>
      <c r="K123" s="3">
        <v>40.924999999999997</v>
      </c>
      <c r="L123" s="3">
        <v>18.109000000000002</v>
      </c>
      <c r="M123" s="3">
        <v>59.033999999999999</v>
      </c>
      <c r="N123" s="3">
        <v>61.055999999999997</v>
      </c>
      <c r="O123">
        <v>2011</v>
      </c>
      <c r="Q123" s="12" t="str">
        <f>TEXT(VALUE(Table1[[#This Row],[Content.Column7]])*1000,"#,##0")</f>
        <v>6,810</v>
      </c>
      <c r="R123" s="12" t="str">
        <f>TEXT(VALUE(Table1[[#This Row],[Content.Column8]])*1000,"#,##0")</f>
        <v>3,621</v>
      </c>
      <c r="S123" s="12" t="str">
        <f>TEXT(VALUE(Table1[[#This Row],[Content.Column9]])*1000,"#,##0")</f>
        <v>10,432</v>
      </c>
      <c r="T123" s="12" t="str">
        <f>TEXT(VALUE(Table1[[#This Row],[Content.Column10]])*1000,"#,##0")</f>
        <v>10,432</v>
      </c>
      <c r="U123" s="13" t="str">
        <f>TEXT(VALUE(Table1[[#This Row],[Content.Column11]])*1000,"#,##0")</f>
        <v>40,925</v>
      </c>
      <c r="V123" s="13" t="str">
        <f>TEXT(VALUE(Table1[[#This Row],[Content.Column12]])*1000,"#,##0")</f>
        <v>18,109</v>
      </c>
      <c r="W123" s="13" t="str">
        <f>TEXT(VALUE(Table1[[#This Row],[Content.Column13]])*1000,"#,##0")</f>
        <v>59,034</v>
      </c>
      <c r="X123" s="13" t="str">
        <f>TEXT(VALUE(Table1[[#This Row],[Content.Column14]])*1000,"#,##0")</f>
        <v>61,056</v>
      </c>
      <c r="Y123" s="14" t="str">
        <f>TEXT(VALUE(Table1[[#This Row],[Content.Column3]])*1000,"#,##0")</f>
        <v>47,735</v>
      </c>
      <c r="Z123" s="14" t="str">
        <f>TEXT(VALUE(Table1[[#This Row],[Content.Column4]])*1000,"#,##0")</f>
        <v>21,730</v>
      </c>
      <c r="AA123" s="14" t="str">
        <f>TEXT(VALUE(Table1[[#This Row],[Content.Column5]])*1000,"#,##0")</f>
        <v>69,465</v>
      </c>
      <c r="AB123" s="14" t="str">
        <f>TEXT(VALUE(Table1[[#This Row],[Content.Column6]])*1000,"#,##0")</f>
        <v>71,487</v>
      </c>
    </row>
    <row r="124" spans="1:28" x14ac:dyDescent="0.3">
      <c r="A124" t="s">
        <v>74</v>
      </c>
      <c r="B124" t="s">
        <v>75</v>
      </c>
      <c r="C124" s="6">
        <v>52.743000000000002</v>
      </c>
      <c r="D124" s="1">
        <v>22.568000000000001</v>
      </c>
      <c r="E124" s="1">
        <v>75.311000000000007</v>
      </c>
      <c r="F124" s="1">
        <v>77.415000000000006</v>
      </c>
      <c r="G124" s="2">
        <v>18.294</v>
      </c>
      <c r="H124" s="2">
        <v>4.8170000000000002</v>
      </c>
      <c r="I124" s="2">
        <v>23.111000000000001</v>
      </c>
      <c r="J124" s="2">
        <v>23.114000000000001</v>
      </c>
      <c r="K124" s="3">
        <v>34.448999999999998</v>
      </c>
      <c r="L124" s="3">
        <v>17.751999999999999</v>
      </c>
      <c r="M124" s="3">
        <v>52.201000000000001</v>
      </c>
      <c r="N124" s="3">
        <v>54.301000000000002</v>
      </c>
      <c r="O124">
        <v>2011</v>
      </c>
      <c r="Q124" s="12" t="str">
        <f>TEXT(VALUE(Table1[[#This Row],[Content.Column7]])*1000,"#,##0")</f>
        <v>18,294</v>
      </c>
      <c r="R124" s="12" t="str">
        <f>TEXT(VALUE(Table1[[#This Row],[Content.Column8]])*1000,"#,##0")</f>
        <v>4,817</v>
      </c>
      <c r="S124" s="12" t="str">
        <f>TEXT(VALUE(Table1[[#This Row],[Content.Column9]])*1000,"#,##0")</f>
        <v>23,111</v>
      </c>
      <c r="T124" s="12" t="str">
        <f>TEXT(VALUE(Table1[[#This Row],[Content.Column10]])*1000,"#,##0")</f>
        <v>23,114</v>
      </c>
      <c r="U124" s="13" t="str">
        <f>TEXT(VALUE(Table1[[#This Row],[Content.Column11]])*1000,"#,##0")</f>
        <v>34,449</v>
      </c>
      <c r="V124" s="13" t="str">
        <f>TEXT(VALUE(Table1[[#This Row],[Content.Column12]])*1000,"#,##0")</f>
        <v>17,752</v>
      </c>
      <c r="W124" s="13" t="str">
        <f>TEXT(VALUE(Table1[[#This Row],[Content.Column13]])*1000,"#,##0")</f>
        <v>52,201</v>
      </c>
      <c r="X124" s="13" t="str">
        <f>TEXT(VALUE(Table1[[#This Row],[Content.Column14]])*1000,"#,##0")</f>
        <v>54,301</v>
      </c>
      <c r="Y124" s="14" t="str">
        <f>TEXT(VALUE(Table1[[#This Row],[Content.Column3]])*1000,"#,##0")</f>
        <v>52,743</v>
      </c>
      <c r="Z124" s="14" t="str">
        <f>TEXT(VALUE(Table1[[#This Row],[Content.Column4]])*1000,"#,##0")</f>
        <v>22,568</v>
      </c>
      <c r="AA124" s="14" t="str">
        <f>TEXT(VALUE(Table1[[#This Row],[Content.Column5]])*1000,"#,##0")</f>
        <v>75,311</v>
      </c>
      <c r="AB124" s="14" t="str">
        <f>TEXT(VALUE(Table1[[#This Row],[Content.Column6]])*1000,"#,##0")</f>
        <v>77,415</v>
      </c>
    </row>
    <row r="125" spans="1:28" x14ac:dyDescent="0.3">
      <c r="A125" t="s">
        <v>76</v>
      </c>
      <c r="B125" t="s">
        <v>77</v>
      </c>
      <c r="C125" s="6">
        <v>42.741</v>
      </c>
      <c r="D125" s="1">
        <v>22.920999999999999</v>
      </c>
      <c r="E125" s="1">
        <v>65.662000000000006</v>
      </c>
      <c r="F125" s="1">
        <v>67.873999999999995</v>
      </c>
      <c r="G125" s="2">
        <v>11.731999999999999</v>
      </c>
      <c r="H125" s="2">
        <v>6.5970000000000004</v>
      </c>
      <c r="I125" s="2">
        <v>18.327999999999999</v>
      </c>
      <c r="J125" s="2">
        <v>18.388000000000002</v>
      </c>
      <c r="K125" s="3">
        <v>31.009</v>
      </c>
      <c r="L125" s="3">
        <v>16.324000000000002</v>
      </c>
      <c r="M125" s="3">
        <v>47.334000000000003</v>
      </c>
      <c r="N125" s="3">
        <v>49.485999999999997</v>
      </c>
      <c r="O125">
        <v>2011</v>
      </c>
      <c r="Q125" s="12" t="str">
        <f>TEXT(VALUE(Table1[[#This Row],[Content.Column7]])*1000,"#,##0")</f>
        <v>11,732</v>
      </c>
      <c r="R125" s="12" t="str">
        <f>TEXT(VALUE(Table1[[#This Row],[Content.Column8]])*1000,"#,##0")</f>
        <v>6,597</v>
      </c>
      <c r="S125" s="12" t="str">
        <f>TEXT(VALUE(Table1[[#This Row],[Content.Column9]])*1000,"#,##0")</f>
        <v>18,328</v>
      </c>
      <c r="T125" s="12" t="str">
        <f>TEXT(VALUE(Table1[[#This Row],[Content.Column10]])*1000,"#,##0")</f>
        <v>18,388</v>
      </c>
      <c r="U125" s="13" t="str">
        <f>TEXT(VALUE(Table1[[#This Row],[Content.Column11]])*1000,"#,##0")</f>
        <v>31,009</v>
      </c>
      <c r="V125" s="13" t="str">
        <f>TEXT(VALUE(Table1[[#This Row],[Content.Column12]])*1000,"#,##0")</f>
        <v>16,324</v>
      </c>
      <c r="W125" s="13" t="str">
        <f>TEXT(VALUE(Table1[[#This Row],[Content.Column13]])*1000,"#,##0")</f>
        <v>47,334</v>
      </c>
      <c r="X125" s="13" t="str">
        <f>TEXT(VALUE(Table1[[#This Row],[Content.Column14]])*1000,"#,##0")</f>
        <v>49,486</v>
      </c>
      <c r="Y125" s="14" t="str">
        <f>TEXT(VALUE(Table1[[#This Row],[Content.Column3]])*1000,"#,##0")</f>
        <v>42,741</v>
      </c>
      <c r="Z125" s="14" t="str">
        <f>TEXT(VALUE(Table1[[#This Row],[Content.Column4]])*1000,"#,##0")</f>
        <v>22,921</v>
      </c>
      <c r="AA125" s="14" t="str">
        <f>TEXT(VALUE(Table1[[#This Row],[Content.Column5]])*1000,"#,##0")</f>
        <v>65,662</v>
      </c>
      <c r="AB125" s="14" t="str">
        <f>TEXT(VALUE(Table1[[#This Row],[Content.Column6]])*1000,"#,##0")</f>
        <v>67,874</v>
      </c>
    </row>
    <row r="126" spans="1:28" x14ac:dyDescent="0.3">
      <c r="A126" t="s">
        <v>78</v>
      </c>
      <c r="B126" t="s">
        <v>79</v>
      </c>
      <c r="C126" s="6">
        <v>49.042000000000002</v>
      </c>
      <c r="D126" s="1">
        <v>22.902999999999999</v>
      </c>
      <c r="E126" s="1">
        <v>71.944999999999993</v>
      </c>
      <c r="F126" s="1">
        <v>75.156000000000006</v>
      </c>
      <c r="G126" s="2">
        <v>6.9909999999999997</v>
      </c>
      <c r="H126" s="2">
        <v>4.22</v>
      </c>
      <c r="I126" s="2">
        <v>11.211</v>
      </c>
      <c r="J126" s="2">
        <v>11.212999999999999</v>
      </c>
      <c r="K126" s="3">
        <v>42.051000000000002</v>
      </c>
      <c r="L126" s="3">
        <v>18.683</v>
      </c>
      <c r="M126" s="3">
        <v>60.734999999999999</v>
      </c>
      <c r="N126" s="3">
        <v>63.942999999999998</v>
      </c>
      <c r="O126">
        <v>2011</v>
      </c>
      <c r="Q126" s="12" t="str">
        <f>TEXT(VALUE(Table1[[#This Row],[Content.Column7]])*1000,"#,##0")</f>
        <v>6,991</v>
      </c>
      <c r="R126" s="12" t="str">
        <f>TEXT(VALUE(Table1[[#This Row],[Content.Column8]])*1000,"#,##0")</f>
        <v>4,220</v>
      </c>
      <c r="S126" s="12" t="str">
        <f>TEXT(VALUE(Table1[[#This Row],[Content.Column9]])*1000,"#,##0")</f>
        <v>11,211</v>
      </c>
      <c r="T126" s="12" t="str">
        <f>TEXT(VALUE(Table1[[#This Row],[Content.Column10]])*1000,"#,##0")</f>
        <v>11,213</v>
      </c>
      <c r="U126" s="13" t="str">
        <f>TEXT(VALUE(Table1[[#This Row],[Content.Column11]])*1000,"#,##0")</f>
        <v>42,051</v>
      </c>
      <c r="V126" s="13" t="str">
        <f>TEXT(VALUE(Table1[[#This Row],[Content.Column12]])*1000,"#,##0")</f>
        <v>18,683</v>
      </c>
      <c r="W126" s="13" t="str">
        <f>TEXT(VALUE(Table1[[#This Row],[Content.Column13]])*1000,"#,##0")</f>
        <v>60,735</v>
      </c>
      <c r="X126" s="13" t="str">
        <f>TEXT(VALUE(Table1[[#This Row],[Content.Column14]])*1000,"#,##0")</f>
        <v>63,943</v>
      </c>
      <c r="Y126" s="14" t="str">
        <f>TEXT(VALUE(Table1[[#This Row],[Content.Column3]])*1000,"#,##0")</f>
        <v>49,042</v>
      </c>
      <c r="Z126" s="14" t="str">
        <f>TEXT(VALUE(Table1[[#This Row],[Content.Column4]])*1000,"#,##0")</f>
        <v>22,903</v>
      </c>
      <c r="AA126" s="14" t="str">
        <f>TEXT(VALUE(Table1[[#This Row],[Content.Column5]])*1000,"#,##0")</f>
        <v>71,945</v>
      </c>
      <c r="AB126" s="14" t="str">
        <f>TEXT(VALUE(Table1[[#This Row],[Content.Column6]])*1000,"#,##0")</f>
        <v>75,156</v>
      </c>
    </row>
    <row r="127" spans="1:28" x14ac:dyDescent="0.3">
      <c r="A127" t="s">
        <v>80</v>
      </c>
      <c r="B127" t="s">
        <v>81</v>
      </c>
      <c r="C127" s="6">
        <v>142.964</v>
      </c>
      <c r="D127" s="1">
        <v>44.728000000000002</v>
      </c>
      <c r="E127" s="1">
        <v>187.69200000000001</v>
      </c>
      <c r="F127" s="1">
        <v>194.142</v>
      </c>
      <c r="G127" s="2">
        <v>32.408999999999999</v>
      </c>
      <c r="H127" s="2">
        <v>8.0120000000000005</v>
      </c>
      <c r="I127" s="2">
        <v>40.420999999999999</v>
      </c>
      <c r="J127" s="2">
        <v>40.569000000000003</v>
      </c>
      <c r="K127" s="3">
        <v>110.55500000000001</v>
      </c>
      <c r="L127" s="3">
        <v>36.716000000000001</v>
      </c>
      <c r="M127" s="3">
        <v>147.27099999999999</v>
      </c>
      <c r="N127" s="3">
        <v>153.57300000000001</v>
      </c>
      <c r="O127">
        <v>2011</v>
      </c>
      <c r="Q127" s="12" t="str">
        <f>TEXT(VALUE(Table1[[#This Row],[Content.Column7]])*1000,"#,##0")</f>
        <v>32,409</v>
      </c>
      <c r="R127" s="12" t="str">
        <f>TEXT(VALUE(Table1[[#This Row],[Content.Column8]])*1000,"#,##0")</f>
        <v>8,012</v>
      </c>
      <c r="S127" s="12" t="str">
        <f>TEXT(VALUE(Table1[[#This Row],[Content.Column9]])*1000,"#,##0")</f>
        <v>40,421</v>
      </c>
      <c r="T127" s="12" t="str">
        <f>TEXT(VALUE(Table1[[#This Row],[Content.Column10]])*1000,"#,##0")</f>
        <v>40,569</v>
      </c>
      <c r="U127" s="13" t="str">
        <f>TEXT(VALUE(Table1[[#This Row],[Content.Column11]])*1000,"#,##0")</f>
        <v>110,555</v>
      </c>
      <c r="V127" s="13" t="str">
        <f>TEXT(VALUE(Table1[[#This Row],[Content.Column12]])*1000,"#,##0")</f>
        <v>36,716</v>
      </c>
      <c r="W127" s="13" t="str">
        <f>TEXT(VALUE(Table1[[#This Row],[Content.Column13]])*1000,"#,##0")</f>
        <v>147,271</v>
      </c>
      <c r="X127" s="13" t="str">
        <f>TEXT(VALUE(Table1[[#This Row],[Content.Column14]])*1000,"#,##0")</f>
        <v>153,573</v>
      </c>
      <c r="Y127" s="14" t="str">
        <f>TEXT(VALUE(Table1[[#This Row],[Content.Column3]])*1000,"#,##0")</f>
        <v>142,964</v>
      </c>
      <c r="Z127" s="14" t="str">
        <f>TEXT(VALUE(Table1[[#This Row],[Content.Column4]])*1000,"#,##0")</f>
        <v>44,728</v>
      </c>
      <c r="AA127" s="14" t="str">
        <f>TEXT(VALUE(Table1[[#This Row],[Content.Column5]])*1000,"#,##0")</f>
        <v>187,692</v>
      </c>
      <c r="AB127" s="14" t="str">
        <f>TEXT(VALUE(Table1[[#This Row],[Content.Column6]])*1000,"#,##0")</f>
        <v>194,142</v>
      </c>
    </row>
    <row r="128" spans="1:28" x14ac:dyDescent="0.3">
      <c r="A128" t="s">
        <v>82</v>
      </c>
      <c r="B128" t="s">
        <v>83</v>
      </c>
      <c r="C128" s="6">
        <v>45.854999999999997</v>
      </c>
      <c r="D128" s="1">
        <v>21.635999999999999</v>
      </c>
      <c r="E128" s="1">
        <v>67.489999999999995</v>
      </c>
      <c r="F128" s="1">
        <v>69.691000000000003</v>
      </c>
      <c r="G128" s="2">
        <v>8.9459999999999997</v>
      </c>
      <c r="H128" s="2">
        <v>6.3920000000000003</v>
      </c>
      <c r="I128" s="2">
        <v>15.337999999999999</v>
      </c>
      <c r="J128" s="2">
        <v>15.429</v>
      </c>
      <c r="K128" s="3">
        <v>36.908000000000001</v>
      </c>
      <c r="L128" s="3">
        <v>15.244</v>
      </c>
      <c r="M128" s="3">
        <v>52.152000000000001</v>
      </c>
      <c r="N128" s="3">
        <v>54.262999999999998</v>
      </c>
      <c r="O128">
        <v>2011</v>
      </c>
      <c r="Q128" s="12" t="str">
        <f>TEXT(VALUE(Table1[[#This Row],[Content.Column7]])*1000,"#,##0")</f>
        <v>8,946</v>
      </c>
      <c r="R128" s="12" t="str">
        <f>TEXT(VALUE(Table1[[#This Row],[Content.Column8]])*1000,"#,##0")</f>
        <v>6,392</v>
      </c>
      <c r="S128" s="12" t="str">
        <f>TEXT(VALUE(Table1[[#This Row],[Content.Column9]])*1000,"#,##0")</f>
        <v>15,338</v>
      </c>
      <c r="T128" s="12" t="str">
        <f>TEXT(VALUE(Table1[[#This Row],[Content.Column10]])*1000,"#,##0")</f>
        <v>15,429</v>
      </c>
      <c r="U128" s="13" t="str">
        <f>TEXT(VALUE(Table1[[#This Row],[Content.Column11]])*1000,"#,##0")</f>
        <v>36,908</v>
      </c>
      <c r="V128" s="13" t="str">
        <f>TEXT(VALUE(Table1[[#This Row],[Content.Column12]])*1000,"#,##0")</f>
        <v>15,244</v>
      </c>
      <c r="W128" s="13" t="str">
        <f>TEXT(VALUE(Table1[[#This Row],[Content.Column13]])*1000,"#,##0")</f>
        <v>52,152</v>
      </c>
      <c r="X128" s="13" t="str">
        <f>TEXT(VALUE(Table1[[#This Row],[Content.Column14]])*1000,"#,##0")</f>
        <v>54,263</v>
      </c>
      <c r="Y128" s="14" t="str">
        <f>TEXT(VALUE(Table1[[#This Row],[Content.Column3]])*1000,"#,##0")</f>
        <v>45,855</v>
      </c>
      <c r="Z128" s="14" t="str">
        <f>TEXT(VALUE(Table1[[#This Row],[Content.Column4]])*1000,"#,##0")</f>
        <v>21,636</v>
      </c>
      <c r="AA128" s="14" t="str">
        <f>TEXT(VALUE(Table1[[#This Row],[Content.Column5]])*1000,"#,##0")</f>
        <v>67,490</v>
      </c>
      <c r="AB128" s="14" t="str">
        <f>TEXT(VALUE(Table1[[#This Row],[Content.Column6]])*1000,"#,##0")</f>
        <v>69,691</v>
      </c>
    </row>
    <row r="129" spans="1:28" x14ac:dyDescent="0.3">
      <c r="A129" t="s">
        <v>84</v>
      </c>
      <c r="B129" t="s">
        <v>85</v>
      </c>
      <c r="C129" s="6">
        <v>189.81299999999999</v>
      </c>
      <c r="D129" s="1">
        <v>43.209000000000003</v>
      </c>
      <c r="E129" s="1">
        <v>233.02199999999999</v>
      </c>
      <c r="F129" s="1">
        <v>237.65299999999999</v>
      </c>
      <c r="G129" s="2">
        <v>33.738999999999997</v>
      </c>
      <c r="H129" s="2">
        <v>8.8140000000000001</v>
      </c>
      <c r="I129" s="2">
        <v>42.552999999999997</v>
      </c>
      <c r="J129" s="2">
        <v>42.874000000000002</v>
      </c>
      <c r="K129" s="3">
        <v>156.07400000000001</v>
      </c>
      <c r="L129" s="3">
        <v>34.395000000000003</v>
      </c>
      <c r="M129" s="3">
        <v>190.46899999999999</v>
      </c>
      <c r="N129" s="3">
        <v>194.779</v>
      </c>
      <c r="O129">
        <v>2011</v>
      </c>
      <c r="Q129" s="12" t="str">
        <f>TEXT(VALUE(Table1[[#This Row],[Content.Column7]])*1000,"#,##0")</f>
        <v>33,739</v>
      </c>
      <c r="R129" s="12" t="str">
        <f>TEXT(VALUE(Table1[[#This Row],[Content.Column8]])*1000,"#,##0")</f>
        <v>8,814</v>
      </c>
      <c r="S129" s="12" t="str">
        <f>TEXT(VALUE(Table1[[#This Row],[Content.Column9]])*1000,"#,##0")</f>
        <v>42,553</v>
      </c>
      <c r="T129" s="12" t="str">
        <f>TEXT(VALUE(Table1[[#This Row],[Content.Column10]])*1000,"#,##0")</f>
        <v>42,874</v>
      </c>
      <c r="U129" s="13" t="str">
        <f>TEXT(VALUE(Table1[[#This Row],[Content.Column11]])*1000,"#,##0")</f>
        <v>156,074</v>
      </c>
      <c r="V129" s="13" t="str">
        <f>TEXT(VALUE(Table1[[#This Row],[Content.Column12]])*1000,"#,##0")</f>
        <v>34,395</v>
      </c>
      <c r="W129" s="13" t="str">
        <f>TEXT(VALUE(Table1[[#This Row],[Content.Column13]])*1000,"#,##0")</f>
        <v>190,469</v>
      </c>
      <c r="X129" s="13" t="str">
        <f>TEXT(VALUE(Table1[[#This Row],[Content.Column14]])*1000,"#,##0")</f>
        <v>194,779</v>
      </c>
      <c r="Y129" s="14" t="str">
        <f>TEXT(VALUE(Table1[[#This Row],[Content.Column3]])*1000,"#,##0")</f>
        <v>189,813</v>
      </c>
      <c r="Z129" s="14" t="str">
        <f>TEXT(VALUE(Table1[[#This Row],[Content.Column4]])*1000,"#,##0")</f>
        <v>43,209</v>
      </c>
      <c r="AA129" s="14" t="str">
        <f>TEXT(VALUE(Table1[[#This Row],[Content.Column5]])*1000,"#,##0")</f>
        <v>233,022</v>
      </c>
      <c r="AB129" s="14" t="str">
        <f>TEXT(VALUE(Table1[[#This Row],[Content.Column6]])*1000,"#,##0")</f>
        <v>237,653</v>
      </c>
    </row>
    <row r="130" spans="1:28" x14ac:dyDescent="0.3">
      <c r="A130" t="s">
        <v>86</v>
      </c>
      <c r="B130" t="s">
        <v>87</v>
      </c>
      <c r="C130" s="6">
        <v>39.860999999999997</v>
      </c>
      <c r="D130" s="1">
        <v>17.827999999999999</v>
      </c>
      <c r="E130" s="1">
        <v>57.69</v>
      </c>
      <c r="F130" s="1">
        <v>59.820999999999998</v>
      </c>
      <c r="G130" s="2">
        <v>10.747999999999999</v>
      </c>
      <c r="H130" s="2">
        <v>4.9610000000000003</v>
      </c>
      <c r="I130" s="2">
        <v>15.709</v>
      </c>
      <c r="J130" s="2">
        <v>15.821999999999999</v>
      </c>
      <c r="K130" s="3">
        <v>29.114000000000001</v>
      </c>
      <c r="L130" s="3">
        <v>12.867000000000001</v>
      </c>
      <c r="M130" s="3">
        <v>41.981000000000002</v>
      </c>
      <c r="N130" s="3">
        <v>43.999000000000002</v>
      </c>
      <c r="O130">
        <v>2011</v>
      </c>
      <c r="Q130" s="12" t="str">
        <f>TEXT(VALUE(Table1[[#This Row],[Content.Column7]])*1000,"#,##0")</f>
        <v>10,748</v>
      </c>
      <c r="R130" s="12" t="str">
        <f>TEXT(VALUE(Table1[[#This Row],[Content.Column8]])*1000,"#,##0")</f>
        <v>4,961</v>
      </c>
      <c r="S130" s="12" t="str">
        <f>TEXT(VALUE(Table1[[#This Row],[Content.Column9]])*1000,"#,##0")</f>
        <v>15,709</v>
      </c>
      <c r="T130" s="12" t="str">
        <f>TEXT(VALUE(Table1[[#This Row],[Content.Column10]])*1000,"#,##0")</f>
        <v>15,822</v>
      </c>
      <c r="U130" s="13" t="str">
        <f>TEXT(VALUE(Table1[[#This Row],[Content.Column11]])*1000,"#,##0")</f>
        <v>29,114</v>
      </c>
      <c r="V130" s="13" t="str">
        <f>TEXT(VALUE(Table1[[#This Row],[Content.Column12]])*1000,"#,##0")</f>
        <v>12,867</v>
      </c>
      <c r="W130" s="13" t="str">
        <f>TEXT(VALUE(Table1[[#This Row],[Content.Column13]])*1000,"#,##0")</f>
        <v>41,981</v>
      </c>
      <c r="X130" s="13" t="str">
        <f>TEXT(VALUE(Table1[[#This Row],[Content.Column14]])*1000,"#,##0")</f>
        <v>43,999</v>
      </c>
      <c r="Y130" s="14" t="str">
        <f>TEXT(VALUE(Table1[[#This Row],[Content.Column3]])*1000,"#,##0")</f>
        <v>39,861</v>
      </c>
      <c r="Z130" s="14" t="str">
        <f>TEXT(VALUE(Table1[[#This Row],[Content.Column4]])*1000,"#,##0")</f>
        <v>17,828</v>
      </c>
      <c r="AA130" s="14" t="str">
        <f>TEXT(VALUE(Table1[[#This Row],[Content.Column5]])*1000,"#,##0")</f>
        <v>57,690</v>
      </c>
      <c r="AB130" s="14" t="str">
        <f>TEXT(VALUE(Table1[[#This Row],[Content.Column6]])*1000,"#,##0")</f>
        <v>59,821</v>
      </c>
    </row>
    <row r="131" spans="1:28" x14ac:dyDescent="0.3">
      <c r="A131" t="s">
        <v>88</v>
      </c>
      <c r="B131" t="s">
        <v>89</v>
      </c>
      <c r="C131" s="6">
        <v>73.018000000000001</v>
      </c>
      <c r="D131" s="1">
        <v>30.373000000000001</v>
      </c>
      <c r="E131" s="1">
        <v>103.39100000000001</v>
      </c>
      <c r="F131" s="1">
        <v>106.735</v>
      </c>
      <c r="G131" s="2">
        <v>18.937000000000001</v>
      </c>
      <c r="H131" s="2">
        <v>6.1319999999999997</v>
      </c>
      <c r="I131" s="2">
        <v>25.068999999999999</v>
      </c>
      <c r="J131" s="2">
        <v>25.077999999999999</v>
      </c>
      <c r="K131" s="3">
        <v>54.081000000000003</v>
      </c>
      <c r="L131" s="3">
        <v>24.241</v>
      </c>
      <c r="M131" s="3">
        <v>78.322000000000003</v>
      </c>
      <c r="N131" s="3">
        <v>81.656000000000006</v>
      </c>
      <c r="O131">
        <v>2011</v>
      </c>
      <c r="Q131" s="12" t="str">
        <f>TEXT(VALUE(Table1[[#This Row],[Content.Column7]])*1000,"#,##0")</f>
        <v>18,937</v>
      </c>
      <c r="R131" s="12" t="str">
        <f>TEXT(VALUE(Table1[[#This Row],[Content.Column8]])*1000,"#,##0")</f>
        <v>6,132</v>
      </c>
      <c r="S131" s="12" t="str">
        <f>TEXT(VALUE(Table1[[#This Row],[Content.Column9]])*1000,"#,##0")</f>
        <v>25,069</v>
      </c>
      <c r="T131" s="12" t="str">
        <f>TEXT(VALUE(Table1[[#This Row],[Content.Column10]])*1000,"#,##0")</f>
        <v>25,078</v>
      </c>
      <c r="U131" s="13" t="str">
        <f>TEXT(VALUE(Table1[[#This Row],[Content.Column11]])*1000,"#,##0")</f>
        <v>54,081</v>
      </c>
      <c r="V131" s="13" t="str">
        <f>TEXT(VALUE(Table1[[#This Row],[Content.Column12]])*1000,"#,##0")</f>
        <v>24,241</v>
      </c>
      <c r="W131" s="13" t="str">
        <f>TEXT(VALUE(Table1[[#This Row],[Content.Column13]])*1000,"#,##0")</f>
        <v>78,322</v>
      </c>
      <c r="X131" s="13" t="str">
        <f>TEXT(VALUE(Table1[[#This Row],[Content.Column14]])*1000,"#,##0")</f>
        <v>81,656</v>
      </c>
      <c r="Y131" s="14" t="str">
        <f>TEXT(VALUE(Table1[[#This Row],[Content.Column3]])*1000,"#,##0")</f>
        <v>73,018</v>
      </c>
      <c r="Z131" s="14" t="str">
        <f>TEXT(VALUE(Table1[[#This Row],[Content.Column4]])*1000,"#,##0")</f>
        <v>30,373</v>
      </c>
      <c r="AA131" s="14" t="str">
        <f>TEXT(VALUE(Table1[[#This Row],[Content.Column5]])*1000,"#,##0")</f>
        <v>103,391</v>
      </c>
      <c r="AB131" s="14" t="str">
        <f>TEXT(VALUE(Table1[[#This Row],[Content.Column6]])*1000,"#,##0")</f>
        <v>106,735</v>
      </c>
    </row>
    <row r="132" spans="1:28" x14ac:dyDescent="0.3">
      <c r="A132" t="s">
        <v>90</v>
      </c>
      <c r="B132" t="s">
        <v>91</v>
      </c>
      <c r="C132" s="6">
        <v>479.73099999999999</v>
      </c>
      <c r="D132" s="1">
        <v>141.441</v>
      </c>
      <c r="E132" s="1">
        <v>621.17200000000003</v>
      </c>
      <c r="F132" s="1">
        <v>644.20000000000005</v>
      </c>
      <c r="G132" s="2">
        <v>71.787999999999997</v>
      </c>
      <c r="H132" s="2">
        <v>14.388999999999999</v>
      </c>
      <c r="I132" s="2">
        <v>86.176000000000002</v>
      </c>
      <c r="J132" s="2">
        <v>86.843999999999994</v>
      </c>
      <c r="K132" s="3">
        <v>407.94299999999998</v>
      </c>
      <c r="L132" s="3">
        <v>127.053</v>
      </c>
      <c r="M132" s="3">
        <v>534.99599999999998</v>
      </c>
      <c r="N132" s="3">
        <v>557.35500000000002</v>
      </c>
      <c r="O132">
        <v>2011</v>
      </c>
      <c r="Q132" s="12" t="str">
        <f>TEXT(VALUE(Table1[[#This Row],[Content.Column7]])*1000,"#,##0")</f>
        <v>71,788</v>
      </c>
      <c r="R132" s="12" t="str">
        <f>TEXT(VALUE(Table1[[#This Row],[Content.Column8]])*1000,"#,##0")</f>
        <v>14,389</v>
      </c>
      <c r="S132" s="12" t="str">
        <f>TEXT(VALUE(Table1[[#This Row],[Content.Column9]])*1000,"#,##0")</f>
        <v>86,176</v>
      </c>
      <c r="T132" s="12" t="str">
        <f>TEXT(VALUE(Table1[[#This Row],[Content.Column10]])*1000,"#,##0")</f>
        <v>86,844</v>
      </c>
      <c r="U132" s="13" t="str">
        <f>TEXT(VALUE(Table1[[#This Row],[Content.Column11]])*1000,"#,##0")</f>
        <v>407,943</v>
      </c>
      <c r="V132" s="13" t="str">
        <f>TEXT(VALUE(Table1[[#This Row],[Content.Column12]])*1000,"#,##0")</f>
        <v>127,053</v>
      </c>
      <c r="W132" s="13" t="str">
        <f>TEXT(VALUE(Table1[[#This Row],[Content.Column13]])*1000,"#,##0")</f>
        <v>534,996</v>
      </c>
      <c r="X132" s="13" t="str">
        <f>TEXT(VALUE(Table1[[#This Row],[Content.Column14]])*1000,"#,##0")</f>
        <v>557,355</v>
      </c>
      <c r="Y132" s="14" t="str">
        <f>TEXT(VALUE(Table1[[#This Row],[Content.Column3]])*1000,"#,##0")</f>
        <v>479,731</v>
      </c>
      <c r="Z132" s="14" t="str">
        <f>TEXT(VALUE(Table1[[#This Row],[Content.Column4]])*1000,"#,##0")</f>
        <v>141,441</v>
      </c>
      <c r="AA132" s="14" t="str">
        <f>TEXT(VALUE(Table1[[#This Row],[Content.Column5]])*1000,"#,##0")</f>
        <v>621,172</v>
      </c>
      <c r="AB132" s="14" t="str">
        <f>TEXT(VALUE(Table1[[#This Row],[Content.Column6]])*1000,"#,##0")</f>
        <v>644,200</v>
      </c>
    </row>
    <row r="133" spans="1:28" x14ac:dyDescent="0.3">
      <c r="A133" t="s">
        <v>92</v>
      </c>
      <c r="B133" t="s">
        <v>93</v>
      </c>
      <c r="C133" s="6">
        <v>2042.825</v>
      </c>
      <c r="D133" s="1">
        <v>602.59900000000005</v>
      </c>
      <c r="E133" s="1">
        <v>2645.424</v>
      </c>
      <c r="F133" s="1">
        <v>2738.1149999999998</v>
      </c>
      <c r="G133" s="2">
        <v>356.31599999999997</v>
      </c>
      <c r="H133" s="2">
        <v>88.533000000000001</v>
      </c>
      <c r="I133" s="2">
        <v>444.84800000000001</v>
      </c>
      <c r="J133" s="2">
        <v>446.64699999999999</v>
      </c>
      <c r="K133" s="3">
        <v>1686.509</v>
      </c>
      <c r="L133" s="3">
        <v>514.06700000000001</v>
      </c>
      <c r="M133" s="3">
        <v>2200.5749999999998</v>
      </c>
      <c r="N133" s="3">
        <v>2291.4679999999998</v>
      </c>
      <c r="O133">
        <v>2011</v>
      </c>
      <c r="Q133" s="12" t="str">
        <f>TEXT(VALUE(Table1[[#This Row],[Content.Column7]])*1000,"#,##0")</f>
        <v>356,316</v>
      </c>
      <c r="R133" s="12" t="str">
        <f>TEXT(VALUE(Table1[[#This Row],[Content.Column8]])*1000,"#,##0")</f>
        <v>88,533</v>
      </c>
      <c r="S133" s="12" t="str">
        <f>TEXT(VALUE(Table1[[#This Row],[Content.Column9]])*1000,"#,##0")</f>
        <v>444,848</v>
      </c>
      <c r="T133" s="12" t="str">
        <f>TEXT(VALUE(Table1[[#This Row],[Content.Column10]])*1000,"#,##0")</f>
        <v>446,647</v>
      </c>
      <c r="U133" s="13" t="str">
        <f>TEXT(VALUE(Table1[[#This Row],[Content.Column11]])*1000,"#,##0")</f>
        <v>1,686,509</v>
      </c>
      <c r="V133" s="13" t="str">
        <f>TEXT(VALUE(Table1[[#This Row],[Content.Column12]])*1000,"#,##0")</f>
        <v>514,067</v>
      </c>
      <c r="W133" s="13" t="str">
        <f>TEXT(VALUE(Table1[[#This Row],[Content.Column13]])*1000,"#,##0")</f>
        <v>2,200,575</v>
      </c>
      <c r="X133" s="13" t="str">
        <f>TEXT(VALUE(Table1[[#This Row],[Content.Column14]])*1000,"#,##0")</f>
        <v>2,291,468</v>
      </c>
      <c r="Y133" s="14" t="str">
        <f>TEXT(VALUE(Table1[[#This Row],[Content.Column3]])*1000,"#,##0")</f>
        <v>2,042,825</v>
      </c>
      <c r="Z133" s="14" t="str">
        <f>TEXT(VALUE(Table1[[#This Row],[Content.Column4]])*1000,"#,##0")</f>
        <v>602,599</v>
      </c>
      <c r="AA133" s="14" t="str">
        <f>TEXT(VALUE(Table1[[#This Row],[Content.Column5]])*1000,"#,##0")</f>
        <v>2,645,424</v>
      </c>
      <c r="AB133" s="14" t="str">
        <f>TEXT(VALUE(Table1[[#This Row],[Content.Column6]])*1000,"#,##0")</f>
        <v>2,738,115</v>
      </c>
    </row>
    <row r="134" spans="1:28" x14ac:dyDescent="0.3">
      <c r="A134" t="s">
        <v>94</v>
      </c>
      <c r="B134" t="s">
        <v>95</v>
      </c>
      <c r="C134" s="6">
        <v>1123.6669999999999</v>
      </c>
      <c r="D134" s="1">
        <v>534.25300000000004</v>
      </c>
      <c r="E134" s="1">
        <v>1657.9190000000001</v>
      </c>
      <c r="F134" s="1">
        <v>1710.701</v>
      </c>
      <c r="G134" s="2">
        <v>208.76400000000001</v>
      </c>
      <c r="H134" s="2">
        <v>129.76300000000001</v>
      </c>
      <c r="I134" s="2">
        <v>338.52699999999999</v>
      </c>
      <c r="J134" s="2">
        <v>339.31599999999997</v>
      </c>
      <c r="K134" s="3">
        <v>914.90300000000002</v>
      </c>
      <c r="L134" s="3">
        <v>404.48899999999998</v>
      </c>
      <c r="M134" s="3">
        <v>1319.3920000000001</v>
      </c>
      <c r="N134" s="3">
        <v>1371.384</v>
      </c>
      <c r="O134">
        <v>2011</v>
      </c>
      <c r="Q134" s="12" t="str">
        <f>TEXT(VALUE(Table1[[#This Row],[Content.Column7]])*1000,"#,##0")</f>
        <v>208,764</v>
      </c>
      <c r="R134" s="12" t="str">
        <f>TEXT(VALUE(Table1[[#This Row],[Content.Column8]])*1000,"#,##0")</f>
        <v>129,763</v>
      </c>
      <c r="S134" s="12" t="str">
        <f>TEXT(VALUE(Table1[[#This Row],[Content.Column9]])*1000,"#,##0")</f>
        <v>338,527</v>
      </c>
      <c r="T134" s="12" t="str">
        <f>TEXT(VALUE(Table1[[#This Row],[Content.Column10]])*1000,"#,##0")</f>
        <v>339,316</v>
      </c>
      <c r="U134" s="13" t="str">
        <f>TEXT(VALUE(Table1[[#This Row],[Content.Column11]])*1000,"#,##0")</f>
        <v>914,903</v>
      </c>
      <c r="V134" s="13" t="str">
        <f>TEXT(VALUE(Table1[[#This Row],[Content.Column12]])*1000,"#,##0")</f>
        <v>404,489</v>
      </c>
      <c r="W134" s="13" t="str">
        <f>TEXT(VALUE(Table1[[#This Row],[Content.Column13]])*1000,"#,##0")</f>
        <v>1,319,392</v>
      </c>
      <c r="X134" s="13" t="str">
        <f>TEXT(VALUE(Table1[[#This Row],[Content.Column14]])*1000,"#,##0")</f>
        <v>1,371,384</v>
      </c>
      <c r="Y134" s="14" t="str">
        <f>TEXT(VALUE(Table1[[#This Row],[Content.Column3]])*1000,"#,##0")</f>
        <v>1,123,667</v>
      </c>
      <c r="Z134" s="14" t="str">
        <f>TEXT(VALUE(Table1[[#This Row],[Content.Column4]])*1000,"#,##0")</f>
        <v>534,253</v>
      </c>
      <c r="AA134" s="14" t="str">
        <f>TEXT(VALUE(Table1[[#This Row],[Content.Column5]])*1000,"#,##0")</f>
        <v>1,657,919</v>
      </c>
      <c r="AB134" s="14" t="str">
        <f>TEXT(VALUE(Table1[[#This Row],[Content.Column6]])*1000,"#,##0")</f>
        <v>1,710,701</v>
      </c>
    </row>
    <row r="135" spans="1:28" x14ac:dyDescent="0.3">
      <c r="A135" t="s">
        <v>96</v>
      </c>
      <c r="B135" t="s">
        <v>97</v>
      </c>
      <c r="C135" s="6">
        <v>665.21900000000005</v>
      </c>
      <c r="D135" s="1">
        <v>340.91199999999998</v>
      </c>
      <c r="E135" s="1">
        <v>1006.131</v>
      </c>
      <c r="F135" s="1">
        <v>1036.4780000000001</v>
      </c>
      <c r="G135" s="2">
        <v>170.958</v>
      </c>
      <c r="H135" s="2">
        <v>100.746</v>
      </c>
      <c r="I135" s="2">
        <v>271.70299999999997</v>
      </c>
      <c r="J135" s="2">
        <v>278.971</v>
      </c>
      <c r="K135" s="3">
        <v>494.26100000000002</v>
      </c>
      <c r="L135" s="3">
        <v>240.166</v>
      </c>
      <c r="M135" s="3">
        <v>734.428</v>
      </c>
      <c r="N135" s="3">
        <v>757.50699999999995</v>
      </c>
      <c r="O135">
        <v>2011</v>
      </c>
      <c r="Q135" s="12" t="str">
        <f>TEXT(VALUE(Table1[[#This Row],[Content.Column7]])*1000,"#,##0")</f>
        <v>170,958</v>
      </c>
      <c r="R135" s="12" t="str">
        <f>TEXT(VALUE(Table1[[#This Row],[Content.Column8]])*1000,"#,##0")</f>
        <v>100,746</v>
      </c>
      <c r="S135" s="12" t="str">
        <f>TEXT(VALUE(Table1[[#This Row],[Content.Column9]])*1000,"#,##0")</f>
        <v>271,703</v>
      </c>
      <c r="T135" s="12" t="str">
        <f>TEXT(VALUE(Table1[[#This Row],[Content.Column10]])*1000,"#,##0")</f>
        <v>278,971</v>
      </c>
      <c r="U135" s="13" t="str">
        <f>TEXT(VALUE(Table1[[#This Row],[Content.Column11]])*1000,"#,##0")</f>
        <v>494,261</v>
      </c>
      <c r="V135" s="13" t="str">
        <f>TEXT(VALUE(Table1[[#This Row],[Content.Column12]])*1000,"#,##0")</f>
        <v>240,166</v>
      </c>
      <c r="W135" s="13" t="str">
        <f>TEXT(VALUE(Table1[[#This Row],[Content.Column13]])*1000,"#,##0")</f>
        <v>734,428</v>
      </c>
      <c r="X135" s="13" t="str">
        <f>TEXT(VALUE(Table1[[#This Row],[Content.Column14]])*1000,"#,##0")</f>
        <v>757,507</v>
      </c>
      <c r="Y135" s="14" t="str">
        <f>TEXT(VALUE(Table1[[#This Row],[Content.Column3]])*1000,"#,##0")</f>
        <v>665,219</v>
      </c>
      <c r="Z135" s="14" t="str">
        <f>TEXT(VALUE(Table1[[#This Row],[Content.Column4]])*1000,"#,##0")</f>
        <v>340,912</v>
      </c>
      <c r="AA135" s="14" t="str">
        <f>TEXT(VALUE(Table1[[#This Row],[Content.Column5]])*1000,"#,##0")</f>
        <v>1,006,131</v>
      </c>
      <c r="AB135" s="14" t="str">
        <f>TEXT(VALUE(Table1[[#This Row],[Content.Column6]])*1000,"#,##0")</f>
        <v>1,036,478</v>
      </c>
    </row>
    <row r="136" spans="1:28" x14ac:dyDescent="0.3">
      <c r="A136" t="s">
        <v>98</v>
      </c>
      <c r="B136" t="s">
        <v>99</v>
      </c>
      <c r="C136" s="6">
        <v>2022.54</v>
      </c>
      <c r="D136" s="1">
        <v>954.72</v>
      </c>
      <c r="E136" s="1">
        <v>2977.26</v>
      </c>
      <c r="F136" s="1">
        <v>3086.09</v>
      </c>
      <c r="G136" s="2">
        <v>426.67399999999998</v>
      </c>
      <c r="H136" s="2">
        <v>260.04599999999999</v>
      </c>
      <c r="I136" s="2">
        <v>686.72</v>
      </c>
      <c r="J136" s="2">
        <v>709.447</v>
      </c>
      <c r="K136" s="3">
        <v>1595.866</v>
      </c>
      <c r="L136" s="3">
        <v>694.67399999999998</v>
      </c>
      <c r="M136" s="3">
        <v>2290.5410000000002</v>
      </c>
      <c r="N136" s="3">
        <v>2376.643</v>
      </c>
      <c r="O136">
        <v>2011</v>
      </c>
      <c r="Q136" s="12" t="str">
        <f>TEXT(VALUE(Table1[[#This Row],[Content.Column7]])*1000,"#,##0")</f>
        <v>426,674</v>
      </c>
      <c r="R136" s="12" t="str">
        <f>TEXT(VALUE(Table1[[#This Row],[Content.Column8]])*1000,"#,##0")</f>
        <v>260,046</v>
      </c>
      <c r="S136" s="12" t="str">
        <f>TEXT(VALUE(Table1[[#This Row],[Content.Column9]])*1000,"#,##0")</f>
        <v>686,720</v>
      </c>
      <c r="T136" s="12" t="str">
        <f>TEXT(VALUE(Table1[[#This Row],[Content.Column10]])*1000,"#,##0")</f>
        <v>709,447</v>
      </c>
      <c r="U136" s="13" t="str">
        <f>TEXT(VALUE(Table1[[#This Row],[Content.Column11]])*1000,"#,##0")</f>
        <v>1,595,866</v>
      </c>
      <c r="V136" s="13" t="str">
        <f>TEXT(VALUE(Table1[[#This Row],[Content.Column12]])*1000,"#,##0")</f>
        <v>694,674</v>
      </c>
      <c r="W136" s="13" t="str">
        <f>TEXT(VALUE(Table1[[#This Row],[Content.Column13]])*1000,"#,##0")</f>
        <v>2,290,541</v>
      </c>
      <c r="X136" s="13" t="str">
        <f>TEXT(VALUE(Table1[[#This Row],[Content.Column14]])*1000,"#,##0")</f>
        <v>2,376,643</v>
      </c>
      <c r="Y136" s="14" t="str">
        <f>TEXT(VALUE(Table1[[#This Row],[Content.Column3]])*1000,"#,##0")</f>
        <v>2,022,540</v>
      </c>
      <c r="Z136" s="14" t="str">
        <f>TEXT(VALUE(Table1[[#This Row],[Content.Column4]])*1000,"#,##0")</f>
        <v>954,720</v>
      </c>
      <c r="AA136" s="14" t="str">
        <f>TEXT(VALUE(Table1[[#This Row],[Content.Column5]])*1000,"#,##0")</f>
        <v>2,977,260</v>
      </c>
      <c r="AB136" s="14" t="str">
        <f>TEXT(VALUE(Table1[[#This Row],[Content.Column6]])*1000,"#,##0")</f>
        <v>3,086,090</v>
      </c>
    </row>
    <row r="137" spans="1:28" x14ac:dyDescent="0.3">
      <c r="A137" t="s">
        <v>100</v>
      </c>
      <c r="B137" t="s">
        <v>101</v>
      </c>
      <c r="C137" s="6">
        <v>1462</v>
      </c>
      <c r="D137" s="1">
        <v>722.21699999999998</v>
      </c>
      <c r="E137" s="1">
        <v>2184.2159999999999</v>
      </c>
      <c r="F137" s="1">
        <v>2274.11</v>
      </c>
      <c r="G137" s="2">
        <v>317.36</v>
      </c>
      <c r="H137" s="2">
        <v>212.26599999999999</v>
      </c>
      <c r="I137" s="2">
        <v>529.625</v>
      </c>
      <c r="J137" s="2">
        <v>551.327</v>
      </c>
      <c r="K137" s="3">
        <v>1144.6400000000001</v>
      </c>
      <c r="L137" s="3">
        <v>509.95100000000002</v>
      </c>
      <c r="M137" s="3">
        <v>1654.59</v>
      </c>
      <c r="N137" s="3">
        <v>1722.7829999999999</v>
      </c>
      <c r="O137">
        <v>2011</v>
      </c>
      <c r="Q137" s="12" t="str">
        <f>TEXT(VALUE(Table1[[#This Row],[Content.Column7]])*1000,"#,##0")</f>
        <v>317,360</v>
      </c>
      <c r="R137" s="12" t="str">
        <f>TEXT(VALUE(Table1[[#This Row],[Content.Column8]])*1000,"#,##0")</f>
        <v>212,266</v>
      </c>
      <c r="S137" s="12" t="str">
        <f>TEXT(VALUE(Table1[[#This Row],[Content.Column9]])*1000,"#,##0")</f>
        <v>529,625</v>
      </c>
      <c r="T137" s="12" t="str">
        <f>TEXT(VALUE(Table1[[#This Row],[Content.Column10]])*1000,"#,##0")</f>
        <v>551,327</v>
      </c>
      <c r="U137" s="13" t="str">
        <f>TEXT(VALUE(Table1[[#This Row],[Content.Column11]])*1000,"#,##0")</f>
        <v>1,144,640</v>
      </c>
      <c r="V137" s="13" t="str">
        <f>TEXT(VALUE(Table1[[#This Row],[Content.Column12]])*1000,"#,##0")</f>
        <v>509,951</v>
      </c>
      <c r="W137" s="13" t="str">
        <f>TEXT(VALUE(Table1[[#This Row],[Content.Column13]])*1000,"#,##0")</f>
        <v>1,654,590</v>
      </c>
      <c r="X137" s="13" t="str">
        <f>TEXT(VALUE(Table1[[#This Row],[Content.Column14]])*1000,"#,##0")</f>
        <v>1,722,783</v>
      </c>
      <c r="Y137" s="14" t="str">
        <f>TEXT(VALUE(Table1[[#This Row],[Content.Column3]])*1000,"#,##0")</f>
        <v>1,462,000</v>
      </c>
      <c r="Z137" s="14" t="str">
        <f>TEXT(VALUE(Table1[[#This Row],[Content.Column4]])*1000,"#,##0")</f>
        <v>722,217</v>
      </c>
      <c r="AA137" s="14" t="str">
        <f>TEXT(VALUE(Table1[[#This Row],[Content.Column5]])*1000,"#,##0")</f>
        <v>2,184,216</v>
      </c>
      <c r="AB137" s="14" t="str">
        <f>TEXT(VALUE(Table1[[#This Row],[Content.Column6]])*1000,"#,##0")</f>
        <v>2,274,110</v>
      </c>
    </row>
    <row r="138" spans="1:28" x14ac:dyDescent="0.3">
      <c r="A138" t="s">
        <v>102</v>
      </c>
      <c r="B138" t="s">
        <v>103</v>
      </c>
      <c r="C138" s="6">
        <v>1283.913</v>
      </c>
      <c r="D138" s="1">
        <v>617.59699999999998</v>
      </c>
      <c r="E138" s="1">
        <v>1901.51</v>
      </c>
      <c r="F138" s="1">
        <v>1982.3969999999999</v>
      </c>
      <c r="G138" s="2">
        <v>225.018</v>
      </c>
      <c r="H138" s="2">
        <v>178.488</v>
      </c>
      <c r="I138" s="2">
        <v>403.50700000000001</v>
      </c>
      <c r="J138" s="2">
        <v>423.52100000000002</v>
      </c>
      <c r="K138" s="3">
        <v>1058.895</v>
      </c>
      <c r="L138" s="3">
        <v>439.108</v>
      </c>
      <c r="M138" s="3">
        <v>1498.0029999999999</v>
      </c>
      <c r="N138" s="3">
        <v>1558.876</v>
      </c>
      <c r="O138">
        <v>2011</v>
      </c>
      <c r="Q138" s="12" t="str">
        <f>TEXT(VALUE(Table1[[#This Row],[Content.Column7]])*1000,"#,##0")</f>
        <v>225,018</v>
      </c>
      <c r="R138" s="12" t="str">
        <f>TEXT(VALUE(Table1[[#This Row],[Content.Column8]])*1000,"#,##0")</f>
        <v>178,488</v>
      </c>
      <c r="S138" s="12" t="str">
        <f>TEXT(VALUE(Table1[[#This Row],[Content.Column9]])*1000,"#,##0")</f>
        <v>403,507</v>
      </c>
      <c r="T138" s="12" t="str">
        <f>TEXT(VALUE(Table1[[#This Row],[Content.Column10]])*1000,"#,##0")</f>
        <v>423,521</v>
      </c>
      <c r="U138" s="13" t="str">
        <f>TEXT(VALUE(Table1[[#This Row],[Content.Column11]])*1000,"#,##0")</f>
        <v>1,058,895</v>
      </c>
      <c r="V138" s="13" t="str">
        <f>TEXT(VALUE(Table1[[#This Row],[Content.Column12]])*1000,"#,##0")</f>
        <v>439,108</v>
      </c>
      <c r="W138" s="13" t="str">
        <f>TEXT(VALUE(Table1[[#This Row],[Content.Column13]])*1000,"#,##0")</f>
        <v>1,498,003</v>
      </c>
      <c r="X138" s="13" t="str">
        <f>TEXT(VALUE(Table1[[#This Row],[Content.Column14]])*1000,"#,##0")</f>
        <v>1,558,876</v>
      </c>
      <c r="Y138" s="14" t="str">
        <f>TEXT(VALUE(Table1[[#This Row],[Content.Column3]])*1000,"#,##0")</f>
        <v>1,283,913</v>
      </c>
      <c r="Z138" s="14" t="str">
        <f>TEXT(VALUE(Table1[[#This Row],[Content.Column4]])*1000,"#,##0")</f>
        <v>617,597</v>
      </c>
      <c r="AA138" s="14" t="str">
        <f>TEXT(VALUE(Table1[[#This Row],[Content.Column5]])*1000,"#,##0")</f>
        <v>1,901,510</v>
      </c>
      <c r="AB138" s="14" t="str">
        <f>TEXT(VALUE(Table1[[#This Row],[Content.Column6]])*1000,"#,##0")</f>
        <v>1,982,397</v>
      </c>
    </row>
    <row r="139" spans="1:28" x14ac:dyDescent="0.3">
      <c r="A139" t="s">
        <v>104</v>
      </c>
      <c r="B139" t="s">
        <v>105</v>
      </c>
      <c r="C139" s="6">
        <v>1557.069</v>
      </c>
      <c r="D139" s="1">
        <v>744.43700000000001</v>
      </c>
      <c r="E139" s="1">
        <v>2301.5070000000001</v>
      </c>
      <c r="F139" s="1">
        <v>2400.9780000000001</v>
      </c>
      <c r="G139" s="2">
        <v>303.39400000000001</v>
      </c>
      <c r="H139" s="2">
        <v>216.809</v>
      </c>
      <c r="I139" s="2">
        <v>520.20399999999995</v>
      </c>
      <c r="J139" s="2">
        <v>543.78300000000002</v>
      </c>
      <c r="K139" s="3">
        <v>1253.675</v>
      </c>
      <c r="L139" s="3">
        <v>527.62800000000004</v>
      </c>
      <c r="M139" s="3">
        <v>1781.3030000000001</v>
      </c>
      <c r="N139" s="3">
        <v>1857.1949999999999</v>
      </c>
      <c r="O139">
        <v>2011</v>
      </c>
      <c r="Q139" s="12" t="str">
        <f>TEXT(VALUE(Table1[[#This Row],[Content.Column7]])*1000,"#,##0")</f>
        <v>303,394</v>
      </c>
      <c r="R139" s="12" t="str">
        <f>TEXT(VALUE(Table1[[#This Row],[Content.Column8]])*1000,"#,##0")</f>
        <v>216,809</v>
      </c>
      <c r="S139" s="12" t="str">
        <f>TEXT(VALUE(Table1[[#This Row],[Content.Column9]])*1000,"#,##0")</f>
        <v>520,204</v>
      </c>
      <c r="T139" s="12" t="str">
        <f>TEXT(VALUE(Table1[[#This Row],[Content.Column10]])*1000,"#,##0")</f>
        <v>543,783</v>
      </c>
      <c r="U139" s="13" t="str">
        <f>TEXT(VALUE(Table1[[#This Row],[Content.Column11]])*1000,"#,##0")</f>
        <v>1,253,675</v>
      </c>
      <c r="V139" s="13" t="str">
        <f>TEXT(VALUE(Table1[[#This Row],[Content.Column12]])*1000,"#,##0")</f>
        <v>527,628</v>
      </c>
      <c r="W139" s="13" t="str">
        <f>TEXT(VALUE(Table1[[#This Row],[Content.Column13]])*1000,"#,##0")</f>
        <v>1,781,303</v>
      </c>
      <c r="X139" s="13" t="str">
        <f>TEXT(VALUE(Table1[[#This Row],[Content.Column14]])*1000,"#,##0")</f>
        <v>1,857,195</v>
      </c>
      <c r="Y139" s="14" t="str">
        <f>TEXT(VALUE(Table1[[#This Row],[Content.Column3]])*1000,"#,##0")</f>
        <v>1,557,069</v>
      </c>
      <c r="Z139" s="14" t="str">
        <f>TEXT(VALUE(Table1[[#This Row],[Content.Column4]])*1000,"#,##0")</f>
        <v>744,437</v>
      </c>
      <c r="AA139" s="14" t="str">
        <f>TEXT(VALUE(Table1[[#This Row],[Content.Column5]])*1000,"#,##0")</f>
        <v>2,301,507</v>
      </c>
      <c r="AB139" s="14" t="str">
        <f>TEXT(VALUE(Table1[[#This Row],[Content.Column6]])*1000,"#,##0")</f>
        <v>2,400,978</v>
      </c>
    </row>
    <row r="140" spans="1:28" x14ac:dyDescent="0.3">
      <c r="A140" t="s">
        <v>106</v>
      </c>
      <c r="B140" t="s">
        <v>107</v>
      </c>
      <c r="C140" s="6">
        <v>1562.7529999999999</v>
      </c>
      <c r="D140" s="1">
        <v>842.52200000000005</v>
      </c>
      <c r="E140" s="1">
        <v>2405.2759999999998</v>
      </c>
      <c r="F140" s="1">
        <v>2518.2649999999999</v>
      </c>
      <c r="G140" s="2">
        <v>275.75099999999998</v>
      </c>
      <c r="H140" s="2">
        <v>210.52600000000001</v>
      </c>
      <c r="I140" s="2">
        <v>486.27699999999999</v>
      </c>
      <c r="J140" s="2">
        <v>506.459</v>
      </c>
      <c r="K140" s="3">
        <v>1287.002</v>
      </c>
      <c r="L140" s="3">
        <v>631.99599999999998</v>
      </c>
      <c r="M140" s="3">
        <v>1918.999</v>
      </c>
      <c r="N140" s="3">
        <v>2011.806</v>
      </c>
      <c r="O140">
        <v>2011</v>
      </c>
      <c r="Q140" s="12" t="str">
        <f>TEXT(VALUE(Table1[[#This Row],[Content.Column7]])*1000,"#,##0")</f>
        <v>275,751</v>
      </c>
      <c r="R140" s="12" t="str">
        <f>TEXT(VALUE(Table1[[#This Row],[Content.Column8]])*1000,"#,##0")</f>
        <v>210,526</v>
      </c>
      <c r="S140" s="12" t="str">
        <f>TEXT(VALUE(Table1[[#This Row],[Content.Column9]])*1000,"#,##0")</f>
        <v>486,277</v>
      </c>
      <c r="T140" s="12" t="str">
        <f>TEXT(VALUE(Table1[[#This Row],[Content.Column10]])*1000,"#,##0")</f>
        <v>506,459</v>
      </c>
      <c r="U140" s="13" t="str">
        <f>TEXT(VALUE(Table1[[#This Row],[Content.Column11]])*1000,"#,##0")</f>
        <v>1,287,002</v>
      </c>
      <c r="V140" s="13" t="str">
        <f>TEXT(VALUE(Table1[[#This Row],[Content.Column12]])*1000,"#,##0")</f>
        <v>631,996</v>
      </c>
      <c r="W140" s="13" t="str">
        <f>TEXT(VALUE(Table1[[#This Row],[Content.Column13]])*1000,"#,##0")</f>
        <v>1,918,999</v>
      </c>
      <c r="X140" s="13" t="str">
        <f>TEXT(VALUE(Table1[[#This Row],[Content.Column14]])*1000,"#,##0")</f>
        <v>2,011,806</v>
      </c>
      <c r="Y140" s="14" t="str">
        <f>TEXT(VALUE(Table1[[#This Row],[Content.Column3]])*1000,"#,##0")</f>
        <v>1,562,753</v>
      </c>
      <c r="Z140" s="14" t="str">
        <f>TEXT(VALUE(Table1[[#This Row],[Content.Column4]])*1000,"#,##0")</f>
        <v>842,522</v>
      </c>
      <c r="AA140" s="14" t="str">
        <f>TEXT(VALUE(Table1[[#This Row],[Content.Column5]])*1000,"#,##0")</f>
        <v>2,405,276</v>
      </c>
      <c r="AB140" s="14" t="str">
        <f>TEXT(VALUE(Table1[[#This Row],[Content.Column6]])*1000,"#,##0")</f>
        <v>2,518,265</v>
      </c>
    </row>
    <row r="141" spans="1:28" x14ac:dyDescent="0.3">
      <c r="A141" t="s">
        <v>108</v>
      </c>
      <c r="B141" t="s">
        <v>109</v>
      </c>
      <c r="C141" s="6">
        <v>3166.77</v>
      </c>
      <c r="D141" s="1">
        <v>1136.954</v>
      </c>
      <c r="E141" s="1">
        <v>4303.723</v>
      </c>
      <c r="F141" s="1">
        <v>4449.5200000000004</v>
      </c>
      <c r="G141" s="2">
        <v>565.35699999999997</v>
      </c>
      <c r="H141" s="2">
        <v>218.398</v>
      </c>
      <c r="I141" s="2">
        <v>783.75599999999997</v>
      </c>
      <c r="J141" s="2">
        <v>786.66800000000001</v>
      </c>
      <c r="K141" s="3">
        <v>2601.4119999999998</v>
      </c>
      <c r="L141" s="3">
        <v>918.55600000000004</v>
      </c>
      <c r="M141" s="3">
        <v>3519.9670000000001</v>
      </c>
      <c r="N141" s="3">
        <v>3662.8519999999999</v>
      </c>
      <c r="O141">
        <v>2011</v>
      </c>
      <c r="Q141" s="12" t="str">
        <f>TEXT(VALUE(Table1[[#This Row],[Content.Column7]])*1000,"#,##0")</f>
        <v>565,357</v>
      </c>
      <c r="R141" s="12" t="str">
        <f>TEXT(VALUE(Table1[[#This Row],[Content.Column8]])*1000,"#,##0")</f>
        <v>218,398</v>
      </c>
      <c r="S141" s="12" t="str">
        <f>TEXT(VALUE(Table1[[#This Row],[Content.Column9]])*1000,"#,##0")</f>
        <v>783,756</v>
      </c>
      <c r="T141" s="12" t="str">
        <f>TEXT(VALUE(Table1[[#This Row],[Content.Column10]])*1000,"#,##0")</f>
        <v>786,668</v>
      </c>
      <c r="U141" s="13" t="str">
        <f>TEXT(VALUE(Table1[[#This Row],[Content.Column11]])*1000,"#,##0")</f>
        <v>2,601,412</v>
      </c>
      <c r="V141" s="13" t="str">
        <f>TEXT(VALUE(Table1[[#This Row],[Content.Column12]])*1000,"#,##0")</f>
        <v>918,556</v>
      </c>
      <c r="W141" s="13" t="str">
        <f>TEXT(VALUE(Table1[[#This Row],[Content.Column13]])*1000,"#,##0")</f>
        <v>3,519,967</v>
      </c>
      <c r="X141" s="13" t="str">
        <f>TEXT(VALUE(Table1[[#This Row],[Content.Column14]])*1000,"#,##0")</f>
        <v>3,662,852</v>
      </c>
      <c r="Y141" s="14" t="str">
        <f>TEXT(VALUE(Table1[[#This Row],[Content.Column3]])*1000,"#,##0")</f>
        <v>3,166,770</v>
      </c>
      <c r="Z141" s="14" t="str">
        <f>TEXT(VALUE(Table1[[#This Row],[Content.Column4]])*1000,"#,##0")</f>
        <v>1,136,954</v>
      </c>
      <c r="AA141" s="14" t="str">
        <f>TEXT(VALUE(Table1[[#This Row],[Content.Column5]])*1000,"#,##0")</f>
        <v>4,303,723</v>
      </c>
      <c r="AB141" s="14" t="str">
        <f>TEXT(VALUE(Table1[[#This Row],[Content.Column6]])*1000,"#,##0")</f>
        <v>4,449,520</v>
      </c>
    </row>
    <row r="142" spans="1:28" x14ac:dyDescent="0.3">
      <c r="A142" t="s">
        <v>110</v>
      </c>
      <c r="B142" t="s">
        <v>111</v>
      </c>
      <c r="C142" s="6">
        <v>2489.5070000000001</v>
      </c>
      <c r="D142" s="1">
        <v>1266.443</v>
      </c>
      <c r="E142" s="1">
        <v>3755.95</v>
      </c>
      <c r="F142" s="1">
        <v>3920.7840000000001</v>
      </c>
      <c r="G142" s="2">
        <v>422.18099999999998</v>
      </c>
      <c r="H142" s="2">
        <v>273.44200000000001</v>
      </c>
      <c r="I142" s="2">
        <v>695.62400000000002</v>
      </c>
      <c r="J142" s="2">
        <v>717.72400000000005</v>
      </c>
      <c r="K142" s="3">
        <v>2067.326</v>
      </c>
      <c r="L142" s="3">
        <v>993.00099999999998</v>
      </c>
      <c r="M142" s="3">
        <v>3060.3270000000002</v>
      </c>
      <c r="N142" s="3">
        <v>3203.06</v>
      </c>
      <c r="O142">
        <v>2011</v>
      </c>
      <c r="Q142" s="12" t="str">
        <f>TEXT(VALUE(Table1[[#This Row],[Content.Column7]])*1000,"#,##0")</f>
        <v>422,181</v>
      </c>
      <c r="R142" s="12" t="str">
        <f>TEXT(VALUE(Table1[[#This Row],[Content.Column8]])*1000,"#,##0")</f>
        <v>273,442</v>
      </c>
      <c r="S142" s="12" t="str">
        <f>TEXT(VALUE(Table1[[#This Row],[Content.Column9]])*1000,"#,##0")</f>
        <v>695,624</v>
      </c>
      <c r="T142" s="12" t="str">
        <f>TEXT(VALUE(Table1[[#This Row],[Content.Column10]])*1000,"#,##0")</f>
        <v>717,724</v>
      </c>
      <c r="U142" s="13" t="str">
        <f>TEXT(VALUE(Table1[[#This Row],[Content.Column11]])*1000,"#,##0")</f>
        <v>2,067,326</v>
      </c>
      <c r="V142" s="13" t="str">
        <f>TEXT(VALUE(Table1[[#This Row],[Content.Column12]])*1000,"#,##0")</f>
        <v>993,001</v>
      </c>
      <c r="W142" s="13" t="str">
        <f>TEXT(VALUE(Table1[[#This Row],[Content.Column13]])*1000,"#,##0")</f>
        <v>3,060,327</v>
      </c>
      <c r="X142" s="13" t="str">
        <f>TEXT(VALUE(Table1[[#This Row],[Content.Column14]])*1000,"#,##0")</f>
        <v>3,203,060</v>
      </c>
      <c r="Y142" s="14" t="str">
        <f>TEXT(VALUE(Table1[[#This Row],[Content.Column3]])*1000,"#,##0")</f>
        <v>2,489,507</v>
      </c>
      <c r="Z142" s="14" t="str">
        <f>TEXT(VALUE(Table1[[#This Row],[Content.Column4]])*1000,"#,##0")</f>
        <v>1,266,443</v>
      </c>
      <c r="AA142" s="14" t="str">
        <f>TEXT(VALUE(Table1[[#This Row],[Content.Column5]])*1000,"#,##0")</f>
        <v>3,755,950</v>
      </c>
      <c r="AB142" s="14" t="str">
        <f>TEXT(VALUE(Table1[[#This Row],[Content.Column6]])*1000,"#,##0")</f>
        <v>3,920,784</v>
      </c>
    </row>
    <row r="143" spans="1:28" x14ac:dyDescent="0.3">
      <c r="A143" t="s">
        <v>112</v>
      </c>
      <c r="B143" t="s">
        <v>113</v>
      </c>
      <c r="C143" s="6">
        <v>1402.03</v>
      </c>
      <c r="D143" s="1">
        <v>835.61800000000005</v>
      </c>
      <c r="E143" s="1">
        <v>2237.6460000000002</v>
      </c>
      <c r="F143" s="1">
        <v>2393.9859999999999</v>
      </c>
      <c r="G143" s="2">
        <v>286.59800000000001</v>
      </c>
      <c r="H143" s="2">
        <v>213.869</v>
      </c>
      <c r="I143" s="2">
        <v>500.46600000000001</v>
      </c>
      <c r="J143" s="2">
        <v>544.04100000000005</v>
      </c>
      <c r="K143" s="3">
        <v>1115.432</v>
      </c>
      <c r="L143" s="3">
        <v>621.74900000000002</v>
      </c>
      <c r="M143" s="3">
        <v>1737.18</v>
      </c>
      <c r="N143" s="3">
        <v>1849.9449999999999</v>
      </c>
      <c r="O143">
        <v>2011</v>
      </c>
      <c r="Q143" s="12" t="str">
        <f>TEXT(VALUE(Table1[[#This Row],[Content.Column7]])*1000,"#,##0")</f>
        <v>286,598</v>
      </c>
      <c r="R143" s="12" t="str">
        <f>TEXT(VALUE(Table1[[#This Row],[Content.Column8]])*1000,"#,##0")</f>
        <v>213,869</v>
      </c>
      <c r="S143" s="12" t="str">
        <f>TEXT(VALUE(Table1[[#This Row],[Content.Column9]])*1000,"#,##0")</f>
        <v>500,466</v>
      </c>
      <c r="T143" s="12" t="str">
        <f>TEXT(VALUE(Table1[[#This Row],[Content.Column10]])*1000,"#,##0")</f>
        <v>544,041</v>
      </c>
      <c r="U143" s="13" t="str">
        <f>TEXT(VALUE(Table1[[#This Row],[Content.Column11]])*1000,"#,##0")</f>
        <v>1,115,432</v>
      </c>
      <c r="V143" s="13" t="str">
        <f>TEXT(VALUE(Table1[[#This Row],[Content.Column12]])*1000,"#,##0")</f>
        <v>621,749</v>
      </c>
      <c r="W143" s="13" t="str">
        <f>TEXT(VALUE(Table1[[#This Row],[Content.Column13]])*1000,"#,##0")</f>
        <v>1,737,180</v>
      </c>
      <c r="X143" s="13" t="str">
        <f>TEXT(VALUE(Table1[[#This Row],[Content.Column14]])*1000,"#,##0")</f>
        <v>1,849,945</v>
      </c>
      <c r="Y143" s="14" t="str">
        <f>TEXT(VALUE(Table1[[#This Row],[Content.Column3]])*1000,"#,##0")</f>
        <v>1,402,030</v>
      </c>
      <c r="Z143" s="14" t="str">
        <f>TEXT(VALUE(Table1[[#This Row],[Content.Column4]])*1000,"#,##0")</f>
        <v>835,618</v>
      </c>
      <c r="AA143" s="14" t="str">
        <f>TEXT(VALUE(Table1[[#This Row],[Content.Column5]])*1000,"#,##0")</f>
        <v>2,237,646</v>
      </c>
      <c r="AB143" s="14" t="str">
        <f>TEXT(VALUE(Table1[[#This Row],[Content.Column6]])*1000,"#,##0")</f>
        <v>2,393,986</v>
      </c>
    </row>
    <row r="144" spans="1:28" x14ac:dyDescent="0.3">
      <c r="A144" t="s">
        <v>114</v>
      </c>
      <c r="B144" t="s">
        <v>115</v>
      </c>
      <c r="C144" s="6">
        <v>761.13099999999997</v>
      </c>
      <c r="D144" s="1">
        <v>409.34300000000002</v>
      </c>
      <c r="E144" s="1">
        <v>1170.473</v>
      </c>
      <c r="F144" s="1">
        <v>1261.277</v>
      </c>
      <c r="G144" s="2">
        <v>214.661</v>
      </c>
      <c r="H144" s="2">
        <v>135.71100000000001</v>
      </c>
      <c r="I144" s="2">
        <v>350.37099999999998</v>
      </c>
      <c r="J144" s="2">
        <v>396.07100000000003</v>
      </c>
      <c r="K144" s="3">
        <v>546.47</v>
      </c>
      <c r="L144" s="3">
        <v>273.63299999999998</v>
      </c>
      <c r="M144" s="3">
        <v>820.10199999999998</v>
      </c>
      <c r="N144" s="3">
        <v>865.20600000000002</v>
      </c>
      <c r="O144">
        <v>2011</v>
      </c>
      <c r="Q144" s="12" t="str">
        <f>TEXT(VALUE(Table1[[#This Row],[Content.Column7]])*1000,"#,##0")</f>
        <v>214,661</v>
      </c>
      <c r="R144" s="12" t="str">
        <f>TEXT(VALUE(Table1[[#This Row],[Content.Column8]])*1000,"#,##0")</f>
        <v>135,711</v>
      </c>
      <c r="S144" s="12" t="str">
        <f>TEXT(VALUE(Table1[[#This Row],[Content.Column9]])*1000,"#,##0")</f>
        <v>350,371</v>
      </c>
      <c r="T144" s="12" t="str">
        <f>TEXT(VALUE(Table1[[#This Row],[Content.Column10]])*1000,"#,##0")</f>
        <v>396,071</v>
      </c>
      <c r="U144" s="13" t="str">
        <f>TEXT(VALUE(Table1[[#This Row],[Content.Column11]])*1000,"#,##0")</f>
        <v>546,470</v>
      </c>
      <c r="V144" s="13" t="str">
        <f>TEXT(VALUE(Table1[[#This Row],[Content.Column12]])*1000,"#,##0")</f>
        <v>273,633</v>
      </c>
      <c r="W144" s="13" t="str">
        <f>TEXT(VALUE(Table1[[#This Row],[Content.Column13]])*1000,"#,##0")</f>
        <v>820,102</v>
      </c>
      <c r="X144" s="13" t="str">
        <f>TEXT(VALUE(Table1[[#This Row],[Content.Column14]])*1000,"#,##0")</f>
        <v>865,206</v>
      </c>
      <c r="Y144" s="14" t="str">
        <f>TEXT(VALUE(Table1[[#This Row],[Content.Column3]])*1000,"#,##0")</f>
        <v>761,131</v>
      </c>
      <c r="Z144" s="14" t="str">
        <f>TEXT(VALUE(Table1[[#This Row],[Content.Column4]])*1000,"#,##0")</f>
        <v>409,343</v>
      </c>
      <c r="AA144" s="14" t="str">
        <f>TEXT(VALUE(Table1[[#This Row],[Content.Column5]])*1000,"#,##0")</f>
        <v>1,170,473</v>
      </c>
      <c r="AB144" s="14" t="str">
        <f>TEXT(VALUE(Table1[[#This Row],[Content.Column6]])*1000,"#,##0")</f>
        <v>1,261,277</v>
      </c>
    </row>
    <row r="145" spans="1:28" x14ac:dyDescent="0.3">
      <c r="A145" t="s">
        <v>116</v>
      </c>
      <c r="B145" t="s">
        <v>117</v>
      </c>
      <c r="C145" s="6">
        <v>1569.14</v>
      </c>
      <c r="D145" s="1">
        <v>780.64700000000005</v>
      </c>
      <c r="E145" s="1">
        <v>2349.788</v>
      </c>
      <c r="F145" s="1">
        <v>2472.5639999999999</v>
      </c>
      <c r="G145" s="2">
        <v>407.56799999999998</v>
      </c>
      <c r="H145" s="2">
        <v>233.78700000000001</v>
      </c>
      <c r="I145" s="2">
        <v>641.35500000000002</v>
      </c>
      <c r="J145" s="2">
        <v>682.89</v>
      </c>
      <c r="K145" s="3">
        <v>1161.5719999999999</v>
      </c>
      <c r="L145" s="3">
        <v>546.85900000000004</v>
      </c>
      <c r="M145" s="3">
        <v>1708.433</v>
      </c>
      <c r="N145" s="3">
        <v>1789.674</v>
      </c>
      <c r="O145">
        <v>2011</v>
      </c>
      <c r="Q145" s="12" t="str">
        <f>TEXT(VALUE(Table1[[#This Row],[Content.Column7]])*1000,"#,##0")</f>
        <v>407,568</v>
      </c>
      <c r="R145" s="12" t="str">
        <f>TEXT(VALUE(Table1[[#This Row],[Content.Column8]])*1000,"#,##0")</f>
        <v>233,787</v>
      </c>
      <c r="S145" s="12" t="str">
        <f>TEXT(VALUE(Table1[[#This Row],[Content.Column9]])*1000,"#,##0")</f>
        <v>641,355</v>
      </c>
      <c r="T145" s="12" t="str">
        <f>TEXT(VALUE(Table1[[#This Row],[Content.Column10]])*1000,"#,##0")</f>
        <v>682,890</v>
      </c>
      <c r="U145" s="13" t="str">
        <f>TEXT(VALUE(Table1[[#This Row],[Content.Column11]])*1000,"#,##0")</f>
        <v>1,161,572</v>
      </c>
      <c r="V145" s="13" t="str">
        <f>TEXT(VALUE(Table1[[#This Row],[Content.Column12]])*1000,"#,##0")</f>
        <v>546,859</v>
      </c>
      <c r="W145" s="13" t="str">
        <f>TEXT(VALUE(Table1[[#This Row],[Content.Column13]])*1000,"#,##0")</f>
        <v>1,708,433</v>
      </c>
      <c r="X145" s="13" t="str">
        <f>TEXT(VALUE(Table1[[#This Row],[Content.Column14]])*1000,"#,##0")</f>
        <v>1,789,674</v>
      </c>
      <c r="Y145" s="14" t="str">
        <f>TEXT(VALUE(Table1[[#This Row],[Content.Column3]])*1000,"#,##0")</f>
        <v>1,569,140</v>
      </c>
      <c r="Z145" s="14" t="str">
        <f>TEXT(VALUE(Table1[[#This Row],[Content.Column4]])*1000,"#,##0")</f>
        <v>780,647</v>
      </c>
      <c r="AA145" s="14" t="str">
        <f>TEXT(VALUE(Table1[[#This Row],[Content.Column5]])*1000,"#,##0")</f>
        <v>2,349,788</v>
      </c>
      <c r="AB145" s="14" t="str">
        <f>TEXT(VALUE(Table1[[#This Row],[Content.Column6]])*1000,"#,##0")</f>
        <v>2,472,564</v>
      </c>
    </row>
    <row r="146" spans="1:28" x14ac:dyDescent="0.3">
      <c r="A146" t="s">
        <v>118</v>
      </c>
      <c r="B146" t="s">
        <v>119</v>
      </c>
      <c r="C146" s="6">
        <v>15611.8</v>
      </c>
      <c r="D146" s="1">
        <v>7461.4189999999999</v>
      </c>
      <c r="E146" s="1">
        <v>23073.219000000001</v>
      </c>
      <c r="F146" s="1">
        <v>24062.609</v>
      </c>
      <c r="G146" s="2">
        <v>2993.2910000000002</v>
      </c>
      <c r="H146" s="2">
        <v>1884.59</v>
      </c>
      <c r="I146" s="2">
        <v>4877.8819999999996</v>
      </c>
      <c r="J146" s="2">
        <v>5061.942</v>
      </c>
      <c r="K146" s="3">
        <v>12618.509</v>
      </c>
      <c r="L146" s="3">
        <v>5576.8289999999997</v>
      </c>
      <c r="M146" s="3">
        <v>18195.338</v>
      </c>
      <c r="N146" s="3">
        <v>19000.668000000001</v>
      </c>
      <c r="O146">
        <v>2011</v>
      </c>
      <c r="Q146" s="12" t="str">
        <f>TEXT(VALUE(Table1[[#This Row],[Content.Column7]])*1000,"#,##0")</f>
        <v>2,993,291</v>
      </c>
      <c r="R146" s="12" t="str">
        <f>TEXT(VALUE(Table1[[#This Row],[Content.Column8]])*1000,"#,##0")</f>
        <v>1,884,590</v>
      </c>
      <c r="S146" s="12" t="str">
        <f>TEXT(VALUE(Table1[[#This Row],[Content.Column9]])*1000,"#,##0")</f>
        <v>4,877,882</v>
      </c>
      <c r="T146" s="12" t="str">
        <f>TEXT(VALUE(Table1[[#This Row],[Content.Column10]])*1000,"#,##0")</f>
        <v>5,061,942</v>
      </c>
      <c r="U146" s="13" t="str">
        <f>TEXT(VALUE(Table1[[#This Row],[Content.Column11]])*1000,"#,##0")</f>
        <v>12,618,509</v>
      </c>
      <c r="V146" s="13" t="str">
        <f>TEXT(VALUE(Table1[[#This Row],[Content.Column12]])*1000,"#,##0")</f>
        <v>5,576,829</v>
      </c>
      <c r="W146" s="13" t="str">
        <f>TEXT(VALUE(Table1[[#This Row],[Content.Column13]])*1000,"#,##0")</f>
        <v>18,195,338</v>
      </c>
      <c r="X146" s="13" t="str">
        <f>TEXT(VALUE(Table1[[#This Row],[Content.Column14]])*1000,"#,##0")</f>
        <v>19,000,668</v>
      </c>
      <c r="Y146" s="14" t="str">
        <f>TEXT(VALUE(Table1[[#This Row],[Content.Column3]])*1000,"#,##0")</f>
        <v>15,611,800</v>
      </c>
      <c r="Z146" s="14" t="str">
        <f>TEXT(VALUE(Table1[[#This Row],[Content.Column4]])*1000,"#,##0")</f>
        <v>7,461,419</v>
      </c>
      <c r="AA146" s="14" t="str">
        <f>TEXT(VALUE(Table1[[#This Row],[Content.Column5]])*1000,"#,##0")</f>
        <v>23,073,219</v>
      </c>
      <c r="AB146" s="14" t="str">
        <f>TEXT(VALUE(Table1[[#This Row],[Content.Column6]])*1000,"#,##0")</f>
        <v>24,062,609</v>
      </c>
    </row>
    <row r="147" spans="1:28" x14ac:dyDescent="0.3">
      <c r="A147" t="s">
        <v>120</v>
      </c>
      <c r="B147" t="s">
        <v>121</v>
      </c>
      <c r="C147" s="6">
        <v>17942.071</v>
      </c>
      <c r="D147" s="1">
        <v>8651.4089999999997</v>
      </c>
      <c r="E147" s="1">
        <v>26593.48</v>
      </c>
      <c r="F147" s="1">
        <v>27796.45</v>
      </c>
      <c r="G147" s="2">
        <v>3615.52</v>
      </c>
      <c r="H147" s="2">
        <v>2254.0880000000002</v>
      </c>
      <c r="I147" s="2">
        <v>5869.6080000000002</v>
      </c>
      <c r="J147" s="2">
        <v>6140.902</v>
      </c>
      <c r="K147" s="3">
        <v>14326.550999999999</v>
      </c>
      <c r="L147" s="3">
        <v>6397.3209999999999</v>
      </c>
      <c r="M147" s="3">
        <v>20723.871999999999</v>
      </c>
      <c r="N147" s="3">
        <v>21655.546999999999</v>
      </c>
      <c r="O147">
        <v>2011</v>
      </c>
      <c r="Q147" s="12" t="str">
        <f>TEXT(VALUE(Table1[[#This Row],[Content.Column7]])*1000,"#,##0")</f>
        <v>3,615,520</v>
      </c>
      <c r="R147" s="12" t="str">
        <f>TEXT(VALUE(Table1[[#This Row],[Content.Column8]])*1000,"#,##0")</f>
        <v>2,254,088</v>
      </c>
      <c r="S147" s="12" t="str">
        <f>TEXT(VALUE(Table1[[#This Row],[Content.Column9]])*1000,"#,##0")</f>
        <v>5,869,608</v>
      </c>
      <c r="T147" s="12" t="str">
        <f>TEXT(VALUE(Table1[[#This Row],[Content.Column10]])*1000,"#,##0")</f>
        <v>6,140,902</v>
      </c>
      <c r="U147" s="13" t="str">
        <f>TEXT(VALUE(Table1[[#This Row],[Content.Column11]])*1000,"#,##0")</f>
        <v>14,326,551</v>
      </c>
      <c r="V147" s="13" t="str">
        <f>TEXT(VALUE(Table1[[#This Row],[Content.Column12]])*1000,"#,##0")</f>
        <v>6,397,321</v>
      </c>
      <c r="W147" s="13" t="str">
        <f>TEXT(VALUE(Table1[[#This Row],[Content.Column13]])*1000,"#,##0")</f>
        <v>20,723,872</v>
      </c>
      <c r="X147" s="13" t="str">
        <f>TEXT(VALUE(Table1[[#This Row],[Content.Column14]])*1000,"#,##0")</f>
        <v>21,655,547</v>
      </c>
      <c r="Y147" s="14" t="str">
        <f>TEXT(VALUE(Table1[[#This Row],[Content.Column3]])*1000,"#,##0")</f>
        <v>17,942,071</v>
      </c>
      <c r="Z147" s="14" t="str">
        <f>TEXT(VALUE(Table1[[#This Row],[Content.Column4]])*1000,"#,##0")</f>
        <v>8,651,409</v>
      </c>
      <c r="AA147" s="14" t="str">
        <f>TEXT(VALUE(Table1[[#This Row],[Content.Column5]])*1000,"#,##0")</f>
        <v>26,593,480</v>
      </c>
      <c r="AB147" s="14" t="str">
        <f>TEXT(VALUE(Table1[[#This Row],[Content.Column6]])*1000,"#,##0")</f>
        <v>27,796,450</v>
      </c>
    </row>
    <row r="148" spans="1:28" x14ac:dyDescent="0.3">
      <c r="A148" t="s">
        <v>26</v>
      </c>
      <c r="B148" t="s">
        <v>27</v>
      </c>
      <c r="C148" s="6">
        <v>337.392</v>
      </c>
      <c r="D148" s="1">
        <v>46.954999999999998</v>
      </c>
      <c r="E148" s="1">
        <v>384.34800000000001</v>
      </c>
      <c r="F148" s="1">
        <v>400.77699999999999</v>
      </c>
      <c r="G148" s="2">
        <v>18.738</v>
      </c>
      <c r="H148" s="2">
        <v>2.395</v>
      </c>
      <c r="I148" s="2">
        <v>21.132000000000001</v>
      </c>
      <c r="J148" s="2">
        <v>21.216999999999999</v>
      </c>
      <c r="K148" s="3">
        <v>318.65499999999997</v>
      </c>
      <c r="L148" s="3">
        <v>44.561</v>
      </c>
      <c r="M148" s="3">
        <v>363.21499999999997</v>
      </c>
      <c r="N148" s="3">
        <v>379.56</v>
      </c>
      <c r="O148">
        <v>2012</v>
      </c>
      <c r="Q148" s="12" t="str">
        <f>TEXT(VALUE(Table1[[#This Row],[Content.Column7]])*1000,"#,##0")</f>
        <v>18,738</v>
      </c>
      <c r="R148" s="12" t="str">
        <f>TEXT(VALUE(Table1[[#This Row],[Content.Column8]])*1000,"#,##0")</f>
        <v>2,395</v>
      </c>
      <c r="S148" s="12" t="str">
        <f>TEXT(VALUE(Table1[[#This Row],[Content.Column9]])*1000,"#,##0")</f>
        <v>21,132</v>
      </c>
      <c r="T148" s="12" t="str">
        <f>TEXT(VALUE(Table1[[#This Row],[Content.Column10]])*1000,"#,##0")</f>
        <v>21,217</v>
      </c>
      <c r="U148" s="13" t="str">
        <f>TEXT(VALUE(Table1[[#This Row],[Content.Column11]])*1000,"#,##0")</f>
        <v>318,655</v>
      </c>
      <c r="V148" s="13" t="str">
        <f>TEXT(VALUE(Table1[[#This Row],[Content.Column12]])*1000,"#,##0")</f>
        <v>44,561</v>
      </c>
      <c r="W148" s="13" t="str">
        <f>TEXT(VALUE(Table1[[#This Row],[Content.Column13]])*1000,"#,##0")</f>
        <v>363,215</v>
      </c>
      <c r="X148" s="13" t="str">
        <f>TEXT(VALUE(Table1[[#This Row],[Content.Column14]])*1000,"#,##0")</f>
        <v>379,560</v>
      </c>
      <c r="Y148" s="14" t="str">
        <f>TEXT(VALUE(Table1[[#This Row],[Content.Column3]])*1000,"#,##0")</f>
        <v>337,392</v>
      </c>
      <c r="Z148" s="14" t="str">
        <f>TEXT(VALUE(Table1[[#This Row],[Content.Column4]])*1000,"#,##0")</f>
        <v>46,955</v>
      </c>
      <c r="AA148" s="14" t="str">
        <f>TEXT(VALUE(Table1[[#This Row],[Content.Column5]])*1000,"#,##0")</f>
        <v>384,348</v>
      </c>
      <c r="AB148" s="14" t="str">
        <f>TEXT(VALUE(Table1[[#This Row],[Content.Column6]])*1000,"#,##0")</f>
        <v>400,777</v>
      </c>
    </row>
    <row r="149" spans="1:28" x14ac:dyDescent="0.3">
      <c r="A149" t="s">
        <v>28</v>
      </c>
      <c r="B149" t="s">
        <v>29</v>
      </c>
      <c r="C149" s="6">
        <v>32.406999999999996</v>
      </c>
      <c r="D149" s="1">
        <v>15.773</v>
      </c>
      <c r="E149" s="1">
        <v>48.18</v>
      </c>
      <c r="F149" s="1">
        <v>49.287999999999997</v>
      </c>
      <c r="G149" s="2">
        <v>4.9779999999999998</v>
      </c>
      <c r="H149" s="2">
        <v>5.95</v>
      </c>
      <c r="I149" s="2">
        <v>10.929</v>
      </c>
      <c r="J149" s="2">
        <v>10.930999999999999</v>
      </c>
      <c r="K149" s="3">
        <v>27.428000000000001</v>
      </c>
      <c r="L149" s="3">
        <v>9.8219999999999992</v>
      </c>
      <c r="M149" s="3">
        <v>37.250999999999998</v>
      </c>
      <c r="N149" s="3">
        <v>38.356999999999999</v>
      </c>
      <c r="O149">
        <v>2012</v>
      </c>
      <c r="Q149" s="12" t="str">
        <f>TEXT(VALUE(Table1[[#This Row],[Content.Column7]])*1000,"#,##0")</f>
        <v>4,978</v>
      </c>
      <c r="R149" s="12" t="str">
        <f>TEXT(VALUE(Table1[[#This Row],[Content.Column8]])*1000,"#,##0")</f>
        <v>5,950</v>
      </c>
      <c r="S149" s="12" t="str">
        <f>TEXT(VALUE(Table1[[#This Row],[Content.Column9]])*1000,"#,##0")</f>
        <v>10,929</v>
      </c>
      <c r="T149" s="12" t="str">
        <f>TEXT(VALUE(Table1[[#This Row],[Content.Column10]])*1000,"#,##0")</f>
        <v>10,931</v>
      </c>
      <c r="U149" s="13" t="str">
        <f>TEXT(VALUE(Table1[[#This Row],[Content.Column11]])*1000,"#,##0")</f>
        <v>27,428</v>
      </c>
      <c r="V149" s="13" t="str">
        <f>TEXT(VALUE(Table1[[#This Row],[Content.Column12]])*1000,"#,##0")</f>
        <v>9,822</v>
      </c>
      <c r="W149" s="13" t="str">
        <f>TEXT(VALUE(Table1[[#This Row],[Content.Column13]])*1000,"#,##0")</f>
        <v>37,251</v>
      </c>
      <c r="X149" s="13" t="str">
        <f>TEXT(VALUE(Table1[[#This Row],[Content.Column14]])*1000,"#,##0")</f>
        <v>38,357</v>
      </c>
      <c r="Y149" s="14" t="str">
        <f>TEXT(VALUE(Table1[[#This Row],[Content.Column3]])*1000,"#,##0")</f>
        <v>32,407</v>
      </c>
      <c r="Z149" s="14" t="str">
        <f>TEXT(VALUE(Table1[[#This Row],[Content.Column4]])*1000,"#,##0")</f>
        <v>15,773</v>
      </c>
      <c r="AA149" s="14" t="str">
        <f>TEXT(VALUE(Table1[[#This Row],[Content.Column5]])*1000,"#,##0")</f>
        <v>48,180</v>
      </c>
      <c r="AB149" s="14" t="str">
        <f>TEXT(VALUE(Table1[[#This Row],[Content.Column6]])*1000,"#,##0")</f>
        <v>49,288</v>
      </c>
    </row>
    <row r="150" spans="1:28" x14ac:dyDescent="0.3">
      <c r="A150" t="s">
        <v>30</v>
      </c>
      <c r="B150" t="s">
        <v>31</v>
      </c>
      <c r="C150" s="6">
        <v>74.103999999999999</v>
      </c>
      <c r="D150" s="1">
        <v>41.048000000000002</v>
      </c>
      <c r="E150" s="1">
        <v>115.152</v>
      </c>
      <c r="F150" s="1">
        <v>119.881</v>
      </c>
      <c r="G150" s="2">
        <v>15.994999999999999</v>
      </c>
      <c r="H150" s="2">
        <v>8.1880000000000006</v>
      </c>
      <c r="I150" s="2">
        <v>24.183</v>
      </c>
      <c r="J150" s="2">
        <v>24.341999999999999</v>
      </c>
      <c r="K150" s="3">
        <v>58.109000000000002</v>
      </c>
      <c r="L150" s="3">
        <v>32.86</v>
      </c>
      <c r="M150" s="3">
        <v>90.968999999999994</v>
      </c>
      <c r="N150" s="3">
        <v>95.537999999999997</v>
      </c>
      <c r="O150">
        <v>2012</v>
      </c>
      <c r="Q150" s="12" t="str">
        <f>TEXT(VALUE(Table1[[#This Row],[Content.Column7]])*1000,"#,##0")</f>
        <v>15,995</v>
      </c>
      <c r="R150" s="12" t="str">
        <f>TEXT(VALUE(Table1[[#This Row],[Content.Column8]])*1000,"#,##0")</f>
        <v>8,188</v>
      </c>
      <c r="S150" s="12" t="str">
        <f>TEXT(VALUE(Table1[[#This Row],[Content.Column9]])*1000,"#,##0")</f>
        <v>24,183</v>
      </c>
      <c r="T150" s="12" t="str">
        <f>TEXT(VALUE(Table1[[#This Row],[Content.Column10]])*1000,"#,##0")</f>
        <v>24,342</v>
      </c>
      <c r="U150" s="13" t="str">
        <f>TEXT(VALUE(Table1[[#This Row],[Content.Column11]])*1000,"#,##0")</f>
        <v>58,109</v>
      </c>
      <c r="V150" s="13" t="str">
        <f>TEXT(VALUE(Table1[[#This Row],[Content.Column12]])*1000,"#,##0")</f>
        <v>32,860</v>
      </c>
      <c r="W150" s="13" t="str">
        <f>TEXT(VALUE(Table1[[#This Row],[Content.Column13]])*1000,"#,##0")</f>
        <v>90,969</v>
      </c>
      <c r="X150" s="13" t="str">
        <f>TEXT(VALUE(Table1[[#This Row],[Content.Column14]])*1000,"#,##0")</f>
        <v>95,538</v>
      </c>
      <c r="Y150" s="14" t="str">
        <f>TEXT(VALUE(Table1[[#This Row],[Content.Column3]])*1000,"#,##0")</f>
        <v>74,104</v>
      </c>
      <c r="Z150" s="14" t="str">
        <f>TEXT(VALUE(Table1[[#This Row],[Content.Column4]])*1000,"#,##0")</f>
        <v>41,048</v>
      </c>
      <c r="AA150" s="14" t="str">
        <f>TEXT(VALUE(Table1[[#This Row],[Content.Column5]])*1000,"#,##0")</f>
        <v>115,152</v>
      </c>
      <c r="AB150" s="14" t="str">
        <f>TEXT(VALUE(Table1[[#This Row],[Content.Column6]])*1000,"#,##0")</f>
        <v>119,881</v>
      </c>
    </row>
    <row r="151" spans="1:28" x14ac:dyDescent="0.3">
      <c r="A151" t="s">
        <v>32</v>
      </c>
      <c r="B151" t="s">
        <v>33</v>
      </c>
      <c r="C151" s="6">
        <v>40.871000000000002</v>
      </c>
      <c r="D151" s="1">
        <v>24.628</v>
      </c>
      <c r="E151" s="1">
        <v>65.498000000000005</v>
      </c>
      <c r="F151" s="1">
        <v>67.567999999999998</v>
      </c>
      <c r="G151" s="2">
        <v>7.2089999999999996</v>
      </c>
      <c r="H151" s="2">
        <v>4.9420000000000002</v>
      </c>
      <c r="I151" s="2">
        <v>12.151</v>
      </c>
      <c r="J151" s="2">
        <v>12.172000000000001</v>
      </c>
      <c r="K151" s="3">
        <v>33.661000000000001</v>
      </c>
      <c r="L151" s="3">
        <v>19.686</v>
      </c>
      <c r="M151" s="3">
        <v>53.347000000000001</v>
      </c>
      <c r="N151" s="3">
        <v>55.395000000000003</v>
      </c>
      <c r="O151">
        <v>2012</v>
      </c>
      <c r="Q151" s="12" t="str">
        <f>TEXT(VALUE(Table1[[#This Row],[Content.Column7]])*1000,"#,##0")</f>
        <v>7,209</v>
      </c>
      <c r="R151" s="12" t="str">
        <f>TEXT(VALUE(Table1[[#This Row],[Content.Column8]])*1000,"#,##0")</f>
        <v>4,942</v>
      </c>
      <c r="S151" s="12" t="str">
        <f>TEXT(VALUE(Table1[[#This Row],[Content.Column9]])*1000,"#,##0")</f>
        <v>12,151</v>
      </c>
      <c r="T151" s="12" t="str">
        <f>TEXT(VALUE(Table1[[#This Row],[Content.Column10]])*1000,"#,##0")</f>
        <v>12,172</v>
      </c>
      <c r="U151" s="13" t="str">
        <f>TEXT(VALUE(Table1[[#This Row],[Content.Column11]])*1000,"#,##0")</f>
        <v>33,661</v>
      </c>
      <c r="V151" s="13" t="str">
        <f>TEXT(VALUE(Table1[[#This Row],[Content.Column12]])*1000,"#,##0")</f>
        <v>19,686</v>
      </c>
      <c r="W151" s="13" t="str">
        <f>TEXT(VALUE(Table1[[#This Row],[Content.Column13]])*1000,"#,##0")</f>
        <v>53,347</v>
      </c>
      <c r="X151" s="13" t="str">
        <f>TEXT(VALUE(Table1[[#This Row],[Content.Column14]])*1000,"#,##0")</f>
        <v>55,395</v>
      </c>
      <c r="Y151" s="14" t="str">
        <f>TEXT(VALUE(Table1[[#This Row],[Content.Column3]])*1000,"#,##0")</f>
        <v>40,871</v>
      </c>
      <c r="Z151" s="14" t="str">
        <f>TEXT(VALUE(Table1[[#This Row],[Content.Column4]])*1000,"#,##0")</f>
        <v>24,628</v>
      </c>
      <c r="AA151" s="14" t="str">
        <f>TEXT(VALUE(Table1[[#This Row],[Content.Column5]])*1000,"#,##0")</f>
        <v>65,498</v>
      </c>
      <c r="AB151" s="14" t="str">
        <f>TEXT(VALUE(Table1[[#This Row],[Content.Column6]])*1000,"#,##0")</f>
        <v>67,568</v>
      </c>
    </row>
    <row r="152" spans="1:28" x14ac:dyDescent="0.3">
      <c r="A152" t="s">
        <v>34</v>
      </c>
      <c r="B152" t="s">
        <v>35</v>
      </c>
      <c r="C152" s="6">
        <v>72.754999999999995</v>
      </c>
      <c r="D152" s="1">
        <v>33.710999999999999</v>
      </c>
      <c r="E152" s="1">
        <v>106.46599999999999</v>
      </c>
      <c r="F152" s="1">
        <v>109.506</v>
      </c>
      <c r="G152" s="2">
        <v>14.423999999999999</v>
      </c>
      <c r="H152" s="2">
        <v>6.4930000000000003</v>
      </c>
      <c r="I152" s="2">
        <v>20.916</v>
      </c>
      <c r="J152" s="2">
        <v>20.931999999999999</v>
      </c>
      <c r="K152" s="3">
        <v>58.331000000000003</v>
      </c>
      <c r="L152" s="3">
        <v>27.219000000000001</v>
      </c>
      <c r="M152" s="3">
        <v>85.55</v>
      </c>
      <c r="N152" s="3">
        <v>88.573999999999998</v>
      </c>
      <c r="O152">
        <v>2012</v>
      </c>
      <c r="Q152" s="12" t="str">
        <f>TEXT(VALUE(Table1[[#This Row],[Content.Column7]])*1000,"#,##0")</f>
        <v>14,424</v>
      </c>
      <c r="R152" s="12" t="str">
        <f>TEXT(VALUE(Table1[[#This Row],[Content.Column8]])*1000,"#,##0")</f>
        <v>6,493</v>
      </c>
      <c r="S152" s="12" t="str">
        <f>TEXT(VALUE(Table1[[#This Row],[Content.Column9]])*1000,"#,##0")</f>
        <v>20,916</v>
      </c>
      <c r="T152" s="12" t="str">
        <f>TEXT(VALUE(Table1[[#This Row],[Content.Column10]])*1000,"#,##0")</f>
        <v>20,932</v>
      </c>
      <c r="U152" s="13" t="str">
        <f>TEXT(VALUE(Table1[[#This Row],[Content.Column11]])*1000,"#,##0")</f>
        <v>58,331</v>
      </c>
      <c r="V152" s="13" t="str">
        <f>TEXT(VALUE(Table1[[#This Row],[Content.Column12]])*1000,"#,##0")</f>
        <v>27,219</v>
      </c>
      <c r="W152" s="13" t="str">
        <f>TEXT(VALUE(Table1[[#This Row],[Content.Column13]])*1000,"#,##0")</f>
        <v>85,550</v>
      </c>
      <c r="X152" s="13" t="str">
        <f>TEXT(VALUE(Table1[[#This Row],[Content.Column14]])*1000,"#,##0")</f>
        <v>88,574</v>
      </c>
      <c r="Y152" s="14" t="str">
        <f>TEXT(VALUE(Table1[[#This Row],[Content.Column3]])*1000,"#,##0")</f>
        <v>72,755</v>
      </c>
      <c r="Z152" s="14" t="str">
        <f>TEXT(VALUE(Table1[[#This Row],[Content.Column4]])*1000,"#,##0")</f>
        <v>33,711</v>
      </c>
      <c r="AA152" s="14" t="str">
        <f>TEXT(VALUE(Table1[[#This Row],[Content.Column5]])*1000,"#,##0")</f>
        <v>106,466</v>
      </c>
      <c r="AB152" s="14" t="str">
        <f>TEXT(VALUE(Table1[[#This Row],[Content.Column6]])*1000,"#,##0")</f>
        <v>109,506</v>
      </c>
    </row>
    <row r="153" spans="1:28" x14ac:dyDescent="0.3">
      <c r="A153" t="s">
        <v>36</v>
      </c>
      <c r="B153" t="s">
        <v>37</v>
      </c>
      <c r="C153" s="6">
        <v>59.63</v>
      </c>
      <c r="D153" s="1">
        <v>38.137999999999998</v>
      </c>
      <c r="E153" s="1">
        <v>97.768000000000001</v>
      </c>
      <c r="F153" s="1">
        <v>101.946</v>
      </c>
      <c r="G153" s="2">
        <v>10.781000000000001</v>
      </c>
      <c r="H153" s="2">
        <v>7.9779999999999998</v>
      </c>
      <c r="I153" s="2">
        <v>18.759</v>
      </c>
      <c r="J153" s="2">
        <v>18.779</v>
      </c>
      <c r="K153" s="3">
        <v>48.848999999999997</v>
      </c>
      <c r="L153" s="3">
        <v>30.16</v>
      </c>
      <c r="M153" s="3">
        <v>79.009</v>
      </c>
      <c r="N153" s="3">
        <v>83.167000000000002</v>
      </c>
      <c r="O153">
        <v>2012</v>
      </c>
      <c r="Q153" s="12" t="str">
        <f>TEXT(VALUE(Table1[[#This Row],[Content.Column7]])*1000,"#,##0")</f>
        <v>10,781</v>
      </c>
      <c r="R153" s="12" t="str">
        <f>TEXT(VALUE(Table1[[#This Row],[Content.Column8]])*1000,"#,##0")</f>
        <v>7,978</v>
      </c>
      <c r="S153" s="12" t="str">
        <f>TEXT(VALUE(Table1[[#This Row],[Content.Column9]])*1000,"#,##0")</f>
        <v>18,759</v>
      </c>
      <c r="T153" s="12" t="str">
        <f>TEXT(VALUE(Table1[[#This Row],[Content.Column10]])*1000,"#,##0")</f>
        <v>18,779</v>
      </c>
      <c r="U153" s="13" t="str">
        <f>TEXT(VALUE(Table1[[#This Row],[Content.Column11]])*1000,"#,##0")</f>
        <v>48,849</v>
      </c>
      <c r="V153" s="13" t="str">
        <f>TEXT(VALUE(Table1[[#This Row],[Content.Column12]])*1000,"#,##0")</f>
        <v>30,160</v>
      </c>
      <c r="W153" s="13" t="str">
        <f>TEXT(VALUE(Table1[[#This Row],[Content.Column13]])*1000,"#,##0")</f>
        <v>79,009</v>
      </c>
      <c r="X153" s="13" t="str">
        <f>TEXT(VALUE(Table1[[#This Row],[Content.Column14]])*1000,"#,##0")</f>
        <v>83,167</v>
      </c>
      <c r="Y153" s="14" t="str">
        <f>TEXT(VALUE(Table1[[#This Row],[Content.Column3]])*1000,"#,##0")</f>
        <v>59,630</v>
      </c>
      <c r="Z153" s="14" t="str">
        <f>TEXT(VALUE(Table1[[#This Row],[Content.Column4]])*1000,"#,##0")</f>
        <v>38,138</v>
      </c>
      <c r="AA153" s="14" t="str">
        <f>TEXT(VALUE(Table1[[#This Row],[Content.Column5]])*1000,"#,##0")</f>
        <v>97,768</v>
      </c>
      <c r="AB153" s="14" t="str">
        <f>TEXT(VALUE(Table1[[#This Row],[Content.Column6]])*1000,"#,##0")</f>
        <v>101,946</v>
      </c>
    </row>
    <row r="154" spans="1:28" x14ac:dyDescent="0.3">
      <c r="A154" t="s">
        <v>38</v>
      </c>
      <c r="B154" t="s">
        <v>39</v>
      </c>
      <c r="C154" s="6">
        <v>229.291</v>
      </c>
      <c r="D154" s="1">
        <v>74.484999999999999</v>
      </c>
      <c r="E154" s="1">
        <v>303.77600000000001</v>
      </c>
      <c r="F154" s="1">
        <v>315.94400000000002</v>
      </c>
      <c r="G154" s="2">
        <v>34.725000000000001</v>
      </c>
      <c r="H154" s="2">
        <v>7.891</v>
      </c>
      <c r="I154" s="2">
        <v>42.616</v>
      </c>
      <c r="J154" s="2">
        <v>42.683</v>
      </c>
      <c r="K154" s="3">
        <v>194.566</v>
      </c>
      <c r="L154" s="3">
        <v>66.593999999999994</v>
      </c>
      <c r="M154" s="3">
        <v>261.16000000000003</v>
      </c>
      <c r="N154" s="3">
        <v>273.26100000000002</v>
      </c>
      <c r="O154">
        <v>2012</v>
      </c>
      <c r="Q154" s="12" t="str">
        <f>TEXT(VALUE(Table1[[#This Row],[Content.Column7]])*1000,"#,##0")</f>
        <v>34,725</v>
      </c>
      <c r="R154" s="12" t="str">
        <f>TEXT(VALUE(Table1[[#This Row],[Content.Column8]])*1000,"#,##0")</f>
        <v>7,891</v>
      </c>
      <c r="S154" s="12" t="str">
        <f>TEXT(VALUE(Table1[[#This Row],[Content.Column9]])*1000,"#,##0")</f>
        <v>42,616</v>
      </c>
      <c r="T154" s="12" t="str">
        <f>TEXT(VALUE(Table1[[#This Row],[Content.Column10]])*1000,"#,##0")</f>
        <v>42,683</v>
      </c>
      <c r="U154" s="13" t="str">
        <f>TEXT(VALUE(Table1[[#This Row],[Content.Column11]])*1000,"#,##0")</f>
        <v>194,566</v>
      </c>
      <c r="V154" s="13" t="str">
        <f>TEXT(VALUE(Table1[[#This Row],[Content.Column12]])*1000,"#,##0")</f>
        <v>66,594</v>
      </c>
      <c r="W154" s="13" t="str">
        <f>TEXT(VALUE(Table1[[#This Row],[Content.Column13]])*1000,"#,##0")</f>
        <v>261,160</v>
      </c>
      <c r="X154" s="13" t="str">
        <f>TEXT(VALUE(Table1[[#This Row],[Content.Column14]])*1000,"#,##0")</f>
        <v>273,261</v>
      </c>
      <c r="Y154" s="14" t="str">
        <f>TEXT(VALUE(Table1[[#This Row],[Content.Column3]])*1000,"#,##0")</f>
        <v>229,291</v>
      </c>
      <c r="Z154" s="14" t="str">
        <f>TEXT(VALUE(Table1[[#This Row],[Content.Column4]])*1000,"#,##0")</f>
        <v>74,485</v>
      </c>
      <c r="AA154" s="14" t="str">
        <f>TEXT(VALUE(Table1[[#This Row],[Content.Column5]])*1000,"#,##0")</f>
        <v>303,776</v>
      </c>
      <c r="AB154" s="14" t="str">
        <f>TEXT(VALUE(Table1[[#This Row],[Content.Column6]])*1000,"#,##0")</f>
        <v>315,944</v>
      </c>
    </row>
    <row r="155" spans="1:28" x14ac:dyDescent="0.3">
      <c r="A155" t="s">
        <v>40</v>
      </c>
      <c r="B155" t="s">
        <v>41</v>
      </c>
      <c r="C155" s="6">
        <v>73.272000000000006</v>
      </c>
      <c r="D155" s="1">
        <v>38.911000000000001</v>
      </c>
      <c r="E155" s="1">
        <v>112.18300000000001</v>
      </c>
      <c r="F155" s="1">
        <v>115.861</v>
      </c>
      <c r="G155" s="2">
        <v>16.664000000000001</v>
      </c>
      <c r="H155" s="2">
        <v>8.9529999999999994</v>
      </c>
      <c r="I155" s="2">
        <v>25.617999999999999</v>
      </c>
      <c r="J155" s="2">
        <v>25.648</v>
      </c>
      <c r="K155" s="3">
        <v>56.607999999999997</v>
      </c>
      <c r="L155" s="3">
        <v>29.957000000000001</v>
      </c>
      <c r="M155" s="3">
        <v>86.564999999999998</v>
      </c>
      <c r="N155" s="3">
        <v>90.212999999999994</v>
      </c>
      <c r="O155">
        <v>2012</v>
      </c>
      <c r="Q155" s="12" t="str">
        <f>TEXT(VALUE(Table1[[#This Row],[Content.Column7]])*1000,"#,##0")</f>
        <v>16,664</v>
      </c>
      <c r="R155" s="12" t="str">
        <f>TEXT(VALUE(Table1[[#This Row],[Content.Column8]])*1000,"#,##0")</f>
        <v>8,953</v>
      </c>
      <c r="S155" s="12" t="str">
        <f>TEXT(VALUE(Table1[[#This Row],[Content.Column9]])*1000,"#,##0")</f>
        <v>25,618</v>
      </c>
      <c r="T155" s="12" t="str">
        <f>TEXT(VALUE(Table1[[#This Row],[Content.Column10]])*1000,"#,##0")</f>
        <v>25,648</v>
      </c>
      <c r="U155" s="13" t="str">
        <f>TEXT(VALUE(Table1[[#This Row],[Content.Column11]])*1000,"#,##0")</f>
        <v>56,608</v>
      </c>
      <c r="V155" s="13" t="str">
        <f>TEXT(VALUE(Table1[[#This Row],[Content.Column12]])*1000,"#,##0")</f>
        <v>29,957</v>
      </c>
      <c r="W155" s="13" t="str">
        <f>TEXT(VALUE(Table1[[#This Row],[Content.Column13]])*1000,"#,##0")</f>
        <v>86,565</v>
      </c>
      <c r="X155" s="13" t="str">
        <f>TEXT(VALUE(Table1[[#This Row],[Content.Column14]])*1000,"#,##0")</f>
        <v>90,213</v>
      </c>
      <c r="Y155" s="14" t="str">
        <f>TEXT(VALUE(Table1[[#This Row],[Content.Column3]])*1000,"#,##0")</f>
        <v>73,272</v>
      </c>
      <c r="Z155" s="14" t="str">
        <f>TEXT(VALUE(Table1[[#This Row],[Content.Column4]])*1000,"#,##0")</f>
        <v>38,911</v>
      </c>
      <c r="AA155" s="14" t="str">
        <f>TEXT(VALUE(Table1[[#This Row],[Content.Column5]])*1000,"#,##0")</f>
        <v>112,183</v>
      </c>
      <c r="AB155" s="14" t="str">
        <f>TEXT(VALUE(Table1[[#This Row],[Content.Column6]])*1000,"#,##0")</f>
        <v>115,861</v>
      </c>
    </row>
    <row r="156" spans="1:28" x14ac:dyDescent="0.3">
      <c r="A156" t="s">
        <v>42</v>
      </c>
      <c r="B156" t="s">
        <v>43</v>
      </c>
      <c r="C156" s="6">
        <v>85.093000000000004</v>
      </c>
      <c r="D156" s="1">
        <v>34.606999999999999</v>
      </c>
      <c r="E156" s="1">
        <v>119.7</v>
      </c>
      <c r="F156" s="1">
        <v>123.09699999999999</v>
      </c>
      <c r="G156" s="2">
        <v>13.295999999999999</v>
      </c>
      <c r="H156" s="2">
        <v>6.391</v>
      </c>
      <c r="I156" s="2">
        <v>19.687000000000001</v>
      </c>
      <c r="J156" s="2">
        <v>19.704000000000001</v>
      </c>
      <c r="K156" s="3">
        <v>71.796999999999997</v>
      </c>
      <c r="L156" s="3">
        <v>28.215</v>
      </c>
      <c r="M156" s="3">
        <v>100.01300000000001</v>
      </c>
      <c r="N156" s="3">
        <v>103.393</v>
      </c>
      <c r="O156">
        <v>2012</v>
      </c>
      <c r="Q156" s="12" t="str">
        <f>TEXT(VALUE(Table1[[#This Row],[Content.Column7]])*1000,"#,##0")</f>
        <v>13,296</v>
      </c>
      <c r="R156" s="12" t="str">
        <f>TEXT(VALUE(Table1[[#This Row],[Content.Column8]])*1000,"#,##0")</f>
        <v>6,391</v>
      </c>
      <c r="S156" s="12" t="str">
        <f>TEXT(VALUE(Table1[[#This Row],[Content.Column9]])*1000,"#,##0")</f>
        <v>19,687</v>
      </c>
      <c r="T156" s="12" t="str">
        <f>TEXT(VALUE(Table1[[#This Row],[Content.Column10]])*1000,"#,##0")</f>
        <v>19,704</v>
      </c>
      <c r="U156" s="13" t="str">
        <f>TEXT(VALUE(Table1[[#This Row],[Content.Column11]])*1000,"#,##0")</f>
        <v>71,797</v>
      </c>
      <c r="V156" s="13" t="str">
        <f>TEXT(VALUE(Table1[[#This Row],[Content.Column12]])*1000,"#,##0")</f>
        <v>28,215</v>
      </c>
      <c r="W156" s="13" t="str">
        <f>TEXT(VALUE(Table1[[#This Row],[Content.Column13]])*1000,"#,##0")</f>
        <v>100,013</v>
      </c>
      <c r="X156" s="13" t="str">
        <f>TEXT(VALUE(Table1[[#This Row],[Content.Column14]])*1000,"#,##0")</f>
        <v>103,393</v>
      </c>
      <c r="Y156" s="14" t="str">
        <f>TEXT(VALUE(Table1[[#This Row],[Content.Column3]])*1000,"#,##0")</f>
        <v>85,093</v>
      </c>
      <c r="Z156" s="14" t="str">
        <f>TEXT(VALUE(Table1[[#This Row],[Content.Column4]])*1000,"#,##0")</f>
        <v>34,607</v>
      </c>
      <c r="AA156" s="14" t="str">
        <f>TEXT(VALUE(Table1[[#This Row],[Content.Column5]])*1000,"#,##0")</f>
        <v>119,700</v>
      </c>
      <c r="AB156" s="14" t="str">
        <f>TEXT(VALUE(Table1[[#This Row],[Content.Column6]])*1000,"#,##0")</f>
        <v>123,097</v>
      </c>
    </row>
    <row r="157" spans="1:28" x14ac:dyDescent="0.3">
      <c r="A157" t="s">
        <v>44</v>
      </c>
      <c r="B157" t="s">
        <v>45</v>
      </c>
      <c r="C157" s="6">
        <v>64.753</v>
      </c>
      <c r="D157" s="1">
        <v>32.933999999999997</v>
      </c>
      <c r="E157" s="1">
        <v>97.688000000000002</v>
      </c>
      <c r="F157" s="1">
        <v>100.054</v>
      </c>
      <c r="G157" s="2">
        <v>15.433</v>
      </c>
      <c r="H157" s="2">
        <v>7.6520000000000001</v>
      </c>
      <c r="I157" s="2">
        <v>23.085000000000001</v>
      </c>
      <c r="J157" s="2">
        <v>23.094000000000001</v>
      </c>
      <c r="K157" s="3">
        <v>49.32</v>
      </c>
      <c r="L157" s="3">
        <v>25.283000000000001</v>
      </c>
      <c r="M157" s="3">
        <v>74.602999999999994</v>
      </c>
      <c r="N157" s="3">
        <v>76.959999999999994</v>
      </c>
      <c r="O157">
        <v>2012</v>
      </c>
      <c r="Q157" s="12" t="str">
        <f>TEXT(VALUE(Table1[[#This Row],[Content.Column7]])*1000,"#,##0")</f>
        <v>15,433</v>
      </c>
      <c r="R157" s="12" t="str">
        <f>TEXT(VALUE(Table1[[#This Row],[Content.Column8]])*1000,"#,##0")</f>
        <v>7,652</v>
      </c>
      <c r="S157" s="12" t="str">
        <f>TEXT(VALUE(Table1[[#This Row],[Content.Column9]])*1000,"#,##0")</f>
        <v>23,085</v>
      </c>
      <c r="T157" s="12" t="str">
        <f>TEXT(VALUE(Table1[[#This Row],[Content.Column10]])*1000,"#,##0")</f>
        <v>23,094</v>
      </c>
      <c r="U157" s="13" t="str">
        <f>TEXT(VALUE(Table1[[#This Row],[Content.Column11]])*1000,"#,##0")</f>
        <v>49,320</v>
      </c>
      <c r="V157" s="13" t="str">
        <f>TEXT(VALUE(Table1[[#This Row],[Content.Column12]])*1000,"#,##0")</f>
        <v>25,283</v>
      </c>
      <c r="W157" s="13" t="str">
        <f>TEXT(VALUE(Table1[[#This Row],[Content.Column13]])*1000,"#,##0")</f>
        <v>74,603</v>
      </c>
      <c r="X157" s="13" t="str">
        <f>TEXT(VALUE(Table1[[#This Row],[Content.Column14]])*1000,"#,##0")</f>
        <v>76,960</v>
      </c>
      <c r="Y157" s="14" t="str">
        <f>TEXT(VALUE(Table1[[#This Row],[Content.Column3]])*1000,"#,##0")</f>
        <v>64,753</v>
      </c>
      <c r="Z157" s="14" t="str">
        <f>TEXT(VALUE(Table1[[#This Row],[Content.Column4]])*1000,"#,##0")</f>
        <v>32,934</v>
      </c>
      <c r="AA157" s="14" t="str">
        <f>TEXT(VALUE(Table1[[#This Row],[Content.Column5]])*1000,"#,##0")</f>
        <v>97,688</v>
      </c>
      <c r="AB157" s="14" t="str">
        <f>TEXT(VALUE(Table1[[#This Row],[Content.Column6]])*1000,"#,##0")</f>
        <v>100,054</v>
      </c>
    </row>
    <row r="158" spans="1:28" x14ac:dyDescent="0.3">
      <c r="A158" t="s">
        <v>46</v>
      </c>
      <c r="B158" t="s">
        <v>47</v>
      </c>
      <c r="C158" s="6">
        <v>43.323999999999998</v>
      </c>
      <c r="D158" s="1">
        <v>26.134</v>
      </c>
      <c r="E158" s="1">
        <v>69.457999999999998</v>
      </c>
      <c r="F158" s="1">
        <v>71.376000000000005</v>
      </c>
      <c r="G158" s="2">
        <v>12.335000000000001</v>
      </c>
      <c r="H158" s="2">
        <v>7.3810000000000002</v>
      </c>
      <c r="I158" s="2">
        <v>19.716000000000001</v>
      </c>
      <c r="J158" s="2">
        <v>19.719000000000001</v>
      </c>
      <c r="K158" s="3">
        <v>30.989000000000001</v>
      </c>
      <c r="L158" s="3">
        <v>18.753</v>
      </c>
      <c r="M158" s="3">
        <v>49.741999999999997</v>
      </c>
      <c r="N158" s="3">
        <v>51.656999999999996</v>
      </c>
      <c r="O158">
        <v>2012</v>
      </c>
      <c r="Q158" s="12" t="str">
        <f>TEXT(VALUE(Table1[[#This Row],[Content.Column7]])*1000,"#,##0")</f>
        <v>12,335</v>
      </c>
      <c r="R158" s="12" t="str">
        <f>TEXT(VALUE(Table1[[#This Row],[Content.Column8]])*1000,"#,##0")</f>
        <v>7,381</v>
      </c>
      <c r="S158" s="12" t="str">
        <f>TEXT(VALUE(Table1[[#This Row],[Content.Column9]])*1000,"#,##0")</f>
        <v>19,716</v>
      </c>
      <c r="T158" s="12" t="str">
        <f>TEXT(VALUE(Table1[[#This Row],[Content.Column10]])*1000,"#,##0")</f>
        <v>19,719</v>
      </c>
      <c r="U158" s="13" t="str">
        <f>TEXT(VALUE(Table1[[#This Row],[Content.Column11]])*1000,"#,##0")</f>
        <v>30,989</v>
      </c>
      <c r="V158" s="13" t="str">
        <f>TEXT(VALUE(Table1[[#This Row],[Content.Column12]])*1000,"#,##0")</f>
        <v>18,753</v>
      </c>
      <c r="W158" s="13" t="str">
        <f>TEXT(VALUE(Table1[[#This Row],[Content.Column13]])*1000,"#,##0")</f>
        <v>49,742</v>
      </c>
      <c r="X158" s="13" t="str">
        <f>TEXT(VALUE(Table1[[#This Row],[Content.Column14]])*1000,"#,##0")</f>
        <v>51,657</v>
      </c>
      <c r="Y158" s="14" t="str">
        <f>TEXT(VALUE(Table1[[#This Row],[Content.Column3]])*1000,"#,##0")</f>
        <v>43,324</v>
      </c>
      <c r="Z158" s="14" t="str">
        <f>TEXT(VALUE(Table1[[#This Row],[Content.Column4]])*1000,"#,##0")</f>
        <v>26,134</v>
      </c>
      <c r="AA158" s="14" t="str">
        <f>TEXT(VALUE(Table1[[#This Row],[Content.Column5]])*1000,"#,##0")</f>
        <v>69,458</v>
      </c>
      <c r="AB158" s="14" t="str">
        <f>TEXT(VALUE(Table1[[#This Row],[Content.Column6]])*1000,"#,##0")</f>
        <v>71,376</v>
      </c>
    </row>
    <row r="159" spans="1:28" x14ac:dyDescent="0.3">
      <c r="A159" t="s">
        <v>48</v>
      </c>
      <c r="B159" t="s">
        <v>49</v>
      </c>
      <c r="C159" s="6">
        <v>63.040999999999997</v>
      </c>
      <c r="D159" s="1">
        <v>27.303000000000001</v>
      </c>
      <c r="E159" s="1">
        <v>90.343999999999994</v>
      </c>
      <c r="F159" s="1">
        <v>93.882000000000005</v>
      </c>
      <c r="G159" s="2">
        <v>11.82</v>
      </c>
      <c r="H159" s="2">
        <v>5.3010000000000002</v>
      </c>
      <c r="I159" s="2">
        <v>17.120999999999999</v>
      </c>
      <c r="J159" s="2">
        <v>17.245000000000001</v>
      </c>
      <c r="K159" s="3">
        <v>51.220999999999997</v>
      </c>
      <c r="L159" s="3">
        <v>22.001999999999999</v>
      </c>
      <c r="M159" s="3">
        <v>73.222999999999999</v>
      </c>
      <c r="N159" s="3">
        <v>76.637</v>
      </c>
      <c r="O159">
        <v>2012</v>
      </c>
      <c r="Q159" s="12" t="str">
        <f>TEXT(VALUE(Table1[[#This Row],[Content.Column7]])*1000,"#,##0")</f>
        <v>11,820</v>
      </c>
      <c r="R159" s="12" t="str">
        <f>TEXT(VALUE(Table1[[#This Row],[Content.Column8]])*1000,"#,##0")</f>
        <v>5,301</v>
      </c>
      <c r="S159" s="12" t="str">
        <f>TEXT(VALUE(Table1[[#This Row],[Content.Column9]])*1000,"#,##0")</f>
        <v>17,121</v>
      </c>
      <c r="T159" s="12" t="str">
        <f>TEXT(VALUE(Table1[[#This Row],[Content.Column10]])*1000,"#,##0")</f>
        <v>17,245</v>
      </c>
      <c r="U159" s="13" t="str">
        <f>TEXT(VALUE(Table1[[#This Row],[Content.Column11]])*1000,"#,##0")</f>
        <v>51,221</v>
      </c>
      <c r="V159" s="13" t="str">
        <f>TEXT(VALUE(Table1[[#This Row],[Content.Column12]])*1000,"#,##0")</f>
        <v>22,002</v>
      </c>
      <c r="W159" s="13" t="str">
        <f>TEXT(VALUE(Table1[[#This Row],[Content.Column13]])*1000,"#,##0")</f>
        <v>73,223</v>
      </c>
      <c r="X159" s="13" t="str">
        <f>TEXT(VALUE(Table1[[#This Row],[Content.Column14]])*1000,"#,##0")</f>
        <v>76,637</v>
      </c>
      <c r="Y159" s="14" t="str">
        <f>TEXT(VALUE(Table1[[#This Row],[Content.Column3]])*1000,"#,##0")</f>
        <v>63,041</v>
      </c>
      <c r="Z159" s="14" t="str">
        <f>TEXT(VALUE(Table1[[#This Row],[Content.Column4]])*1000,"#,##0")</f>
        <v>27,303</v>
      </c>
      <c r="AA159" s="14" t="str">
        <f>TEXT(VALUE(Table1[[#This Row],[Content.Column5]])*1000,"#,##0")</f>
        <v>90,344</v>
      </c>
      <c r="AB159" s="14" t="str">
        <f>TEXT(VALUE(Table1[[#This Row],[Content.Column6]])*1000,"#,##0")</f>
        <v>93,882</v>
      </c>
    </row>
    <row r="160" spans="1:28" x14ac:dyDescent="0.3">
      <c r="A160" t="s">
        <v>50</v>
      </c>
      <c r="B160" t="s">
        <v>51</v>
      </c>
      <c r="C160" s="6">
        <v>93.066000000000003</v>
      </c>
      <c r="D160" s="1">
        <v>34.076999999999998</v>
      </c>
      <c r="E160" s="1">
        <v>127.14400000000001</v>
      </c>
      <c r="F160" s="1">
        <v>130.26</v>
      </c>
      <c r="G160" s="2">
        <v>22.564</v>
      </c>
      <c r="H160" s="2">
        <v>3.6970000000000001</v>
      </c>
      <c r="I160" s="2">
        <v>26.26</v>
      </c>
      <c r="J160" s="2">
        <v>26.353000000000002</v>
      </c>
      <c r="K160" s="3">
        <v>70.503</v>
      </c>
      <c r="L160" s="3">
        <v>30.381</v>
      </c>
      <c r="M160" s="3">
        <v>100.884</v>
      </c>
      <c r="N160" s="3">
        <v>103.908</v>
      </c>
      <c r="O160">
        <v>2012</v>
      </c>
      <c r="Q160" s="12" t="str">
        <f>TEXT(VALUE(Table1[[#This Row],[Content.Column7]])*1000,"#,##0")</f>
        <v>22,564</v>
      </c>
      <c r="R160" s="12" t="str">
        <f>TEXT(VALUE(Table1[[#This Row],[Content.Column8]])*1000,"#,##0")</f>
        <v>3,697</v>
      </c>
      <c r="S160" s="12" t="str">
        <f>TEXT(VALUE(Table1[[#This Row],[Content.Column9]])*1000,"#,##0")</f>
        <v>26,260</v>
      </c>
      <c r="T160" s="12" t="str">
        <f>TEXT(VALUE(Table1[[#This Row],[Content.Column10]])*1000,"#,##0")</f>
        <v>26,353</v>
      </c>
      <c r="U160" s="13" t="str">
        <f>TEXT(VALUE(Table1[[#This Row],[Content.Column11]])*1000,"#,##0")</f>
        <v>70,503</v>
      </c>
      <c r="V160" s="13" t="str">
        <f>TEXT(VALUE(Table1[[#This Row],[Content.Column12]])*1000,"#,##0")</f>
        <v>30,381</v>
      </c>
      <c r="W160" s="13" t="str">
        <f>TEXT(VALUE(Table1[[#This Row],[Content.Column13]])*1000,"#,##0")</f>
        <v>100,884</v>
      </c>
      <c r="X160" s="13" t="str">
        <f>TEXT(VALUE(Table1[[#This Row],[Content.Column14]])*1000,"#,##0")</f>
        <v>103,908</v>
      </c>
      <c r="Y160" s="14" t="str">
        <f>TEXT(VALUE(Table1[[#This Row],[Content.Column3]])*1000,"#,##0")</f>
        <v>93,066</v>
      </c>
      <c r="Z160" s="14" t="str">
        <f>TEXT(VALUE(Table1[[#This Row],[Content.Column4]])*1000,"#,##0")</f>
        <v>34,077</v>
      </c>
      <c r="AA160" s="14" t="str">
        <f>TEXT(VALUE(Table1[[#This Row],[Content.Column5]])*1000,"#,##0")</f>
        <v>127,144</v>
      </c>
      <c r="AB160" s="14" t="str">
        <f>TEXT(VALUE(Table1[[#This Row],[Content.Column6]])*1000,"#,##0")</f>
        <v>130,260</v>
      </c>
    </row>
    <row r="161" spans="1:28" x14ac:dyDescent="0.3">
      <c r="A161" t="s">
        <v>52</v>
      </c>
      <c r="B161" t="s">
        <v>53</v>
      </c>
      <c r="C161" s="6">
        <v>40.073</v>
      </c>
      <c r="D161" s="1">
        <v>21.184000000000001</v>
      </c>
      <c r="E161" s="1">
        <v>61.256</v>
      </c>
      <c r="F161" s="1">
        <v>63.698999999999998</v>
      </c>
      <c r="G161" s="2">
        <v>9.2560000000000002</v>
      </c>
      <c r="H161" s="2">
        <v>3.2429999999999999</v>
      </c>
      <c r="I161" s="2">
        <v>12.499000000000001</v>
      </c>
      <c r="J161" s="2">
        <v>12.502000000000001</v>
      </c>
      <c r="K161" s="3">
        <v>30.817</v>
      </c>
      <c r="L161" s="3">
        <v>17.940999999999999</v>
      </c>
      <c r="M161" s="3">
        <v>48.756999999999998</v>
      </c>
      <c r="N161" s="3">
        <v>51.197000000000003</v>
      </c>
      <c r="O161">
        <v>2012</v>
      </c>
      <c r="Q161" s="12" t="str">
        <f>TEXT(VALUE(Table1[[#This Row],[Content.Column7]])*1000,"#,##0")</f>
        <v>9,256</v>
      </c>
      <c r="R161" s="12" t="str">
        <f>TEXT(VALUE(Table1[[#This Row],[Content.Column8]])*1000,"#,##0")</f>
        <v>3,243</v>
      </c>
      <c r="S161" s="12" t="str">
        <f>TEXT(VALUE(Table1[[#This Row],[Content.Column9]])*1000,"#,##0")</f>
        <v>12,499</v>
      </c>
      <c r="T161" s="12" t="str">
        <f>TEXT(VALUE(Table1[[#This Row],[Content.Column10]])*1000,"#,##0")</f>
        <v>12,502</v>
      </c>
      <c r="U161" s="13" t="str">
        <f>TEXT(VALUE(Table1[[#This Row],[Content.Column11]])*1000,"#,##0")</f>
        <v>30,817</v>
      </c>
      <c r="V161" s="13" t="str">
        <f>TEXT(VALUE(Table1[[#This Row],[Content.Column12]])*1000,"#,##0")</f>
        <v>17,941</v>
      </c>
      <c r="W161" s="13" t="str">
        <f>TEXT(VALUE(Table1[[#This Row],[Content.Column13]])*1000,"#,##0")</f>
        <v>48,757</v>
      </c>
      <c r="X161" s="13" t="str">
        <f>TEXT(VALUE(Table1[[#This Row],[Content.Column14]])*1000,"#,##0")</f>
        <v>51,197</v>
      </c>
      <c r="Y161" s="14" t="str">
        <f>TEXT(VALUE(Table1[[#This Row],[Content.Column3]])*1000,"#,##0")</f>
        <v>40,073</v>
      </c>
      <c r="Z161" s="14" t="str">
        <f>TEXT(VALUE(Table1[[#This Row],[Content.Column4]])*1000,"#,##0")</f>
        <v>21,184</v>
      </c>
      <c r="AA161" s="14" t="str">
        <f>TEXT(VALUE(Table1[[#This Row],[Content.Column5]])*1000,"#,##0")</f>
        <v>61,256</v>
      </c>
      <c r="AB161" s="14" t="str">
        <f>TEXT(VALUE(Table1[[#This Row],[Content.Column6]])*1000,"#,##0")</f>
        <v>63,699</v>
      </c>
    </row>
    <row r="162" spans="1:28" x14ac:dyDescent="0.3">
      <c r="A162" t="s">
        <v>54</v>
      </c>
      <c r="B162" t="s">
        <v>55</v>
      </c>
      <c r="C162" s="6">
        <v>43.073</v>
      </c>
      <c r="D162" s="1">
        <v>22.542999999999999</v>
      </c>
      <c r="E162" s="1">
        <v>65.616</v>
      </c>
      <c r="F162" s="1">
        <v>68.06</v>
      </c>
      <c r="G162" s="2">
        <v>6.3860000000000001</v>
      </c>
      <c r="H162" s="2">
        <v>4.9080000000000004</v>
      </c>
      <c r="I162" s="2">
        <v>11.294</v>
      </c>
      <c r="J162" s="2">
        <v>11.304</v>
      </c>
      <c r="K162" s="3">
        <v>36.686999999999998</v>
      </c>
      <c r="L162" s="3">
        <v>17.635000000000002</v>
      </c>
      <c r="M162" s="3">
        <v>54.322000000000003</v>
      </c>
      <c r="N162" s="3">
        <v>56.756</v>
      </c>
      <c r="O162">
        <v>2012</v>
      </c>
      <c r="Q162" s="12" t="str">
        <f>TEXT(VALUE(Table1[[#This Row],[Content.Column7]])*1000,"#,##0")</f>
        <v>6,386</v>
      </c>
      <c r="R162" s="12" t="str">
        <f>TEXT(VALUE(Table1[[#This Row],[Content.Column8]])*1000,"#,##0")</f>
        <v>4,908</v>
      </c>
      <c r="S162" s="12" t="str">
        <f>TEXT(VALUE(Table1[[#This Row],[Content.Column9]])*1000,"#,##0")</f>
        <v>11,294</v>
      </c>
      <c r="T162" s="12" t="str">
        <f>TEXT(VALUE(Table1[[#This Row],[Content.Column10]])*1000,"#,##0")</f>
        <v>11,304</v>
      </c>
      <c r="U162" s="13" t="str">
        <f>TEXT(VALUE(Table1[[#This Row],[Content.Column11]])*1000,"#,##0")</f>
        <v>36,687</v>
      </c>
      <c r="V162" s="13" t="str">
        <f>TEXT(VALUE(Table1[[#This Row],[Content.Column12]])*1000,"#,##0")</f>
        <v>17,635</v>
      </c>
      <c r="W162" s="13" t="str">
        <f>TEXT(VALUE(Table1[[#This Row],[Content.Column13]])*1000,"#,##0")</f>
        <v>54,322</v>
      </c>
      <c r="X162" s="13" t="str">
        <f>TEXT(VALUE(Table1[[#This Row],[Content.Column14]])*1000,"#,##0")</f>
        <v>56,756</v>
      </c>
      <c r="Y162" s="14" t="str">
        <f>TEXT(VALUE(Table1[[#This Row],[Content.Column3]])*1000,"#,##0")</f>
        <v>43,073</v>
      </c>
      <c r="Z162" s="14" t="str">
        <f>TEXT(VALUE(Table1[[#This Row],[Content.Column4]])*1000,"#,##0")</f>
        <v>22,543</v>
      </c>
      <c r="AA162" s="14" t="str">
        <f>TEXT(VALUE(Table1[[#This Row],[Content.Column5]])*1000,"#,##0")</f>
        <v>65,616</v>
      </c>
      <c r="AB162" s="14" t="str">
        <f>TEXT(VALUE(Table1[[#This Row],[Content.Column6]])*1000,"#,##0")</f>
        <v>68,060</v>
      </c>
    </row>
    <row r="163" spans="1:28" x14ac:dyDescent="0.3">
      <c r="A163" t="s">
        <v>56</v>
      </c>
      <c r="B163" t="s">
        <v>57</v>
      </c>
      <c r="C163" s="6">
        <v>48.167000000000002</v>
      </c>
      <c r="D163" s="1">
        <v>25.937999999999999</v>
      </c>
      <c r="E163" s="1">
        <v>74.105000000000004</v>
      </c>
      <c r="F163" s="1">
        <v>76.341999999999999</v>
      </c>
      <c r="G163" s="2">
        <v>10.973000000000001</v>
      </c>
      <c r="H163" s="2">
        <v>6.35</v>
      </c>
      <c r="I163" s="2">
        <v>17.324000000000002</v>
      </c>
      <c r="J163" s="2">
        <v>17.329999999999998</v>
      </c>
      <c r="K163" s="3">
        <v>37.194000000000003</v>
      </c>
      <c r="L163" s="3">
        <v>19.587</v>
      </c>
      <c r="M163" s="3">
        <v>56.780999999999999</v>
      </c>
      <c r="N163" s="3">
        <v>59.011000000000003</v>
      </c>
      <c r="O163">
        <v>2012</v>
      </c>
      <c r="Q163" s="12" t="str">
        <f>TEXT(VALUE(Table1[[#This Row],[Content.Column7]])*1000,"#,##0")</f>
        <v>10,973</v>
      </c>
      <c r="R163" s="12" t="str">
        <f>TEXT(VALUE(Table1[[#This Row],[Content.Column8]])*1000,"#,##0")</f>
        <v>6,350</v>
      </c>
      <c r="S163" s="12" t="str">
        <f>TEXT(VALUE(Table1[[#This Row],[Content.Column9]])*1000,"#,##0")</f>
        <v>17,324</v>
      </c>
      <c r="T163" s="12" t="str">
        <f>TEXT(VALUE(Table1[[#This Row],[Content.Column10]])*1000,"#,##0")</f>
        <v>17,330</v>
      </c>
      <c r="U163" s="13" t="str">
        <f>TEXT(VALUE(Table1[[#This Row],[Content.Column11]])*1000,"#,##0")</f>
        <v>37,194</v>
      </c>
      <c r="V163" s="13" t="str">
        <f>TEXT(VALUE(Table1[[#This Row],[Content.Column12]])*1000,"#,##0")</f>
        <v>19,587</v>
      </c>
      <c r="W163" s="13" t="str">
        <f>TEXT(VALUE(Table1[[#This Row],[Content.Column13]])*1000,"#,##0")</f>
        <v>56,781</v>
      </c>
      <c r="X163" s="13" t="str">
        <f>TEXT(VALUE(Table1[[#This Row],[Content.Column14]])*1000,"#,##0")</f>
        <v>59,011</v>
      </c>
      <c r="Y163" s="14" t="str">
        <f>TEXT(VALUE(Table1[[#This Row],[Content.Column3]])*1000,"#,##0")</f>
        <v>48,167</v>
      </c>
      <c r="Z163" s="14" t="str">
        <f>TEXT(VALUE(Table1[[#This Row],[Content.Column4]])*1000,"#,##0")</f>
        <v>25,938</v>
      </c>
      <c r="AA163" s="14" t="str">
        <f>TEXT(VALUE(Table1[[#This Row],[Content.Column5]])*1000,"#,##0")</f>
        <v>74,105</v>
      </c>
      <c r="AB163" s="14" t="str">
        <f>TEXT(VALUE(Table1[[#This Row],[Content.Column6]])*1000,"#,##0")</f>
        <v>76,342</v>
      </c>
    </row>
    <row r="164" spans="1:28" x14ac:dyDescent="0.3">
      <c r="A164" t="s">
        <v>58</v>
      </c>
      <c r="B164" t="s">
        <v>59</v>
      </c>
      <c r="C164" s="6">
        <v>140.23400000000001</v>
      </c>
      <c r="D164" s="1">
        <v>50.863</v>
      </c>
      <c r="E164" s="1">
        <v>191.096</v>
      </c>
      <c r="F164" s="1">
        <v>193.79900000000001</v>
      </c>
      <c r="G164" s="2">
        <v>13.521000000000001</v>
      </c>
      <c r="H164" s="2">
        <v>7.0620000000000003</v>
      </c>
      <c r="I164" s="2">
        <v>20.582999999999998</v>
      </c>
      <c r="J164" s="2">
        <v>20.588000000000001</v>
      </c>
      <c r="K164" s="3">
        <v>126.712</v>
      </c>
      <c r="L164" s="3">
        <v>43.801000000000002</v>
      </c>
      <c r="M164" s="3">
        <v>170.51300000000001</v>
      </c>
      <c r="N164" s="3">
        <v>173.21100000000001</v>
      </c>
      <c r="O164">
        <v>2012</v>
      </c>
      <c r="Q164" s="12" t="str">
        <f>TEXT(VALUE(Table1[[#This Row],[Content.Column7]])*1000,"#,##0")</f>
        <v>13,521</v>
      </c>
      <c r="R164" s="12" t="str">
        <f>TEXT(VALUE(Table1[[#This Row],[Content.Column8]])*1000,"#,##0")</f>
        <v>7,062</v>
      </c>
      <c r="S164" s="12" t="str">
        <f>TEXT(VALUE(Table1[[#This Row],[Content.Column9]])*1000,"#,##0")</f>
        <v>20,583</v>
      </c>
      <c r="T164" s="12" t="str">
        <f>TEXT(VALUE(Table1[[#This Row],[Content.Column10]])*1000,"#,##0")</f>
        <v>20,588</v>
      </c>
      <c r="U164" s="13" t="str">
        <f>TEXT(VALUE(Table1[[#This Row],[Content.Column11]])*1000,"#,##0")</f>
        <v>126,712</v>
      </c>
      <c r="V164" s="13" t="str">
        <f>TEXT(VALUE(Table1[[#This Row],[Content.Column12]])*1000,"#,##0")</f>
        <v>43,801</v>
      </c>
      <c r="W164" s="13" t="str">
        <f>TEXT(VALUE(Table1[[#This Row],[Content.Column13]])*1000,"#,##0")</f>
        <v>170,513</v>
      </c>
      <c r="X164" s="13" t="str">
        <f>TEXT(VALUE(Table1[[#This Row],[Content.Column14]])*1000,"#,##0")</f>
        <v>173,211</v>
      </c>
      <c r="Y164" s="14" t="str">
        <f>TEXT(VALUE(Table1[[#This Row],[Content.Column3]])*1000,"#,##0")</f>
        <v>140,234</v>
      </c>
      <c r="Z164" s="14" t="str">
        <f>TEXT(VALUE(Table1[[#This Row],[Content.Column4]])*1000,"#,##0")</f>
        <v>50,863</v>
      </c>
      <c r="AA164" s="14" t="str">
        <f>TEXT(VALUE(Table1[[#This Row],[Content.Column5]])*1000,"#,##0")</f>
        <v>191,096</v>
      </c>
      <c r="AB164" s="14" t="str">
        <f>TEXT(VALUE(Table1[[#This Row],[Content.Column6]])*1000,"#,##0")</f>
        <v>193,799</v>
      </c>
    </row>
    <row r="165" spans="1:28" x14ac:dyDescent="0.3">
      <c r="A165" t="s">
        <v>60</v>
      </c>
      <c r="B165" t="s">
        <v>61</v>
      </c>
      <c r="C165" s="6">
        <v>103.236</v>
      </c>
      <c r="D165" s="1">
        <v>34.508000000000003</v>
      </c>
      <c r="E165" s="1">
        <v>137.744</v>
      </c>
      <c r="F165" s="1">
        <v>140.40600000000001</v>
      </c>
      <c r="G165" s="2">
        <v>12.496</v>
      </c>
      <c r="H165" s="2">
        <v>5.5350000000000001</v>
      </c>
      <c r="I165" s="2">
        <v>18.030999999999999</v>
      </c>
      <c r="J165" s="2">
        <v>18.036999999999999</v>
      </c>
      <c r="K165" s="3">
        <v>90.74</v>
      </c>
      <c r="L165" s="3">
        <v>28.972000000000001</v>
      </c>
      <c r="M165" s="3">
        <v>119.712</v>
      </c>
      <c r="N165" s="3">
        <v>122.369</v>
      </c>
      <c r="O165">
        <v>2012</v>
      </c>
      <c r="Q165" s="12" t="str">
        <f>TEXT(VALUE(Table1[[#This Row],[Content.Column7]])*1000,"#,##0")</f>
        <v>12,496</v>
      </c>
      <c r="R165" s="12" t="str">
        <f>TEXT(VALUE(Table1[[#This Row],[Content.Column8]])*1000,"#,##0")</f>
        <v>5,535</v>
      </c>
      <c r="S165" s="12" t="str">
        <f>TEXT(VALUE(Table1[[#This Row],[Content.Column9]])*1000,"#,##0")</f>
        <v>18,031</v>
      </c>
      <c r="T165" s="12" t="str">
        <f>TEXT(VALUE(Table1[[#This Row],[Content.Column10]])*1000,"#,##0")</f>
        <v>18,037</v>
      </c>
      <c r="U165" s="13" t="str">
        <f>TEXT(VALUE(Table1[[#This Row],[Content.Column11]])*1000,"#,##0")</f>
        <v>90,740</v>
      </c>
      <c r="V165" s="13" t="str">
        <f>TEXT(VALUE(Table1[[#This Row],[Content.Column12]])*1000,"#,##0")</f>
        <v>28,972</v>
      </c>
      <c r="W165" s="13" t="str">
        <f>TEXT(VALUE(Table1[[#This Row],[Content.Column13]])*1000,"#,##0")</f>
        <v>119,712</v>
      </c>
      <c r="X165" s="13" t="str">
        <f>TEXT(VALUE(Table1[[#This Row],[Content.Column14]])*1000,"#,##0")</f>
        <v>122,369</v>
      </c>
      <c r="Y165" s="14" t="str">
        <f>TEXT(VALUE(Table1[[#This Row],[Content.Column3]])*1000,"#,##0")</f>
        <v>103,236</v>
      </c>
      <c r="Z165" s="14" t="str">
        <f>TEXT(VALUE(Table1[[#This Row],[Content.Column4]])*1000,"#,##0")</f>
        <v>34,508</v>
      </c>
      <c r="AA165" s="14" t="str">
        <f>TEXT(VALUE(Table1[[#This Row],[Content.Column5]])*1000,"#,##0")</f>
        <v>137,744</v>
      </c>
      <c r="AB165" s="14" t="str">
        <f>TEXT(VALUE(Table1[[#This Row],[Content.Column6]])*1000,"#,##0")</f>
        <v>140,406</v>
      </c>
    </row>
    <row r="166" spans="1:28" x14ac:dyDescent="0.3">
      <c r="A166" t="s">
        <v>62</v>
      </c>
      <c r="B166" t="s">
        <v>63</v>
      </c>
      <c r="C166" s="6">
        <v>144.13399999999999</v>
      </c>
      <c r="D166" s="1">
        <v>42.633000000000003</v>
      </c>
      <c r="E166" s="1">
        <v>186.767</v>
      </c>
      <c r="F166" s="1">
        <v>193.13499999999999</v>
      </c>
      <c r="G166" s="2">
        <v>23.791</v>
      </c>
      <c r="H166" s="2">
        <v>7.1340000000000003</v>
      </c>
      <c r="I166" s="2">
        <v>30.925000000000001</v>
      </c>
      <c r="J166" s="2">
        <v>30.989000000000001</v>
      </c>
      <c r="K166" s="3">
        <v>120.34399999999999</v>
      </c>
      <c r="L166" s="3">
        <v>35.499000000000002</v>
      </c>
      <c r="M166" s="3">
        <v>155.84200000000001</v>
      </c>
      <c r="N166" s="3">
        <v>162.14699999999999</v>
      </c>
      <c r="O166">
        <v>2012</v>
      </c>
      <c r="Q166" s="12" t="str">
        <f>TEXT(VALUE(Table1[[#This Row],[Content.Column7]])*1000,"#,##0")</f>
        <v>23,791</v>
      </c>
      <c r="R166" s="12" t="str">
        <f>TEXT(VALUE(Table1[[#This Row],[Content.Column8]])*1000,"#,##0")</f>
        <v>7,134</v>
      </c>
      <c r="S166" s="12" t="str">
        <f>TEXT(VALUE(Table1[[#This Row],[Content.Column9]])*1000,"#,##0")</f>
        <v>30,925</v>
      </c>
      <c r="T166" s="12" t="str">
        <f>TEXT(VALUE(Table1[[#This Row],[Content.Column10]])*1000,"#,##0")</f>
        <v>30,989</v>
      </c>
      <c r="U166" s="13" t="str">
        <f>TEXT(VALUE(Table1[[#This Row],[Content.Column11]])*1000,"#,##0")</f>
        <v>120,344</v>
      </c>
      <c r="V166" s="13" t="str">
        <f>TEXT(VALUE(Table1[[#This Row],[Content.Column12]])*1000,"#,##0")</f>
        <v>35,499</v>
      </c>
      <c r="W166" s="13" t="str">
        <f>TEXT(VALUE(Table1[[#This Row],[Content.Column13]])*1000,"#,##0")</f>
        <v>155,842</v>
      </c>
      <c r="X166" s="13" t="str">
        <f>TEXT(VALUE(Table1[[#This Row],[Content.Column14]])*1000,"#,##0")</f>
        <v>162,147</v>
      </c>
      <c r="Y166" s="14" t="str">
        <f>TEXT(VALUE(Table1[[#This Row],[Content.Column3]])*1000,"#,##0")</f>
        <v>144,134</v>
      </c>
      <c r="Z166" s="14" t="str">
        <f>TEXT(VALUE(Table1[[#This Row],[Content.Column4]])*1000,"#,##0")</f>
        <v>42,633</v>
      </c>
      <c r="AA166" s="14" t="str">
        <f>TEXT(VALUE(Table1[[#This Row],[Content.Column5]])*1000,"#,##0")</f>
        <v>186,767</v>
      </c>
      <c r="AB166" s="14" t="str">
        <f>TEXT(VALUE(Table1[[#This Row],[Content.Column6]])*1000,"#,##0")</f>
        <v>193,135</v>
      </c>
    </row>
    <row r="167" spans="1:28" x14ac:dyDescent="0.3">
      <c r="A167" t="s">
        <v>64</v>
      </c>
      <c r="B167" t="s">
        <v>65</v>
      </c>
      <c r="C167" s="6">
        <v>86.394999999999996</v>
      </c>
      <c r="D167" s="1">
        <v>35.012999999999998</v>
      </c>
      <c r="E167" s="1">
        <v>121.408</v>
      </c>
      <c r="F167" s="1">
        <v>125.294</v>
      </c>
      <c r="G167" s="2">
        <v>15.53</v>
      </c>
      <c r="H167" s="2">
        <v>4.375</v>
      </c>
      <c r="I167" s="2">
        <v>19.905000000000001</v>
      </c>
      <c r="J167" s="2">
        <v>20.004000000000001</v>
      </c>
      <c r="K167" s="3">
        <v>70.864999999999995</v>
      </c>
      <c r="L167" s="3">
        <v>30.638000000000002</v>
      </c>
      <c r="M167" s="3">
        <v>101.503</v>
      </c>
      <c r="N167" s="3">
        <v>105.29</v>
      </c>
      <c r="O167">
        <v>2012</v>
      </c>
      <c r="Q167" s="12" t="str">
        <f>TEXT(VALUE(Table1[[#This Row],[Content.Column7]])*1000,"#,##0")</f>
        <v>15,530</v>
      </c>
      <c r="R167" s="12" t="str">
        <f>TEXT(VALUE(Table1[[#This Row],[Content.Column8]])*1000,"#,##0")</f>
        <v>4,375</v>
      </c>
      <c r="S167" s="12" t="str">
        <f>TEXT(VALUE(Table1[[#This Row],[Content.Column9]])*1000,"#,##0")</f>
        <v>19,905</v>
      </c>
      <c r="T167" s="12" t="str">
        <f>TEXT(VALUE(Table1[[#This Row],[Content.Column10]])*1000,"#,##0")</f>
        <v>20,004</v>
      </c>
      <c r="U167" s="13" t="str">
        <f>TEXT(VALUE(Table1[[#This Row],[Content.Column11]])*1000,"#,##0")</f>
        <v>70,865</v>
      </c>
      <c r="V167" s="13" t="str">
        <f>TEXT(VALUE(Table1[[#This Row],[Content.Column12]])*1000,"#,##0")</f>
        <v>30,638</v>
      </c>
      <c r="W167" s="13" t="str">
        <f>TEXT(VALUE(Table1[[#This Row],[Content.Column13]])*1000,"#,##0")</f>
        <v>101,503</v>
      </c>
      <c r="X167" s="13" t="str">
        <f>TEXT(VALUE(Table1[[#This Row],[Content.Column14]])*1000,"#,##0")</f>
        <v>105,290</v>
      </c>
      <c r="Y167" s="14" t="str">
        <f>TEXT(VALUE(Table1[[#This Row],[Content.Column3]])*1000,"#,##0")</f>
        <v>86,395</v>
      </c>
      <c r="Z167" s="14" t="str">
        <f>TEXT(VALUE(Table1[[#This Row],[Content.Column4]])*1000,"#,##0")</f>
        <v>35,013</v>
      </c>
      <c r="AA167" s="14" t="str">
        <f>TEXT(VALUE(Table1[[#This Row],[Content.Column5]])*1000,"#,##0")</f>
        <v>121,408</v>
      </c>
      <c r="AB167" s="14" t="str">
        <f>TEXT(VALUE(Table1[[#This Row],[Content.Column6]])*1000,"#,##0")</f>
        <v>125,294</v>
      </c>
    </row>
    <row r="168" spans="1:28" x14ac:dyDescent="0.3">
      <c r="A168" t="s">
        <v>66</v>
      </c>
      <c r="B168" t="s">
        <v>67</v>
      </c>
      <c r="C168" s="6">
        <v>44.622999999999998</v>
      </c>
      <c r="D168" s="1">
        <v>27.003</v>
      </c>
      <c r="E168" s="1">
        <v>71.626999999999995</v>
      </c>
      <c r="F168" s="1">
        <v>73.393000000000001</v>
      </c>
      <c r="G168" s="2">
        <v>8.8230000000000004</v>
      </c>
      <c r="H168" s="2">
        <v>5.3440000000000003</v>
      </c>
      <c r="I168" s="2">
        <v>14.167</v>
      </c>
      <c r="J168" s="2">
        <v>14.180999999999999</v>
      </c>
      <c r="K168" s="3">
        <v>35.799999999999997</v>
      </c>
      <c r="L168" s="3">
        <v>21.658999999999999</v>
      </c>
      <c r="M168" s="3">
        <v>57.46</v>
      </c>
      <c r="N168" s="3">
        <v>59.212000000000003</v>
      </c>
      <c r="O168">
        <v>2012</v>
      </c>
      <c r="Q168" s="12" t="str">
        <f>TEXT(VALUE(Table1[[#This Row],[Content.Column7]])*1000,"#,##0")</f>
        <v>8,823</v>
      </c>
      <c r="R168" s="12" t="str">
        <f>TEXT(VALUE(Table1[[#This Row],[Content.Column8]])*1000,"#,##0")</f>
        <v>5,344</v>
      </c>
      <c r="S168" s="12" t="str">
        <f>TEXT(VALUE(Table1[[#This Row],[Content.Column9]])*1000,"#,##0")</f>
        <v>14,167</v>
      </c>
      <c r="T168" s="12" t="str">
        <f>TEXT(VALUE(Table1[[#This Row],[Content.Column10]])*1000,"#,##0")</f>
        <v>14,181</v>
      </c>
      <c r="U168" s="13" t="str">
        <f>TEXT(VALUE(Table1[[#This Row],[Content.Column11]])*1000,"#,##0")</f>
        <v>35,800</v>
      </c>
      <c r="V168" s="13" t="str">
        <f>TEXT(VALUE(Table1[[#This Row],[Content.Column12]])*1000,"#,##0")</f>
        <v>21,659</v>
      </c>
      <c r="W168" s="13" t="str">
        <f>TEXT(VALUE(Table1[[#This Row],[Content.Column13]])*1000,"#,##0")</f>
        <v>57,460</v>
      </c>
      <c r="X168" s="13" t="str">
        <f>TEXT(VALUE(Table1[[#This Row],[Content.Column14]])*1000,"#,##0")</f>
        <v>59,212</v>
      </c>
      <c r="Y168" s="14" t="str">
        <f>TEXT(VALUE(Table1[[#This Row],[Content.Column3]])*1000,"#,##0")</f>
        <v>44,623</v>
      </c>
      <c r="Z168" s="14" t="str">
        <f>TEXT(VALUE(Table1[[#This Row],[Content.Column4]])*1000,"#,##0")</f>
        <v>27,003</v>
      </c>
      <c r="AA168" s="14" t="str">
        <f>TEXT(VALUE(Table1[[#This Row],[Content.Column5]])*1000,"#,##0")</f>
        <v>71,627</v>
      </c>
      <c r="AB168" s="14" t="str">
        <f>TEXT(VALUE(Table1[[#This Row],[Content.Column6]])*1000,"#,##0")</f>
        <v>73,393</v>
      </c>
    </row>
    <row r="169" spans="1:28" x14ac:dyDescent="0.3">
      <c r="A169" t="s">
        <v>68</v>
      </c>
      <c r="B169" t="s">
        <v>69</v>
      </c>
      <c r="C169" s="6">
        <v>92.727000000000004</v>
      </c>
      <c r="D169" s="1">
        <v>37.933999999999997</v>
      </c>
      <c r="E169" s="1">
        <v>130.661</v>
      </c>
      <c r="F169" s="1">
        <v>134.21600000000001</v>
      </c>
      <c r="G169" s="2">
        <v>26.219000000000001</v>
      </c>
      <c r="H169" s="2">
        <v>6.5839999999999996</v>
      </c>
      <c r="I169" s="2">
        <v>32.802</v>
      </c>
      <c r="J169" s="2">
        <v>32.835999999999999</v>
      </c>
      <c r="K169" s="3">
        <v>66.509</v>
      </c>
      <c r="L169" s="3">
        <v>31.35</v>
      </c>
      <c r="M169" s="3">
        <v>97.858999999999995</v>
      </c>
      <c r="N169" s="3">
        <v>101.379</v>
      </c>
      <c r="O169">
        <v>2012</v>
      </c>
      <c r="Q169" s="12" t="str">
        <f>TEXT(VALUE(Table1[[#This Row],[Content.Column7]])*1000,"#,##0")</f>
        <v>26,219</v>
      </c>
      <c r="R169" s="12" t="str">
        <f>TEXT(VALUE(Table1[[#This Row],[Content.Column8]])*1000,"#,##0")</f>
        <v>6,584</v>
      </c>
      <c r="S169" s="12" t="str">
        <f>TEXT(VALUE(Table1[[#This Row],[Content.Column9]])*1000,"#,##0")</f>
        <v>32,802</v>
      </c>
      <c r="T169" s="12" t="str">
        <f>TEXT(VALUE(Table1[[#This Row],[Content.Column10]])*1000,"#,##0")</f>
        <v>32,836</v>
      </c>
      <c r="U169" s="13" t="str">
        <f>TEXT(VALUE(Table1[[#This Row],[Content.Column11]])*1000,"#,##0")</f>
        <v>66,509</v>
      </c>
      <c r="V169" s="13" t="str">
        <f>TEXT(VALUE(Table1[[#This Row],[Content.Column12]])*1000,"#,##0")</f>
        <v>31,350</v>
      </c>
      <c r="W169" s="13" t="str">
        <f>TEXT(VALUE(Table1[[#This Row],[Content.Column13]])*1000,"#,##0")</f>
        <v>97,859</v>
      </c>
      <c r="X169" s="13" t="str">
        <f>TEXT(VALUE(Table1[[#This Row],[Content.Column14]])*1000,"#,##0")</f>
        <v>101,379</v>
      </c>
      <c r="Y169" s="14" t="str">
        <f>TEXT(VALUE(Table1[[#This Row],[Content.Column3]])*1000,"#,##0")</f>
        <v>92,727</v>
      </c>
      <c r="Z169" s="14" t="str">
        <f>TEXT(VALUE(Table1[[#This Row],[Content.Column4]])*1000,"#,##0")</f>
        <v>37,934</v>
      </c>
      <c r="AA169" s="14" t="str">
        <f>TEXT(VALUE(Table1[[#This Row],[Content.Column5]])*1000,"#,##0")</f>
        <v>130,661</v>
      </c>
      <c r="AB169" s="14" t="str">
        <f>TEXT(VALUE(Table1[[#This Row],[Content.Column6]])*1000,"#,##0")</f>
        <v>134,216</v>
      </c>
    </row>
    <row r="170" spans="1:28" x14ac:dyDescent="0.3">
      <c r="A170" t="s">
        <v>70</v>
      </c>
      <c r="B170" t="s">
        <v>71</v>
      </c>
      <c r="C170" s="6">
        <v>36.697000000000003</v>
      </c>
      <c r="D170" s="1">
        <v>24.344999999999999</v>
      </c>
      <c r="E170" s="1">
        <v>61.040999999999997</v>
      </c>
      <c r="F170" s="1">
        <v>63.146999999999998</v>
      </c>
      <c r="G170" s="2">
        <v>7.9089999999999998</v>
      </c>
      <c r="H170" s="2">
        <v>7.5449999999999999</v>
      </c>
      <c r="I170" s="2">
        <v>15.454000000000001</v>
      </c>
      <c r="J170" s="2">
        <v>15.654</v>
      </c>
      <c r="K170" s="3">
        <v>28.788</v>
      </c>
      <c r="L170" s="3">
        <v>16.798999999999999</v>
      </c>
      <c r="M170" s="3">
        <v>45.587000000000003</v>
      </c>
      <c r="N170" s="3">
        <v>47.493000000000002</v>
      </c>
      <c r="O170">
        <v>2012</v>
      </c>
      <c r="Q170" s="12" t="str">
        <f>TEXT(VALUE(Table1[[#This Row],[Content.Column7]])*1000,"#,##0")</f>
        <v>7,909</v>
      </c>
      <c r="R170" s="12" t="str">
        <f>TEXT(VALUE(Table1[[#This Row],[Content.Column8]])*1000,"#,##0")</f>
        <v>7,545</v>
      </c>
      <c r="S170" s="12" t="str">
        <f>TEXT(VALUE(Table1[[#This Row],[Content.Column9]])*1000,"#,##0")</f>
        <v>15,454</v>
      </c>
      <c r="T170" s="12" t="str">
        <f>TEXT(VALUE(Table1[[#This Row],[Content.Column10]])*1000,"#,##0")</f>
        <v>15,654</v>
      </c>
      <c r="U170" s="13" t="str">
        <f>TEXT(VALUE(Table1[[#This Row],[Content.Column11]])*1000,"#,##0")</f>
        <v>28,788</v>
      </c>
      <c r="V170" s="13" t="str">
        <f>TEXT(VALUE(Table1[[#This Row],[Content.Column12]])*1000,"#,##0")</f>
        <v>16,799</v>
      </c>
      <c r="W170" s="13" t="str">
        <f>TEXT(VALUE(Table1[[#This Row],[Content.Column13]])*1000,"#,##0")</f>
        <v>45,587</v>
      </c>
      <c r="X170" s="13" t="str">
        <f>TEXT(VALUE(Table1[[#This Row],[Content.Column14]])*1000,"#,##0")</f>
        <v>47,493</v>
      </c>
      <c r="Y170" s="14" t="str">
        <f>TEXT(VALUE(Table1[[#This Row],[Content.Column3]])*1000,"#,##0")</f>
        <v>36,697</v>
      </c>
      <c r="Z170" s="14" t="str">
        <f>TEXT(VALUE(Table1[[#This Row],[Content.Column4]])*1000,"#,##0")</f>
        <v>24,345</v>
      </c>
      <c r="AA170" s="14" t="str">
        <f>TEXT(VALUE(Table1[[#This Row],[Content.Column5]])*1000,"#,##0")</f>
        <v>61,041</v>
      </c>
      <c r="AB170" s="14" t="str">
        <f>TEXT(VALUE(Table1[[#This Row],[Content.Column6]])*1000,"#,##0")</f>
        <v>63,147</v>
      </c>
    </row>
    <row r="171" spans="1:28" x14ac:dyDescent="0.3">
      <c r="A171" t="s">
        <v>72</v>
      </c>
      <c r="B171" t="s">
        <v>73</v>
      </c>
      <c r="C171" s="6">
        <v>50.296999999999997</v>
      </c>
      <c r="D171" s="1">
        <v>23.481999999999999</v>
      </c>
      <c r="E171" s="1">
        <v>73.778000000000006</v>
      </c>
      <c r="F171" s="1">
        <v>75.665000000000006</v>
      </c>
      <c r="G171" s="2">
        <v>6.4880000000000004</v>
      </c>
      <c r="H171" s="2">
        <v>3.343</v>
      </c>
      <c r="I171" s="2">
        <v>9.8309999999999995</v>
      </c>
      <c r="J171" s="2">
        <v>9.8390000000000004</v>
      </c>
      <c r="K171" s="3">
        <v>43.808999999999997</v>
      </c>
      <c r="L171" s="3">
        <v>20.138000000000002</v>
      </c>
      <c r="M171" s="3">
        <v>63.947000000000003</v>
      </c>
      <c r="N171" s="3">
        <v>65.825999999999993</v>
      </c>
      <c r="O171">
        <v>2012</v>
      </c>
      <c r="Q171" s="12" t="str">
        <f>TEXT(VALUE(Table1[[#This Row],[Content.Column7]])*1000,"#,##0")</f>
        <v>6,488</v>
      </c>
      <c r="R171" s="12" t="str">
        <f>TEXT(VALUE(Table1[[#This Row],[Content.Column8]])*1000,"#,##0")</f>
        <v>3,343</v>
      </c>
      <c r="S171" s="12" t="str">
        <f>TEXT(VALUE(Table1[[#This Row],[Content.Column9]])*1000,"#,##0")</f>
        <v>9,831</v>
      </c>
      <c r="T171" s="12" t="str">
        <f>TEXT(VALUE(Table1[[#This Row],[Content.Column10]])*1000,"#,##0")</f>
        <v>9,839</v>
      </c>
      <c r="U171" s="13" t="str">
        <f>TEXT(VALUE(Table1[[#This Row],[Content.Column11]])*1000,"#,##0")</f>
        <v>43,809</v>
      </c>
      <c r="V171" s="13" t="str">
        <f>TEXT(VALUE(Table1[[#This Row],[Content.Column12]])*1000,"#,##0")</f>
        <v>20,138</v>
      </c>
      <c r="W171" s="13" t="str">
        <f>TEXT(VALUE(Table1[[#This Row],[Content.Column13]])*1000,"#,##0")</f>
        <v>63,947</v>
      </c>
      <c r="X171" s="13" t="str">
        <f>TEXT(VALUE(Table1[[#This Row],[Content.Column14]])*1000,"#,##0")</f>
        <v>65,826</v>
      </c>
      <c r="Y171" s="14" t="str">
        <f>TEXT(VALUE(Table1[[#This Row],[Content.Column3]])*1000,"#,##0")</f>
        <v>50,297</v>
      </c>
      <c r="Z171" s="14" t="str">
        <f>TEXT(VALUE(Table1[[#This Row],[Content.Column4]])*1000,"#,##0")</f>
        <v>23,482</v>
      </c>
      <c r="AA171" s="14" t="str">
        <f>TEXT(VALUE(Table1[[#This Row],[Content.Column5]])*1000,"#,##0")</f>
        <v>73,778</v>
      </c>
      <c r="AB171" s="14" t="str">
        <f>TEXT(VALUE(Table1[[#This Row],[Content.Column6]])*1000,"#,##0")</f>
        <v>75,665</v>
      </c>
    </row>
    <row r="172" spans="1:28" x14ac:dyDescent="0.3">
      <c r="A172" t="s">
        <v>74</v>
      </c>
      <c r="B172" t="s">
        <v>75</v>
      </c>
      <c r="C172" s="6">
        <v>57.927</v>
      </c>
      <c r="D172" s="1">
        <v>28.263999999999999</v>
      </c>
      <c r="E172" s="1">
        <v>86.191000000000003</v>
      </c>
      <c r="F172" s="1">
        <v>88.292000000000002</v>
      </c>
      <c r="G172" s="2">
        <v>17.516999999999999</v>
      </c>
      <c r="H172" s="2">
        <v>4.7060000000000004</v>
      </c>
      <c r="I172" s="2">
        <v>22.222999999999999</v>
      </c>
      <c r="J172" s="2">
        <v>22.23</v>
      </c>
      <c r="K172" s="3">
        <v>40.409999999999997</v>
      </c>
      <c r="L172" s="3">
        <v>23.558</v>
      </c>
      <c r="M172" s="3">
        <v>63.968000000000004</v>
      </c>
      <c r="N172" s="3">
        <v>66.061999999999998</v>
      </c>
      <c r="O172">
        <v>2012</v>
      </c>
      <c r="Q172" s="12" t="str">
        <f>TEXT(VALUE(Table1[[#This Row],[Content.Column7]])*1000,"#,##0")</f>
        <v>17,517</v>
      </c>
      <c r="R172" s="12" t="str">
        <f>TEXT(VALUE(Table1[[#This Row],[Content.Column8]])*1000,"#,##0")</f>
        <v>4,706</v>
      </c>
      <c r="S172" s="12" t="str">
        <f>TEXT(VALUE(Table1[[#This Row],[Content.Column9]])*1000,"#,##0")</f>
        <v>22,223</v>
      </c>
      <c r="T172" s="12" t="str">
        <f>TEXT(VALUE(Table1[[#This Row],[Content.Column10]])*1000,"#,##0")</f>
        <v>22,230</v>
      </c>
      <c r="U172" s="13" t="str">
        <f>TEXT(VALUE(Table1[[#This Row],[Content.Column11]])*1000,"#,##0")</f>
        <v>40,410</v>
      </c>
      <c r="V172" s="13" t="str">
        <f>TEXT(VALUE(Table1[[#This Row],[Content.Column12]])*1000,"#,##0")</f>
        <v>23,558</v>
      </c>
      <c r="W172" s="13" t="str">
        <f>TEXT(VALUE(Table1[[#This Row],[Content.Column13]])*1000,"#,##0")</f>
        <v>63,968</v>
      </c>
      <c r="X172" s="13" t="str">
        <f>TEXT(VALUE(Table1[[#This Row],[Content.Column14]])*1000,"#,##0")</f>
        <v>66,062</v>
      </c>
      <c r="Y172" s="14" t="str">
        <f>TEXT(VALUE(Table1[[#This Row],[Content.Column3]])*1000,"#,##0")</f>
        <v>57,927</v>
      </c>
      <c r="Z172" s="14" t="str">
        <f>TEXT(VALUE(Table1[[#This Row],[Content.Column4]])*1000,"#,##0")</f>
        <v>28,264</v>
      </c>
      <c r="AA172" s="14" t="str">
        <f>TEXT(VALUE(Table1[[#This Row],[Content.Column5]])*1000,"#,##0")</f>
        <v>86,191</v>
      </c>
      <c r="AB172" s="14" t="str">
        <f>TEXT(VALUE(Table1[[#This Row],[Content.Column6]])*1000,"#,##0")</f>
        <v>88,292</v>
      </c>
    </row>
    <row r="173" spans="1:28" x14ac:dyDescent="0.3">
      <c r="A173" t="s">
        <v>76</v>
      </c>
      <c r="B173" t="s">
        <v>77</v>
      </c>
      <c r="C173" s="6">
        <v>44.101999999999997</v>
      </c>
      <c r="D173" s="1">
        <v>25.202999999999999</v>
      </c>
      <c r="E173" s="1">
        <v>69.305000000000007</v>
      </c>
      <c r="F173" s="1">
        <v>71.366</v>
      </c>
      <c r="G173" s="2">
        <v>11.766999999999999</v>
      </c>
      <c r="H173" s="2">
        <v>7.0549999999999997</v>
      </c>
      <c r="I173" s="2">
        <v>18.821999999999999</v>
      </c>
      <c r="J173" s="2">
        <v>18.832000000000001</v>
      </c>
      <c r="K173" s="3">
        <v>32.335000000000001</v>
      </c>
      <c r="L173" s="3">
        <v>18.148</v>
      </c>
      <c r="M173" s="3">
        <v>50.482999999999997</v>
      </c>
      <c r="N173" s="3">
        <v>52.533999999999999</v>
      </c>
      <c r="O173">
        <v>2012</v>
      </c>
      <c r="Q173" s="12" t="str">
        <f>TEXT(VALUE(Table1[[#This Row],[Content.Column7]])*1000,"#,##0")</f>
        <v>11,767</v>
      </c>
      <c r="R173" s="12" t="str">
        <f>TEXT(VALUE(Table1[[#This Row],[Content.Column8]])*1000,"#,##0")</f>
        <v>7,055</v>
      </c>
      <c r="S173" s="12" t="str">
        <f>TEXT(VALUE(Table1[[#This Row],[Content.Column9]])*1000,"#,##0")</f>
        <v>18,822</v>
      </c>
      <c r="T173" s="12" t="str">
        <f>TEXT(VALUE(Table1[[#This Row],[Content.Column10]])*1000,"#,##0")</f>
        <v>18,832</v>
      </c>
      <c r="U173" s="13" t="str">
        <f>TEXT(VALUE(Table1[[#This Row],[Content.Column11]])*1000,"#,##0")</f>
        <v>32,335</v>
      </c>
      <c r="V173" s="13" t="str">
        <f>TEXT(VALUE(Table1[[#This Row],[Content.Column12]])*1000,"#,##0")</f>
        <v>18,148</v>
      </c>
      <c r="W173" s="13" t="str">
        <f>TEXT(VALUE(Table1[[#This Row],[Content.Column13]])*1000,"#,##0")</f>
        <v>50,483</v>
      </c>
      <c r="X173" s="13" t="str">
        <f>TEXT(VALUE(Table1[[#This Row],[Content.Column14]])*1000,"#,##0")</f>
        <v>52,534</v>
      </c>
      <c r="Y173" s="14" t="str">
        <f>TEXT(VALUE(Table1[[#This Row],[Content.Column3]])*1000,"#,##0")</f>
        <v>44,102</v>
      </c>
      <c r="Z173" s="14" t="str">
        <f>TEXT(VALUE(Table1[[#This Row],[Content.Column4]])*1000,"#,##0")</f>
        <v>25,203</v>
      </c>
      <c r="AA173" s="14" t="str">
        <f>TEXT(VALUE(Table1[[#This Row],[Content.Column5]])*1000,"#,##0")</f>
        <v>69,305</v>
      </c>
      <c r="AB173" s="14" t="str">
        <f>TEXT(VALUE(Table1[[#This Row],[Content.Column6]])*1000,"#,##0")</f>
        <v>71,366</v>
      </c>
    </row>
    <row r="174" spans="1:28" x14ac:dyDescent="0.3">
      <c r="A174" t="s">
        <v>78</v>
      </c>
      <c r="B174" t="s">
        <v>79</v>
      </c>
      <c r="C174" s="6">
        <v>49.539000000000001</v>
      </c>
      <c r="D174" s="1">
        <v>21.597000000000001</v>
      </c>
      <c r="E174" s="1">
        <v>71.135999999999996</v>
      </c>
      <c r="F174" s="1">
        <v>74.269000000000005</v>
      </c>
      <c r="G174" s="2">
        <v>5.9530000000000003</v>
      </c>
      <c r="H174" s="2">
        <v>3.4039999999999999</v>
      </c>
      <c r="I174" s="2">
        <v>9.3569999999999993</v>
      </c>
      <c r="J174" s="2">
        <v>9.3620000000000001</v>
      </c>
      <c r="K174" s="3">
        <v>43.585999999999999</v>
      </c>
      <c r="L174" s="3">
        <v>18.193000000000001</v>
      </c>
      <c r="M174" s="3">
        <v>61.779000000000003</v>
      </c>
      <c r="N174" s="3">
        <v>64.906999999999996</v>
      </c>
      <c r="O174">
        <v>2012</v>
      </c>
      <c r="Q174" s="12" t="str">
        <f>TEXT(VALUE(Table1[[#This Row],[Content.Column7]])*1000,"#,##0")</f>
        <v>5,953</v>
      </c>
      <c r="R174" s="12" t="str">
        <f>TEXT(VALUE(Table1[[#This Row],[Content.Column8]])*1000,"#,##0")</f>
        <v>3,404</v>
      </c>
      <c r="S174" s="12" t="str">
        <f>TEXT(VALUE(Table1[[#This Row],[Content.Column9]])*1000,"#,##0")</f>
        <v>9,357</v>
      </c>
      <c r="T174" s="12" t="str">
        <f>TEXT(VALUE(Table1[[#This Row],[Content.Column10]])*1000,"#,##0")</f>
        <v>9,362</v>
      </c>
      <c r="U174" s="13" t="str">
        <f>TEXT(VALUE(Table1[[#This Row],[Content.Column11]])*1000,"#,##0")</f>
        <v>43,586</v>
      </c>
      <c r="V174" s="13" t="str">
        <f>TEXT(VALUE(Table1[[#This Row],[Content.Column12]])*1000,"#,##0")</f>
        <v>18,193</v>
      </c>
      <c r="W174" s="13" t="str">
        <f>TEXT(VALUE(Table1[[#This Row],[Content.Column13]])*1000,"#,##0")</f>
        <v>61,779</v>
      </c>
      <c r="X174" s="13" t="str">
        <f>TEXT(VALUE(Table1[[#This Row],[Content.Column14]])*1000,"#,##0")</f>
        <v>64,907</v>
      </c>
      <c r="Y174" s="14" t="str">
        <f>TEXT(VALUE(Table1[[#This Row],[Content.Column3]])*1000,"#,##0")</f>
        <v>49,539</v>
      </c>
      <c r="Z174" s="14" t="str">
        <f>TEXT(VALUE(Table1[[#This Row],[Content.Column4]])*1000,"#,##0")</f>
        <v>21,597</v>
      </c>
      <c r="AA174" s="14" t="str">
        <f>TEXT(VALUE(Table1[[#This Row],[Content.Column5]])*1000,"#,##0")</f>
        <v>71,136</v>
      </c>
      <c r="AB174" s="14" t="str">
        <f>TEXT(VALUE(Table1[[#This Row],[Content.Column6]])*1000,"#,##0")</f>
        <v>74,269</v>
      </c>
    </row>
    <row r="175" spans="1:28" x14ac:dyDescent="0.3">
      <c r="A175" t="s">
        <v>80</v>
      </c>
      <c r="B175" t="s">
        <v>81</v>
      </c>
      <c r="C175" s="6">
        <v>153.02699999999999</v>
      </c>
      <c r="D175" s="1">
        <v>42.256</v>
      </c>
      <c r="E175" s="1">
        <v>195.28299999999999</v>
      </c>
      <c r="F175" s="1">
        <v>201.447</v>
      </c>
      <c r="G175" s="2">
        <v>34.616</v>
      </c>
      <c r="H175" s="2">
        <v>6.9669999999999996</v>
      </c>
      <c r="I175" s="2">
        <v>41.582999999999998</v>
      </c>
      <c r="J175" s="2">
        <v>41.649000000000001</v>
      </c>
      <c r="K175" s="3">
        <v>118.411</v>
      </c>
      <c r="L175" s="3">
        <v>35.289000000000001</v>
      </c>
      <c r="M175" s="3">
        <v>153.69999999999999</v>
      </c>
      <c r="N175" s="3">
        <v>159.797</v>
      </c>
      <c r="O175">
        <v>2012</v>
      </c>
      <c r="Q175" s="12" t="str">
        <f>TEXT(VALUE(Table1[[#This Row],[Content.Column7]])*1000,"#,##0")</f>
        <v>34,616</v>
      </c>
      <c r="R175" s="12" t="str">
        <f>TEXT(VALUE(Table1[[#This Row],[Content.Column8]])*1000,"#,##0")</f>
        <v>6,967</v>
      </c>
      <c r="S175" s="12" t="str">
        <f>TEXT(VALUE(Table1[[#This Row],[Content.Column9]])*1000,"#,##0")</f>
        <v>41,583</v>
      </c>
      <c r="T175" s="12" t="str">
        <f>TEXT(VALUE(Table1[[#This Row],[Content.Column10]])*1000,"#,##0")</f>
        <v>41,649</v>
      </c>
      <c r="U175" s="13" t="str">
        <f>TEXT(VALUE(Table1[[#This Row],[Content.Column11]])*1000,"#,##0")</f>
        <v>118,411</v>
      </c>
      <c r="V175" s="13" t="str">
        <f>TEXT(VALUE(Table1[[#This Row],[Content.Column12]])*1000,"#,##0")</f>
        <v>35,289</v>
      </c>
      <c r="W175" s="13" t="str">
        <f>TEXT(VALUE(Table1[[#This Row],[Content.Column13]])*1000,"#,##0")</f>
        <v>153,700</v>
      </c>
      <c r="X175" s="13" t="str">
        <f>TEXT(VALUE(Table1[[#This Row],[Content.Column14]])*1000,"#,##0")</f>
        <v>159,797</v>
      </c>
      <c r="Y175" s="14" t="str">
        <f>TEXT(VALUE(Table1[[#This Row],[Content.Column3]])*1000,"#,##0")</f>
        <v>153,027</v>
      </c>
      <c r="Z175" s="14" t="str">
        <f>TEXT(VALUE(Table1[[#This Row],[Content.Column4]])*1000,"#,##0")</f>
        <v>42,256</v>
      </c>
      <c r="AA175" s="14" t="str">
        <f>TEXT(VALUE(Table1[[#This Row],[Content.Column5]])*1000,"#,##0")</f>
        <v>195,283</v>
      </c>
      <c r="AB175" s="14" t="str">
        <f>TEXT(VALUE(Table1[[#This Row],[Content.Column6]])*1000,"#,##0")</f>
        <v>201,447</v>
      </c>
    </row>
    <row r="176" spans="1:28" x14ac:dyDescent="0.3">
      <c r="A176" t="s">
        <v>82</v>
      </c>
      <c r="B176" t="s">
        <v>83</v>
      </c>
      <c r="C176" s="6">
        <v>44.433999999999997</v>
      </c>
      <c r="D176" s="1">
        <v>23.841999999999999</v>
      </c>
      <c r="E176" s="1">
        <v>68.275999999999996</v>
      </c>
      <c r="F176" s="1">
        <v>70.165999999999997</v>
      </c>
      <c r="G176" s="2">
        <v>9.2910000000000004</v>
      </c>
      <c r="H176" s="2">
        <v>4.8550000000000004</v>
      </c>
      <c r="I176" s="2">
        <v>14.146000000000001</v>
      </c>
      <c r="J176" s="2">
        <v>14.167</v>
      </c>
      <c r="K176" s="3">
        <v>35.143000000000001</v>
      </c>
      <c r="L176" s="3">
        <v>18.986999999999998</v>
      </c>
      <c r="M176" s="3">
        <v>54.13</v>
      </c>
      <c r="N176" s="3">
        <v>55.999000000000002</v>
      </c>
      <c r="O176">
        <v>2012</v>
      </c>
      <c r="Q176" s="12" t="str">
        <f>TEXT(VALUE(Table1[[#This Row],[Content.Column7]])*1000,"#,##0")</f>
        <v>9,291</v>
      </c>
      <c r="R176" s="12" t="str">
        <f>TEXT(VALUE(Table1[[#This Row],[Content.Column8]])*1000,"#,##0")</f>
        <v>4,855</v>
      </c>
      <c r="S176" s="12" t="str">
        <f>TEXT(VALUE(Table1[[#This Row],[Content.Column9]])*1000,"#,##0")</f>
        <v>14,146</v>
      </c>
      <c r="T176" s="12" t="str">
        <f>TEXT(VALUE(Table1[[#This Row],[Content.Column10]])*1000,"#,##0")</f>
        <v>14,167</v>
      </c>
      <c r="U176" s="13" t="str">
        <f>TEXT(VALUE(Table1[[#This Row],[Content.Column11]])*1000,"#,##0")</f>
        <v>35,143</v>
      </c>
      <c r="V176" s="13" t="str">
        <f>TEXT(VALUE(Table1[[#This Row],[Content.Column12]])*1000,"#,##0")</f>
        <v>18,987</v>
      </c>
      <c r="W176" s="13" t="str">
        <f>TEXT(VALUE(Table1[[#This Row],[Content.Column13]])*1000,"#,##0")</f>
        <v>54,130</v>
      </c>
      <c r="X176" s="13" t="str">
        <f>TEXT(VALUE(Table1[[#This Row],[Content.Column14]])*1000,"#,##0")</f>
        <v>55,999</v>
      </c>
      <c r="Y176" s="14" t="str">
        <f>TEXT(VALUE(Table1[[#This Row],[Content.Column3]])*1000,"#,##0")</f>
        <v>44,434</v>
      </c>
      <c r="Z176" s="14" t="str">
        <f>TEXT(VALUE(Table1[[#This Row],[Content.Column4]])*1000,"#,##0")</f>
        <v>23,842</v>
      </c>
      <c r="AA176" s="14" t="str">
        <f>TEXT(VALUE(Table1[[#This Row],[Content.Column5]])*1000,"#,##0")</f>
        <v>68,276</v>
      </c>
      <c r="AB176" s="14" t="str">
        <f>TEXT(VALUE(Table1[[#This Row],[Content.Column6]])*1000,"#,##0")</f>
        <v>70,166</v>
      </c>
    </row>
    <row r="177" spans="1:28" x14ac:dyDescent="0.3">
      <c r="A177" t="s">
        <v>84</v>
      </c>
      <c r="B177" t="s">
        <v>85</v>
      </c>
      <c r="C177" s="6">
        <v>188.28</v>
      </c>
      <c r="D177" s="1">
        <v>47.591999999999999</v>
      </c>
      <c r="E177" s="1">
        <v>235.87200000000001</v>
      </c>
      <c r="F177" s="1">
        <v>240.41300000000001</v>
      </c>
      <c r="G177" s="2">
        <v>32.222000000000001</v>
      </c>
      <c r="H177" s="2">
        <v>9.5269999999999992</v>
      </c>
      <c r="I177" s="2">
        <v>41.749000000000002</v>
      </c>
      <c r="J177" s="2">
        <v>42.024999999999999</v>
      </c>
      <c r="K177" s="3">
        <v>156.05799999999999</v>
      </c>
      <c r="L177" s="3">
        <v>38.064999999999998</v>
      </c>
      <c r="M177" s="3">
        <v>194.12299999999999</v>
      </c>
      <c r="N177" s="3">
        <v>198.38800000000001</v>
      </c>
      <c r="O177">
        <v>2012</v>
      </c>
      <c r="Q177" s="12" t="str">
        <f>TEXT(VALUE(Table1[[#This Row],[Content.Column7]])*1000,"#,##0")</f>
        <v>32,222</v>
      </c>
      <c r="R177" s="12" t="str">
        <f>TEXT(VALUE(Table1[[#This Row],[Content.Column8]])*1000,"#,##0")</f>
        <v>9,527</v>
      </c>
      <c r="S177" s="12" t="str">
        <f>TEXT(VALUE(Table1[[#This Row],[Content.Column9]])*1000,"#,##0")</f>
        <v>41,749</v>
      </c>
      <c r="T177" s="12" t="str">
        <f>TEXT(VALUE(Table1[[#This Row],[Content.Column10]])*1000,"#,##0")</f>
        <v>42,025</v>
      </c>
      <c r="U177" s="13" t="str">
        <f>TEXT(VALUE(Table1[[#This Row],[Content.Column11]])*1000,"#,##0")</f>
        <v>156,058</v>
      </c>
      <c r="V177" s="13" t="str">
        <f>TEXT(VALUE(Table1[[#This Row],[Content.Column12]])*1000,"#,##0")</f>
        <v>38,065</v>
      </c>
      <c r="W177" s="13" t="str">
        <f>TEXT(VALUE(Table1[[#This Row],[Content.Column13]])*1000,"#,##0")</f>
        <v>194,123</v>
      </c>
      <c r="X177" s="13" t="str">
        <f>TEXT(VALUE(Table1[[#This Row],[Content.Column14]])*1000,"#,##0")</f>
        <v>198,388</v>
      </c>
      <c r="Y177" s="14" t="str">
        <f>TEXT(VALUE(Table1[[#This Row],[Content.Column3]])*1000,"#,##0")</f>
        <v>188,280</v>
      </c>
      <c r="Z177" s="14" t="str">
        <f>TEXT(VALUE(Table1[[#This Row],[Content.Column4]])*1000,"#,##0")</f>
        <v>47,592</v>
      </c>
      <c r="AA177" s="14" t="str">
        <f>TEXT(VALUE(Table1[[#This Row],[Content.Column5]])*1000,"#,##0")</f>
        <v>235,872</v>
      </c>
      <c r="AB177" s="14" t="str">
        <f>TEXT(VALUE(Table1[[#This Row],[Content.Column6]])*1000,"#,##0")</f>
        <v>240,413</v>
      </c>
    </row>
    <row r="178" spans="1:28" x14ac:dyDescent="0.3">
      <c r="A178" t="s">
        <v>86</v>
      </c>
      <c r="B178" t="s">
        <v>87</v>
      </c>
      <c r="C178" s="6">
        <v>40.863</v>
      </c>
      <c r="D178" s="1">
        <v>20.116</v>
      </c>
      <c r="E178" s="1">
        <v>60.978999999999999</v>
      </c>
      <c r="F178" s="1">
        <v>62.991999999999997</v>
      </c>
      <c r="G178" s="2">
        <v>11.095000000000001</v>
      </c>
      <c r="H178" s="2">
        <v>5.2679999999999998</v>
      </c>
      <c r="I178" s="2">
        <v>16.361999999999998</v>
      </c>
      <c r="J178" s="2">
        <v>16.463999999999999</v>
      </c>
      <c r="K178" s="3">
        <v>29.768999999999998</v>
      </c>
      <c r="L178" s="3">
        <v>14.848000000000001</v>
      </c>
      <c r="M178" s="3">
        <v>44.616999999999997</v>
      </c>
      <c r="N178" s="3">
        <v>46.527999999999999</v>
      </c>
      <c r="O178">
        <v>2012</v>
      </c>
      <c r="Q178" s="12" t="str">
        <f>TEXT(VALUE(Table1[[#This Row],[Content.Column7]])*1000,"#,##0")</f>
        <v>11,095</v>
      </c>
      <c r="R178" s="12" t="str">
        <f>TEXT(VALUE(Table1[[#This Row],[Content.Column8]])*1000,"#,##0")</f>
        <v>5,268</v>
      </c>
      <c r="S178" s="12" t="str">
        <f>TEXT(VALUE(Table1[[#This Row],[Content.Column9]])*1000,"#,##0")</f>
        <v>16,362</v>
      </c>
      <c r="T178" s="12" t="str">
        <f>TEXT(VALUE(Table1[[#This Row],[Content.Column10]])*1000,"#,##0")</f>
        <v>16,464</v>
      </c>
      <c r="U178" s="13" t="str">
        <f>TEXT(VALUE(Table1[[#This Row],[Content.Column11]])*1000,"#,##0")</f>
        <v>29,769</v>
      </c>
      <c r="V178" s="13" t="str">
        <f>TEXT(VALUE(Table1[[#This Row],[Content.Column12]])*1000,"#,##0")</f>
        <v>14,848</v>
      </c>
      <c r="W178" s="13" t="str">
        <f>TEXT(VALUE(Table1[[#This Row],[Content.Column13]])*1000,"#,##0")</f>
        <v>44,617</v>
      </c>
      <c r="X178" s="13" t="str">
        <f>TEXT(VALUE(Table1[[#This Row],[Content.Column14]])*1000,"#,##0")</f>
        <v>46,528</v>
      </c>
      <c r="Y178" s="14" t="str">
        <f>TEXT(VALUE(Table1[[#This Row],[Content.Column3]])*1000,"#,##0")</f>
        <v>40,863</v>
      </c>
      <c r="Z178" s="14" t="str">
        <f>TEXT(VALUE(Table1[[#This Row],[Content.Column4]])*1000,"#,##0")</f>
        <v>20,116</v>
      </c>
      <c r="AA178" s="14" t="str">
        <f>TEXT(VALUE(Table1[[#This Row],[Content.Column5]])*1000,"#,##0")</f>
        <v>60,979</v>
      </c>
      <c r="AB178" s="14" t="str">
        <f>TEXT(VALUE(Table1[[#This Row],[Content.Column6]])*1000,"#,##0")</f>
        <v>62,992</v>
      </c>
    </row>
    <row r="179" spans="1:28" x14ac:dyDescent="0.3">
      <c r="A179" t="s">
        <v>88</v>
      </c>
      <c r="B179" t="s">
        <v>89</v>
      </c>
      <c r="C179" s="6">
        <v>74.513000000000005</v>
      </c>
      <c r="D179" s="1">
        <v>32.996000000000002</v>
      </c>
      <c r="E179" s="1">
        <v>107.509</v>
      </c>
      <c r="F179" s="1">
        <v>110.88200000000001</v>
      </c>
      <c r="G179" s="2">
        <v>18.414999999999999</v>
      </c>
      <c r="H179" s="2">
        <v>6.9169999999999998</v>
      </c>
      <c r="I179" s="2">
        <v>25.332000000000001</v>
      </c>
      <c r="J179" s="2">
        <v>25.36</v>
      </c>
      <c r="K179" s="3">
        <v>56.097000000000001</v>
      </c>
      <c r="L179" s="3">
        <v>26.08</v>
      </c>
      <c r="M179" s="3">
        <v>82.177000000000007</v>
      </c>
      <c r="N179" s="3">
        <v>85.522000000000006</v>
      </c>
      <c r="O179">
        <v>2012</v>
      </c>
      <c r="Q179" s="12" t="str">
        <f>TEXT(VALUE(Table1[[#This Row],[Content.Column7]])*1000,"#,##0")</f>
        <v>18,415</v>
      </c>
      <c r="R179" s="12" t="str">
        <f>TEXT(VALUE(Table1[[#This Row],[Content.Column8]])*1000,"#,##0")</f>
        <v>6,917</v>
      </c>
      <c r="S179" s="12" t="str">
        <f>TEXT(VALUE(Table1[[#This Row],[Content.Column9]])*1000,"#,##0")</f>
        <v>25,332</v>
      </c>
      <c r="T179" s="12" t="str">
        <f>TEXT(VALUE(Table1[[#This Row],[Content.Column10]])*1000,"#,##0")</f>
        <v>25,360</v>
      </c>
      <c r="U179" s="13" t="str">
        <f>TEXT(VALUE(Table1[[#This Row],[Content.Column11]])*1000,"#,##0")</f>
        <v>56,097</v>
      </c>
      <c r="V179" s="13" t="str">
        <f>TEXT(VALUE(Table1[[#This Row],[Content.Column12]])*1000,"#,##0")</f>
        <v>26,080</v>
      </c>
      <c r="W179" s="13" t="str">
        <f>TEXT(VALUE(Table1[[#This Row],[Content.Column13]])*1000,"#,##0")</f>
        <v>82,177</v>
      </c>
      <c r="X179" s="13" t="str">
        <f>TEXT(VALUE(Table1[[#This Row],[Content.Column14]])*1000,"#,##0")</f>
        <v>85,522</v>
      </c>
      <c r="Y179" s="14" t="str">
        <f>TEXT(VALUE(Table1[[#This Row],[Content.Column3]])*1000,"#,##0")</f>
        <v>74,513</v>
      </c>
      <c r="Z179" s="14" t="str">
        <f>TEXT(VALUE(Table1[[#This Row],[Content.Column4]])*1000,"#,##0")</f>
        <v>32,996</v>
      </c>
      <c r="AA179" s="14" t="str">
        <f>TEXT(VALUE(Table1[[#This Row],[Content.Column5]])*1000,"#,##0")</f>
        <v>107,509</v>
      </c>
      <c r="AB179" s="14" t="str">
        <f>TEXT(VALUE(Table1[[#This Row],[Content.Column6]])*1000,"#,##0")</f>
        <v>110,882</v>
      </c>
    </row>
    <row r="180" spans="1:28" x14ac:dyDescent="0.3">
      <c r="A180" t="s">
        <v>90</v>
      </c>
      <c r="B180" t="s">
        <v>91</v>
      </c>
      <c r="C180" s="6">
        <v>496.94400000000002</v>
      </c>
      <c r="D180" s="1">
        <v>141.83699999999999</v>
      </c>
      <c r="E180" s="1">
        <v>638.78200000000004</v>
      </c>
      <c r="F180" s="1">
        <v>666.26599999999996</v>
      </c>
      <c r="G180" s="2">
        <v>78.376000000000005</v>
      </c>
      <c r="H180" s="2">
        <v>10.62</v>
      </c>
      <c r="I180" s="2">
        <v>88.995999999999995</v>
      </c>
      <c r="J180" s="2">
        <v>89.573999999999998</v>
      </c>
      <c r="K180" s="3">
        <v>418.56900000000002</v>
      </c>
      <c r="L180" s="3">
        <v>131.21700000000001</v>
      </c>
      <c r="M180" s="3">
        <v>549.78599999999994</v>
      </c>
      <c r="N180" s="3">
        <v>576.69299999999998</v>
      </c>
      <c r="O180">
        <v>2012</v>
      </c>
      <c r="Q180" s="12" t="str">
        <f>TEXT(VALUE(Table1[[#This Row],[Content.Column7]])*1000,"#,##0")</f>
        <v>78,376</v>
      </c>
      <c r="R180" s="12" t="str">
        <f>TEXT(VALUE(Table1[[#This Row],[Content.Column8]])*1000,"#,##0")</f>
        <v>10,620</v>
      </c>
      <c r="S180" s="12" t="str">
        <f>TEXT(VALUE(Table1[[#This Row],[Content.Column9]])*1000,"#,##0")</f>
        <v>88,996</v>
      </c>
      <c r="T180" s="12" t="str">
        <f>TEXT(VALUE(Table1[[#This Row],[Content.Column10]])*1000,"#,##0")</f>
        <v>89,574</v>
      </c>
      <c r="U180" s="13" t="str">
        <f>TEXT(VALUE(Table1[[#This Row],[Content.Column11]])*1000,"#,##0")</f>
        <v>418,569</v>
      </c>
      <c r="V180" s="13" t="str">
        <f>TEXT(VALUE(Table1[[#This Row],[Content.Column12]])*1000,"#,##0")</f>
        <v>131,217</v>
      </c>
      <c r="W180" s="13" t="str">
        <f>TEXT(VALUE(Table1[[#This Row],[Content.Column13]])*1000,"#,##0")</f>
        <v>549,786</v>
      </c>
      <c r="X180" s="13" t="str">
        <f>TEXT(VALUE(Table1[[#This Row],[Content.Column14]])*1000,"#,##0")</f>
        <v>576,693</v>
      </c>
      <c r="Y180" s="14" t="str">
        <f>TEXT(VALUE(Table1[[#This Row],[Content.Column3]])*1000,"#,##0")</f>
        <v>496,944</v>
      </c>
      <c r="Z180" s="14" t="str">
        <f>TEXT(VALUE(Table1[[#This Row],[Content.Column4]])*1000,"#,##0")</f>
        <v>141,837</v>
      </c>
      <c r="AA180" s="14" t="str">
        <f>TEXT(VALUE(Table1[[#This Row],[Content.Column5]])*1000,"#,##0")</f>
        <v>638,782</v>
      </c>
      <c r="AB180" s="14" t="str">
        <f>TEXT(VALUE(Table1[[#This Row],[Content.Column6]])*1000,"#,##0")</f>
        <v>666,266</v>
      </c>
    </row>
    <row r="181" spans="1:28" x14ac:dyDescent="0.3">
      <c r="A181" t="s">
        <v>92</v>
      </c>
      <c r="B181" t="s">
        <v>93</v>
      </c>
      <c r="C181" s="6">
        <v>2093.509</v>
      </c>
      <c r="D181" s="1">
        <v>636.87300000000005</v>
      </c>
      <c r="E181" s="1">
        <v>2730.3809999999999</v>
      </c>
      <c r="F181" s="1">
        <v>2827.6550000000002</v>
      </c>
      <c r="G181" s="2">
        <v>351.697</v>
      </c>
      <c r="H181" s="2">
        <v>86.9</v>
      </c>
      <c r="I181" s="2">
        <v>438.59699999999998</v>
      </c>
      <c r="J181" s="2">
        <v>440.32</v>
      </c>
      <c r="K181" s="3">
        <v>1741.8119999999999</v>
      </c>
      <c r="L181" s="3">
        <v>549.97299999999996</v>
      </c>
      <c r="M181" s="3">
        <v>2291.7840000000001</v>
      </c>
      <c r="N181" s="3">
        <v>2387.335</v>
      </c>
      <c r="O181">
        <v>2012</v>
      </c>
      <c r="Q181" s="12" t="str">
        <f>TEXT(VALUE(Table1[[#This Row],[Content.Column7]])*1000,"#,##0")</f>
        <v>351,697</v>
      </c>
      <c r="R181" s="12" t="str">
        <f>TEXT(VALUE(Table1[[#This Row],[Content.Column8]])*1000,"#,##0")</f>
        <v>86,900</v>
      </c>
      <c r="S181" s="12" t="str">
        <f>TEXT(VALUE(Table1[[#This Row],[Content.Column9]])*1000,"#,##0")</f>
        <v>438,597</v>
      </c>
      <c r="T181" s="12" t="str">
        <f>TEXT(VALUE(Table1[[#This Row],[Content.Column10]])*1000,"#,##0")</f>
        <v>440,320</v>
      </c>
      <c r="U181" s="13" t="str">
        <f>TEXT(VALUE(Table1[[#This Row],[Content.Column11]])*1000,"#,##0")</f>
        <v>1,741,812</v>
      </c>
      <c r="V181" s="13" t="str">
        <f>TEXT(VALUE(Table1[[#This Row],[Content.Column12]])*1000,"#,##0")</f>
        <v>549,973</v>
      </c>
      <c r="W181" s="13" t="str">
        <f>TEXT(VALUE(Table1[[#This Row],[Content.Column13]])*1000,"#,##0")</f>
        <v>2,291,784</v>
      </c>
      <c r="X181" s="13" t="str">
        <f>TEXT(VALUE(Table1[[#This Row],[Content.Column14]])*1000,"#,##0")</f>
        <v>2,387,335</v>
      </c>
      <c r="Y181" s="14" t="str">
        <f>TEXT(VALUE(Table1[[#This Row],[Content.Column3]])*1000,"#,##0")</f>
        <v>2,093,509</v>
      </c>
      <c r="Z181" s="14" t="str">
        <f>TEXT(VALUE(Table1[[#This Row],[Content.Column4]])*1000,"#,##0")</f>
        <v>636,873</v>
      </c>
      <c r="AA181" s="14" t="str">
        <f>TEXT(VALUE(Table1[[#This Row],[Content.Column5]])*1000,"#,##0")</f>
        <v>2,730,381</v>
      </c>
      <c r="AB181" s="14" t="str">
        <f>TEXT(VALUE(Table1[[#This Row],[Content.Column6]])*1000,"#,##0")</f>
        <v>2,827,655</v>
      </c>
    </row>
    <row r="182" spans="1:28" x14ac:dyDescent="0.3">
      <c r="A182" t="s">
        <v>94</v>
      </c>
      <c r="B182" t="s">
        <v>95</v>
      </c>
      <c r="C182" s="6">
        <v>1154.779</v>
      </c>
      <c r="D182" s="1">
        <v>560.97699999999998</v>
      </c>
      <c r="E182" s="1">
        <v>1715.7550000000001</v>
      </c>
      <c r="F182" s="1">
        <v>1765.0329999999999</v>
      </c>
      <c r="G182" s="2">
        <v>207.90899999999999</v>
      </c>
      <c r="H182" s="2">
        <v>117.053</v>
      </c>
      <c r="I182" s="2">
        <v>324.96199999999999</v>
      </c>
      <c r="J182" s="2">
        <v>325.42700000000002</v>
      </c>
      <c r="K182" s="3">
        <v>946.87</v>
      </c>
      <c r="L182" s="3">
        <v>443.92399999999998</v>
      </c>
      <c r="M182" s="3">
        <v>1390.7929999999999</v>
      </c>
      <c r="N182" s="3">
        <v>1439.607</v>
      </c>
      <c r="O182">
        <v>2012</v>
      </c>
      <c r="Q182" s="12" t="str">
        <f>TEXT(VALUE(Table1[[#This Row],[Content.Column7]])*1000,"#,##0")</f>
        <v>207,909</v>
      </c>
      <c r="R182" s="12" t="str">
        <f>TEXT(VALUE(Table1[[#This Row],[Content.Column8]])*1000,"#,##0")</f>
        <v>117,053</v>
      </c>
      <c r="S182" s="12" t="str">
        <f>TEXT(VALUE(Table1[[#This Row],[Content.Column9]])*1000,"#,##0")</f>
        <v>324,962</v>
      </c>
      <c r="T182" s="12" t="str">
        <f>TEXT(VALUE(Table1[[#This Row],[Content.Column10]])*1000,"#,##0")</f>
        <v>325,427</v>
      </c>
      <c r="U182" s="13" t="str">
        <f>TEXT(VALUE(Table1[[#This Row],[Content.Column11]])*1000,"#,##0")</f>
        <v>946,870</v>
      </c>
      <c r="V182" s="13" t="str">
        <f>TEXT(VALUE(Table1[[#This Row],[Content.Column12]])*1000,"#,##0")</f>
        <v>443,924</v>
      </c>
      <c r="W182" s="13" t="str">
        <f>TEXT(VALUE(Table1[[#This Row],[Content.Column13]])*1000,"#,##0")</f>
        <v>1,390,793</v>
      </c>
      <c r="X182" s="13" t="str">
        <f>TEXT(VALUE(Table1[[#This Row],[Content.Column14]])*1000,"#,##0")</f>
        <v>1,439,607</v>
      </c>
      <c r="Y182" s="14" t="str">
        <f>TEXT(VALUE(Table1[[#This Row],[Content.Column3]])*1000,"#,##0")</f>
        <v>1,154,779</v>
      </c>
      <c r="Z182" s="14" t="str">
        <f>TEXT(VALUE(Table1[[#This Row],[Content.Column4]])*1000,"#,##0")</f>
        <v>560,977</v>
      </c>
      <c r="AA182" s="14" t="str">
        <f>TEXT(VALUE(Table1[[#This Row],[Content.Column5]])*1000,"#,##0")</f>
        <v>1,715,755</v>
      </c>
      <c r="AB182" s="14" t="str">
        <f>TEXT(VALUE(Table1[[#This Row],[Content.Column6]])*1000,"#,##0")</f>
        <v>1,765,033</v>
      </c>
    </row>
    <row r="183" spans="1:28" x14ac:dyDescent="0.3">
      <c r="A183" t="s">
        <v>96</v>
      </c>
      <c r="B183" t="s">
        <v>97</v>
      </c>
      <c r="C183" s="6">
        <v>656.31</v>
      </c>
      <c r="D183" s="1">
        <v>344.72899999999998</v>
      </c>
      <c r="E183" s="1">
        <v>1001.039</v>
      </c>
      <c r="F183" s="1">
        <v>1031.288</v>
      </c>
      <c r="G183" s="2">
        <v>161.298</v>
      </c>
      <c r="H183" s="2">
        <v>98.334999999999994</v>
      </c>
      <c r="I183" s="2">
        <v>259.63299999999998</v>
      </c>
      <c r="J183" s="2">
        <v>266.89600000000002</v>
      </c>
      <c r="K183" s="3">
        <v>495.012</v>
      </c>
      <c r="L183" s="3">
        <v>246.39400000000001</v>
      </c>
      <c r="M183" s="3">
        <v>741.40599999999995</v>
      </c>
      <c r="N183" s="3">
        <v>764.39200000000005</v>
      </c>
      <c r="O183">
        <v>2012</v>
      </c>
      <c r="Q183" s="12" t="str">
        <f>TEXT(VALUE(Table1[[#This Row],[Content.Column7]])*1000,"#,##0")</f>
        <v>161,298</v>
      </c>
      <c r="R183" s="12" t="str">
        <f>TEXT(VALUE(Table1[[#This Row],[Content.Column8]])*1000,"#,##0")</f>
        <v>98,335</v>
      </c>
      <c r="S183" s="12" t="str">
        <f>TEXT(VALUE(Table1[[#This Row],[Content.Column9]])*1000,"#,##0")</f>
        <v>259,633</v>
      </c>
      <c r="T183" s="12" t="str">
        <f>TEXT(VALUE(Table1[[#This Row],[Content.Column10]])*1000,"#,##0")</f>
        <v>266,896</v>
      </c>
      <c r="U183" s="13" t="str">
        <f>TEXT(VALUE(Table1[[#This Row],[Content.Column11]])*1000,"#,##0")</f>
        <v>495,012</v>
      </c>
      <c r="V183" s="13" t="str">
        <f>TEXT(VALUE(Table1[[#This Row],[Content.Column12]])*1000,"#,##0")</f>
        <v>246,394</v>
      </c>
      <c r="W183" s="13" t="str">
        <f>TEXT(VALUE(Table1[[#This Row],[Content.Column13]])*1000,"#,##0")</f>
        <v>741,406</v>
      </c>
      <c r="X183" s="13" t="str">
        <f>TEXT(VALUE(Table1[[#This Row],[Content.Column14]])*1000,"#,##0")</f>
        <v>764,392</v>
      </c>
      <c r="Y183" s="14" t="str">
        <f>TEXT(VALUE(Table1[[#This Row],[Content.Column3]])*1000,"#,##0")</f>
        <v>656,310</v>
      </c>
      <c r="Z183" s="14" t="str">
        <f>TEXT(VALUE(Table1[[#This Row],[Content.Column4]])*1000,"#,##0")</f>
        <v>344,729</v>
      </c>
      <c r="AA183" s="14" t="str">
        <f>TEXT(VALUE(Table1[[#This Row],[Content.Column5]])*1000,"#,##0")</f>
        <v>1,001,039</v>
      </c>
      <c r="AB183" s="14" t="str">
        <f>TEXT(VALUE(Table1[[#This Row],[Content.Column6]])*1000,"#,##0")</f>
        <v>1,031,288</v>
      </c>
    </row>
    <row r="184" spans="1:28" x14ac:dyDescent="0.3">
      <c r="A184" t="s">
        <v>98</v>
      </c>
      <c r="B184" t="s">
        <v>99</v>
      </c>
      <c r="C184" s="6">
        <v>1993.232</v>
      </c>
      <c r="D184" s="1">
        <v>994.15700000000004</v>
      </c>
      <c r="E184" s="1">
        <v>2987.3890000000001</v>
      </c>
      <c r="F184" s="1">
        <v>3104.4520000000002</v>
      </c>
      <c r="G184" s="2">
        <v>398.98700000000002</v>
      </c>
      <c r="H184" s="2">
        <v>257.27</v>
      </c>
      <c r="I184" s="2">
        <v>656.25699999999995</v>
      </c>
      <c r="J184" s="2">
        <v>679.37</v>
      </c>
      <c r="K184" s="3">
        <v>1594.2449999999999</v>
      </c>
      <c r="L184" s="3">
        <v>736.88699999999994</v>
      </c>
      <c r="M184" s="3">
        <v>2331.1309999999999</v>
      </c>
      <c r="N184" s="3">
        <v>2425.0819999999999</v>
      </c>
      <c r="O184">
        <v>2012</v>
      </c>
      <c r="Q184" s="12" t="str">
        <f>TEXT(VALUE(Table1[[#This Row],[Content.Column7]])*1000,"#,##0")</f>
        <v>398,987</v>
      </c>
      <c r="R184" s="12" t="str">
        <f>TEXT(VALUE(Table1[[#This Row],[Content.Column8]])*1000,"#,##0")</f>
        <v>257,270</v>
      </c>
      <c r="S184" s="12" t="str">
        <f>TEXT(VALUE(Table1[[#This Row],[Content.Column9]])*1000,"#,##0")</f>
        <v>656,257</v>
      </c>
      <c r="T184" s="12" t="str">
        <f>TEXT(VALUE(Table1[[#This Row],[Content.Column10]])*1000,"#,##0")</f>
        <v>679,370</v>
      </c>
      <c r="U184" s="13" t="str">
        <f>TEXT(VALUE(Table1[[#This Row],[Content.Column11]])*1000,"#,##0")</f>
        <v>1,594,245</v>
      </c>
      <c r="V184" s="13" t="str">
        <f>TEXT(VALUE(Table1[[#This Row],[Content.Column12]])*1000,"#,##0")</f>
        <v>736,887</v>
      </c>
      <c r="W184" s="13" t="str">
        <f>TEXT(VALUE(Table1[[#This Row],[Content.Column13]])*1000,"#,##0")</f>
        <v>2,331,131</v>
      </c>
      <c r="X184" s="13" t="str">
        <f>TEXT(VALUE(Table1[[#This Row],[Content.Column14]])*1000,"#,##0")</f>
        <v>2,425,082</v>
      </c>
      <c r="Y184" s="14" t="str">
        <f>TEXT(VALUE(Table1[[#This Row],[Content.Column3]])*1000,"#,##0")</f>
        <v>1,993,232</v>
      </c>
      <c r="Z184" s="14" t="str">
        <f>TEXT(VALUE(Table1[[#This Row],[Content.Column4]])*1000,"#,##0")</f>
        <v>994,157</v>
      </c>
      <c r="AA184" s="14" t="str">
        <f>TEXT(VALUE(Table1[[#This Row],[Content.Column5]])*1000,"#,##0")</f>
        <v>2,987,389</v>
      </c>
      <c r="AB184" s="14" t="str">
        <f>TEXT(VALUE(Table1[[#This Row],[Content.Column6]])*1000,"#,##0")</f>
        <v>3,104,452</v>
      </c>
    </row>
    <row r="185" spans="1:28" x14ac:dyDescent="0.3">
      <c r="A185" t="s">
        <v>100</v>
      </c>
      <c r="B185" t="s">
        <v>101</v>
      </c>
      <c r="C185" s="6">
        <v>1440.2380000000001</v>
      </c>
      <c r="D185" s="1">
        <v>723.51900000000001</v>
      </c>
      <c r="E185" s="1">
        <v>2163.7570000000001</v>
      </c>
      <c r="F185" s="1">
        <v>2248.8560000000002</v>
      </c>
      <c r="G185" s="2">
        <v>291.35300000000001</v>
      </c>
      <c r="H185" s="2">
        <v>202.97900000000001</v>
      </c>
      <c r="I185" s="2">
        <v>494.33199999999999</v>
      </c>
      <c r="J185" s="2">
        <v>515.80200000000002</v>
      </c>
      <c r="K185" s="3">
        <v>1148.885</v>
      </c>
      <c r="L185" s="3">
        <v>520.54</v>
      </c>
      <c r="M185" s="3">
        <v>1669.424</v>
      </c>
      <c r="N185" s="3">
        <v>1733.0550000000001</v>
      </c>
      <c r="O185">
        <v>2012</v>
      </c>
      <c r="Q185" s="12" t="str">
        <f>TEXT(VALUE(Table1[[#This Row],[Content.Column7]])*1000,"#,##0")</f>
        <v>291,353</v>
      </c>
      <c r="R185" s="12" t="str">
        <f>TEXT(VALUE(Table1[[#This Row],[Content.Column8]])*1000,"#,##0")</f>
        <v>202,979</v>
      </c>
      <c r="S185" s="12" t="str">
        <f>TEXT(VALUE(Table1[[#This Row],[Content.Column9]])*1000,"#,##0")</f>
        <v>494,332</v>
      </c>
      <c r="T185" s="12" t="str">
        <f>TEXT(VALUE(Table1[[#This Row],[Content.Column10]])*1000,"#,##0")</f>
        <v>515,802</v>
      </c>
      <c r="U185" s="13" t="str">
        <f>TEXT(VALUE(Table1[[#This Row],[Content.Column11]])*1000,"#,##0")</f>
        <v>1,148,885</v>
      </c>
      <c r="V185" s="13" t="str">
        <f>TEXT(VALUE(Table1[[#This Row],[Content.Column12]])*1000,"#,##0")</f>
        <v>520,540</v>
      </c>
      <c r="W185" s="13" t="str">
        <f>TEXT(VALUE(Table1[[#This Row],[Content.Column13]])*1000,"#,##0")</f>
        <v>1,669,424</v>
      </c>
      <c r="X185" s="13" t="str">
        <f>TEXT(VALUE(Table1[[#This Row],[Content.Column14]])*1000,"#,##0")</f>
        <v>1,733,055</v>
      </c>
      <c r="Y185" s="14" t="str">
        <f>TEXT(VALUE(Table1[[#This Row],[Content.Column3]])*1000,"#,##0")</f>
        <v>1,440,238</v>
      </c>
      <c r="Z185" s="14" t="str">
        <f>TEXT(VALUE(Table1[[#This Row],[Content.Column4]])*1000,"#,##0")</f>
        <v>723,519</v>
      </c>
      <c r="AA185" s="14" t="str">
        <f>TEXT(VALUE(Table1[[#This Row],[Content.Column5]])*1000,"#,##0")</f>
        <v>2,163,757</v>
      </c>
      <c r="AB185" s="14" t="str">
        <f>TEXT(VALUE(Table1[[#This Row],[Content.Column6]])*1000,"#,##0")</f>
        <v>2,248,856</v>
      </c>
    </row>
    <row r="186" spans="1:28" x14ac:dyDescent="0.3">
      <c r="A186" t="s">
        <v>102</v>
      </c>
      <c r="B186" t="s">
        <v>103</v>
      </c>
      <c r="C186" s="6">
        <v>1272.327</v>
      </c>
      <c r="D186" s="1">
        <v>631.08799999999997</v>
      </c>
      <c r="E186" s="1">
        <v>1903.414</v>
      </c>
      <c r="F186" s="1">
        <v>1977.6859999999999</v>
      </c>
      <c r="G186" s="2">
        <v>209.625</v>
      </c>
      <c r="H186" s="2">
        <v>167.828</v>
      </c>
      <c r="I186" s="2">
        <v>377.45299999999997</v>
      </c>
      <c r="J186" s="2">
        <v>397.04500000000002</v>
      </c>
      <c r="K186" s="3">
        <v>1062.702</v>
      </c>
      <c r="L186" s="3">
        <v>463.25900000000001</v>
      </c>
      <c r="M186" s="3">
        <v>1525.961</v>
      </c>
      <c r="N186" s="3">
        <v>1580.6410000000001</v>
      </c>
      <c r="O186">
        <v>2012</v>
      </c>
      <c r="Q186" s="12" t="str">
        <f>TEXT(VALUE(Table1[[#This Row],[Content.Column7]])*1000,"#,##0")</f>
        <v>209,625</v>
      </c>
      <c r="R186" s="12" t="str">
        <f>TEXT(VALUE(Table1[[#This Row],[Content.Column8]])*1000,"#,##0")</f>
        <v>167,828</v>
      </c>
      <c r="S186" s="12" t="str">
        <f>TEXT(VALUE(Table1[[#This Row],[Content.Column9]])*1000,"#,##0")</f>
        <v>377,453</v>
      </c>
      <c r="T186" s="12" t="str">
        <f>TEXT(VALUE(Table1[[#This Row],[Content.Column10]])*1000,"#,##0")</f>
        <v>397,045</v>
      </c>
      <c r="U186" s="13" t="str">
        <f>TEXT(VALUE(Table1[[#This Row],[Content.Column11]])*1000,"#,##0")</f>
        <v>1,062,702</v>
      </c>
      <c r="V186" s="13" t="str">
        <f>TEXT(VALUE(Table1[[#This Row],[Content.Column12]])*1000,"#,##0")</f>
        <v>463,259</v>
      </c>
      <c r="W186" s="13" t="str">
        <f>TEXT(VALUE(Table1[[#This Row],[Content.Column13]])*1000,"#,##0")</f>
        <v>1,525,961</v>
      </c>
      <c r="X186" s="13" t="str">
        <f>TEXT(VALUE(Table1[[#This Row],[Content.Column14]])*1000,"#,##0")</f>
        <v>1,580,641</v>
      </c>
      <c r="Y186" s="14" t="str">
        <f>TEXT(VALUE(Table1[[#This Row],[Content.Column3]])*1000,"#,##0")</f>
        <v>1,272,327</v>
      </c>
      <c r="Z186" s="14" t="str">
        <f>TEXT(VALUE(Table1[[#This Row],[Content.Column4]])*1000,"#,##0")</f>
        <v>631,088</v>
      </c>
      <c r="AA186" s="14" t="str">
        <f>TEXT(VALUE(Table1[[#This Row],[Content.Column5]])*1000,"#,##0")</f>
        <v>1,903,414</v>
      </c>
      <c r="AB186" s="14" t="str">
        <f>TEXT(VALUE(Table1[[#This Row],[Content.Column6]])*1000,"#,##0")</f>
        <v>1,977,686</v>
      </c>
    </row>
    <row r="187" spans="1:28" x14ac:dyDescent="0.3">
      <c r="A187" t="s">
        <v>104</v>
      </c>
      <c r="B187" t="s">
        <v>105</v>
      </c>
      <c r="C187" s="6">
        <v>1560.558</v>
      </c>
      <c r="D187" s="1">
        <v>762.351</v>
      </c>
      <c r="E187" s="1">
        <v>2322.9090000000001</v>
      </c>
      <c r="F187" s="1">
        <v>2421.0459999999998</v>
      </c>
      <c r="G187" s="2">
        <v>284.63900000000001</v>
      </c>
      <c r="H187" s="2">
        <v>202.11799999999999</v>
      </c>
      <c r="I187" s="2">
        <v>486.75700000000001</v>
      </c>
      <c r="J187" s="2">
        <v>511.11099999999999</v>
      </c>
      <c r="K187" s="3">
        <v>1275.92</v>
      </c>
      <c r="L187" s="3">
        <v>560.23299999999995</v>
      </c>
      <c r="M187" s="3">
        <v>1836.152</v>
      </c>
      <c r="N187" s="3">
        <v>1909.9349999999999</v>
      </c>
      <c r="O187">
        <v>2012</v>
      </c>
      <c r="Q187" s="12" t="str">
        <f>TEXT(VALUE(Table1[[#This Row],[Content.Column7]])*1000,"#,##0")</f>
        <v>284,639</v>
      </c>
      <c r="R187" s="12" t="str">
        <f>TEXT(VALUE(Table1[[#This Row],[Content.Column8]])*1000,"#,##0")</f>
        <v>202,118</v>
      </c>
      <c r="S187" s="12" t="str">
        <f>TEXT(VALUE(Table1[[#This Row],[Content.Column9]])*1000,"#,##0")</f>
        <v>486,757</v>
      </c>
      <c r="T187" s="12" t="str">
        <f>TEXT(VALUE(Table1[[#This Row],[Content.Column10]])*1000,"#,##0")</f>
        <v>511,111</v>
      </c>
      <c r="U187" s="13" t="str">
        <f>TEXT(VALUE(Table1[[#This Row],[Content.Column11]])*1000,"#,##0")</f>
        <v>1,275,920</v>
      </c>
      <c r="V187" s="13" t="str">
        <f>TEXT(VALUE(Table1[[#This Row],[Content.Column12]])*1000,"#,##0")</f>
        <v>560,233</v>
      </c>
      <c r="W187" s="13" t="str">
        <f>TEXT(VALUE(Table1[[#This Row],[Content.Column13]])*1000,"#,##0")</f>
        <v>1,836,152</v>
      </c>
      <c r="X187" s="13" t="str">
        <f>TEXT(VALUE(Table1[[#This Row],[Content.Column14]])*1000,"#,##0")</f>
        <v>1,909,935</v>
      </c>
      <c r="Y187" s="14" t="str">
        <f>TEXT(VALUE(Table1[[#This Row],[Content.Column3]])*1000,"#,##0")</f>
        <v>1,560,558</v>
      </c>
      <c r="Z187" s="14" t="str">
        <f>TEXT(VALUE(Table1[[#This Row],[Content.Column4]])*1000,"#,##0")</f>
        <v>762,351</v>
      </c>
      <c r="AA187" s="14" t="str">
        <f>TEXT(VALUE(Table1[[#This Row],[Content.Column5]])*1000,"#,##0")</f>
        <v>2,322,909</v>
      </c>
      <c r="AB187" s="14" t="str">
        <f>TEXT(VALUE(Table1[[#This Row],[Content.Column6]])*1000,"#,##0")</f>
        <v>2,421,046</v>
      </c>
    </row>
    <row r="188" spans="1:28" x14ac:dyDescent="0.3">
      <c r="A188" t="s">
        <v>106</v>
      </c>
      <c r="B188" t="s">
        <v>107</v>
      </c>
      <c r="C188" s="6">
        <v>1580.6669999999999</v>
      </c>
      <c r="D188" s="1">
        <v>838.63900000000001</v>
      </c>
      <c r="E188" s="1">
        <v>2419.3069999999998</v>
      </c>
      <c r="F188" s="1">
        <v>2524.9720000000002</v>
      </c>
      <c r="G188" s="2">
        <v>268.34699999999998</v>
      </c>
      <c r="H188" s="2">
        <v>199.38900000000001</v>
      </c>
      <c r="I188" s="2">
        <v>467.73599999999999</v>
      </c>
      <c r="J188" s="2">
        <v>487.60599999999999</v>
      </c>
      <c r="K188" s="3">
        <v>1312.32</v>
      </c>
      <c r="L188" s="3">
        <v>639.25</v>
      </c>
      <c r="M188" s="3">
        <v>1951.57</v>
      </c>
      <c r="N188" s="3">
        <v>2037.365</v>
      </c>
      <c r="O188">
        <v>2012</v>
      </c>
      <c r="Q188" s="12" t="str">
        <f>TEXT(VALUE(Table1[[#This Row],[Content.Column7]])*1000,"#,##0")</f>
        <v>268,347</v>
      </c>
      <c r="R188" s="12" t="str">
        <f>TEXT(VALUE(Table1[[#This Row],[Content.Column8]])*1000,"#,##0")</f>
        <v>199,389</v>
      </c>
      <c r="S188" s="12" t="str">
        <f>TEXT(VALUE(Table1[[#This Row],[Content.Column9]])*1000,"#,##0")</f>
        <v>467,736</v>
      </c>
      <c r="T188" s="12" t="str">
        <f>TEXT(VALUE(Table1[[#This Row],[Content.Column10]])*1000,"#,##0")</f>
        <v>487,606</v>
      </c>
      <c r="U188" s="13" t="str">
        <f>TEXT(VALUE(Table1[[#This Row],[Content.Column11]])*1000,"#,##0")</f>
        <v>1,312,320</v>
      </c>
      <c r="V188" s="13" t="str">
        <f>TEXT(VALUE(Table1[[#This Row],[Content.Column12]])*1000,"#,##0")</f>
        <v>639,250</v>
      </c>
      <c r="W188" s="13" t="str">
        <f>TEXT(VALUE(Table1[[#This Row],[Content.Column13]])*1000,"#,##0")</f>
        <v>1,951,570</v>
      </c>
      <c r="X188" s="13" t="str">
        <f>TEXT(VALUE(Table1[[#This Row],[Content.Column14]])*1000,"#,##0")</f>
        <v>2,037,365</v>
      </c>
      <c r="Y188" s="14" t="str">
        <f>TEXT(VALUE(Table1[[#This Row],[Content.Column3]])*1000,"#,##0")</f>
        <v>1,580,667</v>
      </c>
      <c r="Z188" s="14" t="str">
        <f>TEXT(VALUE(Table1[[#This Row],[Content.Column4]])*1000,"#,##0")</f>
        <v>838,639</v>
      </c>
      <c r="AA188" s="14" t="str">
        <f>TEXT(VALUE(Table1[[#This Row],[Content.Column5]])*1000,"#,##0")</f>
        <v>2,419,307</v>
      </c>
      <c r="AB188" s="14" t="str">
        <f>TEXT(VALUE(Table1[[#This Row],[Content.Column6]])*1000,"#,##0")</f>
        <v>2,524,972</v>
      </c>
    </row>
    <row r="189" spans="1:28" x14ac:dyDescent="0.3">
      <c r="A189" t="s">
        <v>108</v>
      </c>
      <c r="B189" t="s">
        <v>109</v>
      </c>
      <c r="C189" s="6">
        <v>3248.7440000000001</v>
      </c>
      <c r="D189" s="1">
        <v>1197.9559999999999</v>
      </c>
      <c r="E189" s="1">
        <v>4446.6970000000001</v>
      </c>
      <c r="F189" s="1">
        <v>4593.5749999999998</v>
      </c>
      <c r="G189" s="2">
        <v>560.06200000000001</v>
      </c>
      <c r="H189" s="2">
        <v>204.05799999999999</v>
      </c>
      <c r="I189" s="2">
        <v>764.12</v>
      </c>
      <c r="J189" s="2">
        <v>766.63300000000004</v>
      </c>
      <c r="K189" s="3">
        <v>2688.6819999999998</v>
      </c>
      <c r="L189" s="3">
        <v>993.89800000000002</v>
      </c>
      <c r="M189" s="3">
        <v>3682.5770000000002</v>
      </c>
      <c r="N189" s="3">
        <v>3826.942</v>
      </c>
      <c r="O189">
        <v>2012</v>
      </c>
      <c r="Q189" s="12" t="str">
        <f>TEXT(VALUE(Table1[[#This Row],[Content.Column7]])*1000,"#,##0")</f>
        <v>560,062</v>
      </c>
      <c r="R189" s="12" t="str">
        <f>TEXT(VALUE(Table1[[#This Row],[Content.Column8]])*1000,"#,##0")</f>
        <v>204,058</v>
      </c>
      <c r="S189" s="12" t="str">
        <f>TEXT(VALUE(Table1[[#This Row],[Content.Column9]])*1000,"#,##0")</f>
        <v>764,120</v>
      </c>
      <c r="T189" s="12" t="str">
        <f>TEXT(VALUE(Table1[[#This Row],[Content.Column10]])*1000,"#,##0")</f>
        <v>766,633</v>
      </c>
      <c r="U189" s="13" t="str">
        <f>TEXT(VALUE(Table1[[#This Row],[Content.Column11]])*1000,"#,##0")</f>
        <v>2,688,682</v>
      </c>
      <c r="V189" s="13" t="str">
        <f>TEXT(VALUE(Table1[[#This Row],[Content.Column12]])*1000,"#,##0")</f>
        <v>993,898</v>
      </c>
      <c r="W189" s="13" t="str">
        <f>TEXT(VALUE(Table1[[#This Row],[Content.Column13]])*1000,"#,##0")</f>
        <v>3,682,577</v>
      </c>
      <c r="X189" s="13" t="str">
        <f>TEXT(VALUE(Table1[[#This Row],[Content.Column14]])*1000,"#,##0")</f>
        <v>3,826,942</v>
      </c>
      <c r="Y189" s="14" t="str">
        <f>TEXT(VALUE(Table1[[#This Row],[Content.Column3]])*1000,"#,##0")</f>
        <v>3,248,744</v>
      </c>
      <c r="Z189" s="14" t="str">
        <f>TEXT(VALUE(Table1[[#This Row],[Content.Column4]])*1000,"#,##0")</f>
        <v>1,197,956</v>
      </c>
      <c r="AA189" s="14" t="str">
        <f>TEXT(VALUE(Table1[[#This Row],[Content.Column5]])*1000,"#,##0")</f>
        <v>4,446,697</v>
      </c>
      <c r="AB189" s="14" t="str">
        <f>TEXT(VALUE(Table1[[#This Row],[Content.Column6]])*1000,"#,##0")</f>
        <v>4,593,575</v>
      </c>
    </row>
    <row r="190" spans="1:28" x14ac:dyDescent="0.3">
      <c r="A190" t="s">
        <v>110</v>
      </c>
      <c r="B190" t="s">
        <v>111</v>
      </c>
      <c r="C190" s="6">
        <v>2531.7559999999999</v>
      </c>
      <c r="D190" s="1">
        <v>1247.94</v>
      </c>
      <c r="E190" s="1">
        <v>3779.6990000000001</v>
      </c>
      <c r="F190" s="1">
        <v>3933.02</v>
      </c>
      <c r="G190" s="2">
        <v>391.00099999999998</v>
      </c>
      <c r="H190" s="2">
        <v>251.142</v>
      </c>
      <c r="I190" s="2">
        <v>642.14300000000003</v>
      </c>
      <c r="J190" s="2">
        <v>663.86599999999999</v>
      </c>
      <c r="K190" s="3">
        <v>2140.7550000000001</v>
      </c>
      <c r="L190" s="3">
        <v>996.798</v>
      </c>
      <c r="M190" s="3">
        <v>3137.556</v>
      </c>
      <c r="N190" s="3">
        <v>3269.1550000000002</v>
      </c>
      <c r="O190">
        <v>2012</v>
      </c>
      <c r="Q190" s="12" t="str">
        <f>TEXT(VALUE(Table1[[#This Row],[Content.Column7]])*1000,"#,##0")</f>
        <v>391,001</v>
      </c>
      <c r="R190" s="12" t="str">
        <f>TEXT(VALUE(Table1[[#This Row],[Content.Column8]])*1000,"#,##0")</f>
        <v>251,142</v>
      </c>
      <c r="S190" s="12" t="str">
        <f>TEXT(VALUE(Table1[[#This Row],[Content.Column9]])*1000,"#,##0")</f>
        <v>642,143</v>
      </c>
      <c r="T190" s="12" t="str">
        <f>TEXT(VALUE(Table1[[#This Row],[Content.Column10]])*1000,"#,##0")</f>
        <v>663,866</v>
      </c>
      <c r="U190" s="13" t="str">
        <f>TEXT(VALUE(Table1[[#This Row],[Content.Column11]])*1000,"#,##0")</f>
        <v>2,140,755</v>
      </c>
      <c r="V190" s="13" t="str">
        <f>TEXT(VALUE(Table1[[#This Row],[Content.Column12]])*1000,"#,##0")</f>
        <v>996,798</v>
      </c>
      <c r="W190" s="13" t="str">
        <f>TEXT(VALUE(Table1[[#This Row],[Content.Column13]])*1000,"#,##0")</f>
        <v>3,137,556</v>
      </c>
      <c r="X190" s="13" t="str">
        <f>TEXT(VALUE(Table1[[#This Row],[Content.Column14]])*1000,"#,##0")</f>
        <v>3,269,155</v>
      </c>
      <c r="Y190" s="14" t="str">
        <f>TEXT(VALUE(Table1[[#This Row],[Content.Column3]])*1000,"#,##0")</f>
        <v>2,531,756</v>
      </c>
      <c r="Z190" s="14" t="str">
        <f>TEXT(VALUE(Table1[[#This Row],[Content.Column4]])*1000,"#,##0")</f>
        <v>1,247,940</v>
      </c>
      <c r="AA190" s="14" t="str">
        <f>TEXT(VALUE(Table1[[#This Row],[Content.Column5]])*1000,"#,##0")</f>
        <v>3,779,699</v>
      </c>
      <c r="AB190" s="14" t="str">
        <f>TEXT(VALUE(Table1[[#This Row],[Content.Column6]])*1000,"#,##0")</f>
        <v>3,933,020</v>
      </c>
    </row>
    <row r="191" spans="1:28" x14ac:dyDescent="0.3">
      <c r="A191" t="s">
        <v>112</v>
      </c>
      <c r="B191" t="s">
        <v>113</v>
      </c>
      <c r="C191" s="6">
        <v>1400.915</v>
      </c>
      <c r="D191" s="1">
        <v>830.89300000000003</v>
      </c>
      <c r="E191" s="1">
        <v>2231.8090000000002</v>
      </c>
      <c r="F191" s="1">
        <v>2373.3449999999998</v>
      </c>
      <c r="G191" s="2">
        <v>261.92099999999999</v>
      </c>
      <c r="H191" s="2">
        <v>198.07300000000001</v>
      </c>
      <c r="I191" s="2">
        <v>459.99400000000003</v>
      </c>
      <c r="J191" s="2">
        <v>504.666</v>
      </c>
      <c r="K191" s="3">
        <v>1138.9929999999999</v>
      </c>
      <c r="L191" s="3">
        <v>632.82100000000003</v>
      </c>
      <c r="M191" s="3">
        <v>1771.8150000000001</v>
      </c>
      <c r="N191" s="3">
        <v>1868.6790000000001</v>
      </c>
      <c r="O191">
        <v>2012</v>
      </c>
      <c r="Q191" s="12" t="str">
        <f>TEXT(VALUE(Table1[[#This Row],[Content.Column7]])*1000,"#,##0")</f>
        <v>261,921</v>
      </c>
      <c r="R191" s="12" t="str">
        <f>TEXT(VALUE(Table1[[#This Row],[Content.Column8]])*1000,"#,##0")</f>
        <v>198,073</v>
      </c>
      <c r="S191" s="12" t="str">
        <f>TEXT(VALUE(Table1[[#This Row],[Content.Column9]])*1000,"#,##0")</f>
        <v>459,994</v>
      </c>
      <c r="T191" s="12" t="str">
        <f>TEXT(VALUE(Table1[[#This Row],[Content.Column10]])*1000,"#,##0")</f>
        <v>504,666</v>
      </c>
      <c r="U191" s="13" t="str">
        <f>TEXT(VALUE(Table1[[#This Row],[Content.Column11]])*1000,"#,##0")</f>
        <v>1,138,993</v>
      </c>
      <c r="V191" s="13" t="str">
        <f>TEXT(VALUE(Table1[[#This Row],[Content.Column12]])*1000,"#,##0")</f>
        <v>632,821</v>
      </c>
      <c r="W191" s="13" t="str">
        <f>TEXT(VALUE(Table1[[#This Row],[Content.Column13]])*1000,"#,##0")</f>
        <v>1,771,815</v>
      </c>
      <c r="X191" s="13" t="str">
        <f>TEXT(VALUE(Table1[[#This Row],[Content.Column14]])*1000,"#,##0")</f>
        <v>1,868,679</v>
      </c>
      <c r="Y191" s="14" t="str">
        <f>TEXT(VALUE(Table1[[#This Row],[Content.Column3]])*1000,"#,##0")</f>
        <v>1,400,915</v>
      </c>
      <c r="Z191" s="14" t="str">
        <f>TEXT(VALUE(Table1[[#This Row],[Content.Column4]])*1000,"#,##0")</f>
        <v>830,893</v>
      </c>
      <c r="AA191" s="14" t="str">
        <f>TEXT(VALUE(Table1[[#This Row],[Content.Column5]])*1000,"#,##0")</f>
        <v>2,231,809</v>
      </c>
      <c r="AB191" s="14" t="str">
        <f>TEXT(VALUE(Table1[[#This Row],[Content.Column6]])*1000,"#,##0")</f>
        <v>2,373,345</v>
      </c>
    </row>
    <row r="192" spans="1:28" x14ac:dyDescent="0.3">
      <c r="A192" t="s">
        <v>114</v>
      </c>
      <c r="B192" t="s">
        <v>115</v>
      </c>
      <c r="C192" s="6">
        <v>761.27</v>
      </c>
      <c r="D192" s="1">
        <v>416.91899999999998</v>
      </c>
      <c r="E192" s="1">
        <v>1178.1890000000001</v>
      </c>
      <c r="F192" s="1">
        <v>1268.748</v>
      </c>
      <c r="G192" s="2">
        <v>212.90899999999999</v>
      </c>
      <c r="H192" s="2">
        <v>130.42599999999999</v>
      </c>
      <c r="I192" s="2">
        <v>343.33499999999998</v>
      </c>
      <c r="J192" s="2">
        <v>389.04700000000003</v>
      </c>
      <c r="K192" s="3">
        <v>548.36099999999999</v>
      </c>
      <c r="L192" s="3">
        <v>286.49299999999999</v>
      </c>
      <c r="M192" s="3">
        <v>834.85500000000002</v>
      </c>
      <c r="N192" s="3">
        <v>879.70100000000002</v>
      </c>
      <c r="O192">
        <v>2012</v>
      </c>
      <c r="Q192" s="12" t="str">
        <f>TEXT(VALUE(Table1[[#This Row],[Content.Column7]])*1000,"#,##0")</f>
        <v>212,909</v>
      </c>
      <c r="R192" s="12" t="str">
        <f>TEXT(VALUE(Table1[[#This Row],[Content.Column8]])*1000,"#,##0")</f>
        <v>130,426</v>
      </c>
      <c r="S192" s="12" t="str">
        <f>TEXT(VALUE(Table1[[#This Row],[Content.Column9]])*1000,"#,##0")</f>
        <v>343,335</v>
      </c>
      <c r="T192" s="12" t="str">
        <f>TEXT(VALUE(Table1[[#This Row],[Content.Column10]])*1000,"#,##0")</f>
        <v>389,047</v>
      </c>
      <c r="U192" s="13" t="str">
        <f>TEXT(VALUE(Table1[[#This Row],[Content.Column11]])*1000,"#,##0")</f>
        <v>548,361</v>
      </c>
      <c r="V192" s="13" t="str">
        <f>TEXT(VALUE(Table1[[#This Row],[Content.Column12]])*1000,"#,##0")</f>
        <v>286,493</v>
      </c>
      <c r="W192" s="13" t="str">
        <f>TEXT(VALUE(Table1[[#This Row],[Content.Column13]])*1000,"#,##0")</f>
        <v>834,855</v>
      </c>
      <c r="X192" s="13" t="str">
        <f>TEXT(VALUE(Table1[[#This Row],[Content.Column14]])*1000,"#,##0")</f>
        <v>879,701</v>
      </c>
      <c r="Y192" s="14" t="str">
        <f>TEXT(VALUE(Table1[[#This Row],[Content.Column3]])*1000,"#,##0")</f>
        <v>761,270</v>
      </c>
      <c r="Z192" s="14" t="str">
        <f>TEXT(VALUE(Table1[[#This Row],[Content.Column4]])*1000,"#,##0")</f>
        <v>416,919</v>
      </c>
      <c r="AA192" s="14" t="str">
        <f>TEXT(VALUE(Table1[[#This Row],[Content.Column5]])*1000,"#,##0")</f>
        <v>1,178,189</v>
      </c>
      <c r="AB192" s="14" t="str">
        <f>TEXT(VALUE(Table1[[#This Row],[Content.Column6]])*1000,"#,##0")</f>
        <v>1,268,748</v>
      </c>
    </row>
    <row r="193" spans="1:28" x14ac:dyDescent="0.3">
      <c r="A193" t="s">
        <v>116</v>
      </c>
      <c r="B193" t="s">
        <v>117</v>
      </c>
      <c r="C193" s="6">
        <v>1550.8620000000001</v>
      </c>
      <c r="D193" s="1">
        <v>767.798</v>
      </c>
      <c r="E193" s="1">
        <v>2318.66</v>
      </c>
      <c r="F193" s="1">
        <v>2428.4389999999999</v>
      </c>
      <c r="G193" s="2">
        <v>396.988</v>
      </c>
      <c r="H193" s="2">
        <v>231.02</v>
      </c>
      <c r="I193" s="2">
        <v>628.00800000000004</v>
      </c>
      <c r="J193" s="2">
        <v>669.53</v>
      </c>
      <c r="K193" s="3">
        <v>1153.874</v>
      </c>
      <c r="L193" s="3">
        <v>536.77800000000002</v>
      </c>
      <c r="M193" s="3">
        <v>1690.652</v>
      </c>
      <c r="N193" s="3">
        <v>1758.9090000000001</v>
      </c>
      <c r="O193">
        <v>2012</v>
      </c>
      <c r="Q193" s="12" t="str">
        <f>TEXT(VALUE(Table1[[#This Row],[Content.Column7]])*1000,"#,##0")</f>
        <v>396,988</v>
      </c>
      <c r="R193" s="12" t="str">
        <f>TEXT(VALUE(Table1[[#This Row],[Content.Column8]])*1000,"#,##0")</f>
        <v>231,020</v>
      </c>
      <c r="S193" s="12" t="str">
        <f>TEXT(VALUE(Table1[[#This Row],[Content.Column9]])*1000,"#,##0")</f>
        <v>628,008</v>
      </c>
      <c r="T193" s="12" t="str">
        <f>TEXT(VALUE(Table1[[#This Row],[Content.Column10]])*1000,"#,##0")</f>
        <v>669,530</v>
      </c>
      <c r="U193" s="13" t="str">
        <f>TEXT(VALUE(Table1[[#This Row],[Content.Column11]])*1000,"#,##0")</f>
        <v>1,153,874</v>
      </c>
      <c r="V193" s="13" t="str">
        <f>TEXT(VALUE(Table1[[#This Row],[Content.Column12]])*1000,"#,##0")</f>
        <v>536,778</v>
      </c>
      <c r="W193" s="13" t="str">
        <f>TEXT(VALUE(Table1[[#This Row],[Content.Column13]])*1000,"#,##0")</f>
        <v>1,690,652</v>
      </c>
      <c r="X193" s="13" t="str">
        <f>TEXT(VALUE(Table1[[#This Row],[Content.Column14]])*1000,"#,##0")</f>
        <v>1,758,909</v>
      </c>
      <c r="Y193" s="14" t="str">
        <f>TEXT(VALUE(Table1[[#This Row],[Content.Column3]])*1000,"#,##0")</f>
        <v>1,550,862</v>
      </c>
      <c r="Z193" s="14" t="str">
        <f>TEXT(VALUE(Table1[[#This Row],[Content.Column4]])*1000,"#,##0")</f>
        <v>767,798</v>
      </c>
      <c r="AA193" s="14" t="str">
        <f>TEXT(VALUE(Table1[[#This Row],[Content.Column5]])*1000,"#,##0")</f>
        <v>2,318,660</v>
      </c>
      <c r="AB193" s="14" t="str">
        <f>TEXT(VALUE(Table1[[#This Row],[Content.Column6]])*1000,"#,##0")</f>
        <v>2,428,439</v>
      </c>
    </row>
    <row r="194" spans="1:28" x14ac:dyDescent="0.3">
      <c r="A194" t="s">
        <v>118</v>
      </c>
      <c r="B194" t="s">
        <v>119</v>
      </c>
      <c r="C194" s="6">
        <v>15684.746999999999</v>
      </c>
      <c r="D194" s="1">
        <v>7571.2709999999997</v>
      </c>
      <c r="E194" s="1">
        <v>23256.019</v>
      </c>
      <c r="F194" s="1">
        <v>24208.241000000002</v>
      </c>
      <c r="G194" s="2">
        <v>2827.2339999999999</v>
      </c>
      <c r="H194" s="2">
        <v>1781.192</v>
      </c>
      <c r="I194" s="2">
        <v>4608.4260000000004</v>
      </c>
      <c r="J194" s="2">
        <v>4792.9949999999999</v>
      </c>
      <c r="K194" s="3">
        <v>12857.513000000001</v>
      </c>
      <c r="L194" s="3">
        <v>5790.0789999999997</v>
      </c>
      <c r="M194" s="3">
        <v>18647.593000000001</v>
      </c>
      <c r="N194" s="3">
        <v>19415.245999999999</v>
      </c>
      <c r="O194">
        <v>2012</v>
      </c>
      <c r="Q194" s="12" t="str">
        <f>TEXT(VALUE(Table1[[#This Row],[Content.Column7]])*1000,"#,##0")</f>
        <v>2,827,234</v>
      </c>
      <c r="R194" s="12" t="str">
        <f>TEXT(VALUE(Table1[[#This Row],[Content.Column8]])*1000,"#,##0")</f>
        <v>1,781,192</v>
      </c>
      <c r="S194" s="12" t="str">
        <f>TEXT(VALUE(Table1[[#This Row],[Content.Column9]])*1000,"#,##0")</f>
        <v>4,608,426</v>
      </c>
      <c r="T194" s="12" t="str">
        <f>TEXT(VALUE(Table1[[#This Row],[Content.Column10]])*1000,"#,##0")</f>
        <v>4,792,995</v>
      </c>
      <c r="U194" s="13" t="str">
        <f>TEXT(VALUE(Table1[[#This Row],[Content.Column11]])*1000,"#,##0")</f>
        <v>12,857,513</v>
      </c>
      <c r="V194" s="13" t="str">
        <f>TEXT(VALUE(Table1[[#This Row],[Content.Column12]])*1000,"#,##0")</f>
        <v>5,790,079</v>
      </c>
      <c r="W194" s="13" t="str">
        <f>TEXT(VALUE(Table1[[#This Row],[Content.Column13]])*1000,"#,##0")</f>
        <v>18,647,593</v>
      </c>
      <c r="X194" s="13" t="str">
        <f>TEXT(VALUE(Table1[[#This Row],[Content.Column14]])*1000,"#,##0")</f>
        <v>19,415,246</v>
      </c>
      <c r="Y194" s="14" t="str">
        <f>TEXT(VALUE(Table1[[#This Row],[Content.Column3]])*1000,"#,##0")</f>
        <v>15,684,747</v>
      </c>
      <c r="Z194" s="14" t="str">
        <f>TEXT(VALUE(Table1[[#This Row],[Content.Column4]])*1000,"#,##0")</f>
        <v>7,571,271</v>
      </c>
      <c r="AA194" s="14" t="str">
        <f>TEXT(VALUE(Table1[[#This Row],[Content.Column5]])*1000,"#,##0")</f>
        <v>23,256,019</v>
      </c>
      <c r="AB194" s="14" t="str">
        <f>TEXT(VALUE(Table1[[#This Row],[Content.Column6]])*1000,"#,##0")</f>
        <v>24,208,241</v>
      </c>
    </row>
    <row r="195" spans="1:28" x14ac:dyDescent="0.3">
      <c r="A195" t="s">
        <v>120</v>
      </c>
      <c r="B195" t="s">
        <v>121</v>
      </c>
      <c r="C195" s="6">
        <v>17996.88</v>
      </c>
      <c r="D195" s="1">
        <v>8755.9879999999994</v>
      </c>
      <c r="E195" s="1">
        <v>26752.868999999999</v>
      </c>
      <c r="F195" s="1">
        <v>27905.428</v>
      </c>
      <c r="G195" s="2">
        <v>3437.1309999999999</v>
      </c>
      <c r="H195" s="2">
        <v>2142.6370000000002</v>
      </c>
      <c r="I195" s="2">
        <v>5579.7690000000002</v>
      </c>
      <c r="J195" s="2">
        <v>5851.5720000000001</v>
      </c>
      <c r="K195" s="3">
        <v>2012</v>
      </c>
      <c r="L195" s="3">
        <v>2012</v>
      </c>
      <c r="M195" s="3">
        <v>2012</v>
      </c>
      <c r="N195" s="3">
        <v>2012</v>
      </c>
      <c r="O195">
        <v>2012</v>
      </c>
      <c r="Q195" s="12" t="str">
        <f>TEXT(VALUE(Table1[[#This Row],[Content.Column7]])*1000,"#,##0")</f>
        <v>3,437,131</v>
      </c>
      <c r="R195" s="12" t="str">
        <f>TEXT(VALUE(Table1[[#This Row],[Content.Column8]])*1000,"#,##0")</f>
        <v>2,142,637</v>
      </c>
      <c r="S195" s="12" t="str">
        <f>TEXT(VALUE(Table1[[#This Row],[Content.Column9]])*1000,"#,##0")</f>
        <v>5,579,769</v>
      </c>
      <c r="T195" s="12" t="str">
        <f>TEXT(VALUE(Table1[[#This Row],[Content.Column10]])*1000,"#,##0")</f>
        <v>5,851,572</v>
      </c>
      <c r="U195" s="13" t="str">
        <f>TEXT(VALUE(Table1[[#This Row],[Content.Column11]])*1000,"#,##0")</f>
        <v>2,012,000</v>
      </c>
      <c r="V195" s="13" t="str">
        <f>TEXT(VALUE(Table1[[#This Row],[Content.Column12]])*1000,"#,##0")</f>
        <v>2,012,000</v>
      </c>
      <c r="W195" s="13" t="str">
        <f>TEXT(VALUE(Table1[[#This Row],[Content.Column13]])*1000,"#,##0")</f>
        <v>2,012,000</v>
      </c>
      <c r="X195" s="13" t="str">
        <f>TEXT(VALUE(Table1[[#This Row],[Content.Column14]])*1000,"#,##0")</f>
        <v>2,012,000</v>
      </c>
      <c r="Y195" s="14" t="str">
        <f>TEXT(VALUE(Table1[[#This Row],[Content.Column3]])*1000,"#,##0")</f>
        <v>17,996,880</v>
      </c>
      <c r="Z195" s="14" t="str">
        <f>TEXT(VALUE(Table1[[#This Row],[Content.Column4]])*1000,"#,##0")</f>
        <v>8,755,988</v>
      </c>
      <c r="AA195" s="14" t="str">
        <f>TEXT(VALUE(Table1[[#This Row],[Content.Column5]])*1000,"#,##0")</f>
        <v>26,752,869</v>
      </c>
      <c r="AB195" s="14" t="str">
        <f>TEXT(VALUE(Table1[[#This Row],[Content.Column6]])*1000,"#,##0")</f>
        <v>27,905,428</v>
      </c>
    </row>
    <row r="196" spans="1:28" x14ac:dyDescent="0.3">
      <c r="A196" t="s">
        <v>26</v>
      </c>
      <c r="B196" t="s">
        <v>27</v>
      </c>
      <c r="C196" s="6">
        <v>328.02300000000002</v>
      </c>
      <c r="D196" s="1">
        <v>48.594999999999999</v>
      </c>
      <c r="E196" s="1">
        <v>376.61700000000002</v>
      </c>
      <c r="F196" s="1">
        <v>391.16899999999998</v>
      </c>
      <c r="G196" s="2">
        <v>19.239000000000001</v>
      </c>
      <c r="H196" s="2">
        <v>4.9809999999999999</v>
      </c>
      <c r="I196" s="2">
        <v>24.22</v>
      </c>
      <c r="J196" s="2">
        <v>24.251999999999999</v>
      </c>
      <c r="K196" s="3">
        <v>308.78399999999999</v>
      </c>
      <c r="L196" s="3">
        <v>43.613999999999997</v>
      </c>
      <c r="M196" s="3">
        <v>352.39699999999999</v>
      </c>
      <c r="N196" s="3">
        <v>366.91699999999997</v>
      </c>
      <c r="O196">
        <v>2013</v>
      </c>
      <c r="Q196" s="12" t="str">
        <f>TEXT(VALUE(Table1[[#This Row],[Content.Column7]])*1000,"#,##0")</f>
        <v>19,239</v>
      </c>
      <c r="R196" s="12" t="str">
        <f>TEXT(VALUE(Table1[[#This Row],[Content.Column8]])*1000,"#,##0")</f>
        <v>4,981</v>
      </c>
      <c r="S196" s="12" t="str">
        <f>TEXT(VALUE(Table1[[#This Row],[Content.Column9]])*1000,"#,##0")</f>
        <v>24,220</v>
      </c>
      <c r="T196" s="12" t="str">
        <f>TEXT(VALUE(Table1[[#This Row],[Content.Column10]])*1000,"#,##0")</f>
        <v>24,252</v>
      </c>
      <c r="U196" s="13" t="str">
        <f>TEXT(VALUE(Table1[[#This Row],[Content.Column11]])*1000,"#,##0")</f>
        <v>308,784</v>
      </c>
      <c r="V196" s="13" t="str">
        <f>TEXT(VALUE(Table1[[#This Row],[Content.Column12]])*1000,"#,##0")</f>
        <v>43,614</v>
      </c>
      <c r="W196" s="13" t="str">
        <f>TEXT(VALUE(Table1[[#This Row],[Content.Column13]])*1000,"#,##0")</f>
        <v>352,397</v>
      </c>
      <c r="X196" s="13" t="str">
        <f>TEXT(VALUE(Table1[[#This Row],[Content.Column14]])*1000,"#,##0")</f>
        <v>366,917</v>
      </c>
      <c r="Y196" s="14" t="str">
        <f>TEXT(VALUE(Table1[[#This Row],[Content.Column3]])*1000,"#,##0")</f>
        <v>328,023</v>
      </c>
      <c r="Z196" s="14" t="str">
        <f>TEXT(VALUE(Table1[[#This Row],[Content.Column4]])*1000,"#,##0")</f>
        <v>48,595</v>
      </c>
      <c r="AA196" s="14" t="str">
        <f>TEXT(VALUE(Table1[[#This Row],[Content.Column5]])*1000,"#,##0")</f>
        <v>376,617</v>
      </c>
      <c r="AB196" s="14" t="str">
        <f>TEXT(VALUE(Table1[[#This Row],[Content.Column6]])*1000,"#,##0")</f>
        <v>391,169</v>
      </c>
    </row>
    <row r="197" spans="1:28" x14ac:dyDescent="0.3">
      <c r="A197" t="s">
        <v>28</v>
      </c>
      <c r="B197" t="s">
        <v>29</v>
      </c>
      <c r="C197" s="6">
        <v>31.992000000000001</v>
      </c>
      <c r="D197" s="1">
        <v>16.686</v>
      </c>
      <c r="E197" s="1">
        <v>48.677999999999997</v>
      </c>
      <c r="F197" s="1">
        <v>49.789000000000001</v>
      </c>
      <c r="G197" s="2">
        <v>5.1870000000000003</v>
      </c>
      <c r="H197" s="2">
        <v>5.944</v>
      </c>
      <c r="I197" s="2">
        <v>11.131</v>
      </c>
      <c r="J197" s="2">
        <v>11.132</v>
      </c>
      <c r="K197" s="3">
        <v>26.805</v>
      </c>
      <c r="L197" s="3">
        <v>10.742000000000001</v>
      </c>
      <c r="M197" s="3">
        <v>37.546999999999997</v>
      </c>
      <c r="N197" s="3">
        <v>38.656999999999996</v>
      </c>
      <c r="O197">
        <v>2013</v>
      </c>
      <c r="Q197" s="12" t="str">
        <f>TEXT(VALUE(Table1[[#This Row],[Content.Column7]])*1000,"#,##0")</f>
        <v>5,187</v>
      </c>
      <c r="R197" s="12" t="str">
        <f>TEXT(VALUE(Table1[[#This Row],[Content.Column8]])*1000,"#,##0")</f>
        <v>5,944</v>
      </c>
      <c r="S197" s="12" t="str">
        <f>TEXT(VALUE(Table1[[#This Row],[Content.Column9]])*1000,"#,##0")</f>
        <v>11,131</v>
      </c>
      <c r="T197" s="12" t="str">
        <f>TEXT(VALUE(Table1[[#This Row],[Content.Column10]])*1000,"#,##0")</f>
        <v>11,132</v>
      </c>
      <c r="U197" s="13" t="str">
        <f>TEXT(VALUE(Table1[[#This Row],[Content.Column11]])*1000,"#,##0")</f>
        <v>26,805</v>
      </c>
      <c r="V197" s="13" t="str">
        <f>TEXT(VALUE(Table1[[#This Row],[Content.Column12]])*1000,"#,##0")</f>
        <v>10,742</v>
      </c>
      <c r="W197" s="13" t="str">
        <f>TEXT(VALUE(Table1[[#This Row],[Content.Column13]])*1000,"#,##0")</f>
        <v>37,547</v>
      </c>
      <c r="X197" s="13" t="str">
        <f>TEXT(VALUE(Table1[[#This Row],[Content.Column14]])*1000,"#,##0")</f>
        <v>38,657</v>
      </c>
      <c r="Y197" s="14" t="str">
        <f>TEXT(VALUE(Table1[[#This Row],[Content.Column3]])*1000,"#,##0")</f>
        <v>31,992</v>
      </c>
      <c r="Z197" s="14" t="str">
        <f>TEXT(VALUE(Table1[[#This Row],[Content.Column4]])*1000,"#,##0")</f>
        <v>16,686</v>
      </c>
      <c r="AA197" s="14" t="str">
        <f>TEXT(VALUE(Table1[[#This Row],[Content.Column5]])*1000,"#,##0")</f>
        <v>48,678</v>
      </c>
      <c r="AB197" s="14" t="str">
        <f>TEXT(VALUE(Table1[[#This Row],[Content.Column6]])*1000,"#,##0")</f>
        <v>49,789</v>
      </c>
    </row>
    <row r="198" spans="1:28" x14ac:dyDescent="0.3">
      <c r="A198" t="s">
        <v>30</v>
      </c>
      <c r="B198" t="s">
        <v>31</v>
      </c>
      <c r="C198" s="6">
        <v>77.512</v>
      </c>
      <c r="D198" s="1">
        <v>40.729999999999997</v>
      </c>
      <c r="E198" s="1">
        <v>118.241</v>
      </c>
      <c r="F198" s="1">
        <v>123.61499999999999</v>
      </c>
      <c r="G198" s="2">
        <v>15.582000000000001</v>
      </c>
      <c r="H198" s="2">
        <v>7.8719999999999999</v>
      </c>
      <c r="I198" s="2">
        <v>23.454000000000001</v>
      </c>
      <c r="J198" s="2">
        <v>23.742999999999999</v>
      </c>
      <c r="K198" s="3">
        <v>61.93</v>
      </c>
      <c r="L198" s="3">
        <v>32.856999999999999</v>
      </c>
      <c r="M198" s="3">
        <v>94.787000000000006</v>
      </c>
      <c r="N198" s="3">
        <v>99.872</v>
      </c>
      <c r="O198">
        <v>2013</v>
      </c>
      <c r="Q198" s="12" t="str">
        <f>TEXT(VALUE(Table1[[#This Row],[Content.Column7]])*1000,"#,##0")</f>
        <v>15,582</v>
      </c>
      <c r="R198" s="12" t="str">
        <f>TEXT(VALUE(Table1[[#This Row],[Content.Column8]])*1000,"#,##0")</f>
        <v>7,872</v>
      </c>
      <c r="S198" s="12" t="str">
        <f>TEXT(VALUE(Table1[[#This Row],[Content.Column9]])*1000,"#,##0")</f>
        <v>23,454</v>
      </c>
      <c r="T198" s="12" t="str">
        <f>TEXT(VALUE(Table1[[#This Row],[Content.Column10]])*1000,"#,##0")</f>
        <v>23,743</v>
      </c>
      <c r="U198" s="13" t="str">
        <f>TEXT(VALUE(Table1[[#This Row],[Content.Column11]])*1000,"#,##0")</f>
        <v>61,930</v>
      </c>
      <c r="V198" s="13" t="str">
        <f>TEXT(VALUE(Table1[[#This Row],[Content.Column12]])*1000,"#,##0")</f>
        <v>32,857</v>
      </c>
      <c r="W198" s="13" t="str">
        <f>TEXT(VALUE(Table1[[#This Row],[Content.Column13]])*1000,"#,##0")</f>
        <v>94,787</v>
      </c>
      <c r="X198" s="13" t="str">
        <f>TEXT(VALUE(Table1[[#This Row],[Content.Column14]])*1000,"#,##0")</f>
        <v>99,872</v>
      </c>
      <c r="Y198" s="14" t="str">
        <f>TEXT(VALUE(Table1[[#This Row],[Content.Column3]])*1000,"#,##0")</f>
        <v>77,512</v>
      </c>
      <c r="Z198" s="14" t="str">
        <f>TEXT(VALUE(Table1[[#This Row],[Content.Column4]])*1000,"#,##0")</f>
        <v>40,730</v>
      </c>
      <c r="AA198" s="14" t="str">
        <f>TEXT(VALUE(Table1[[#This Row],[Content.Column5]])*1000,"#,##0")</f>
        <v>118,241</v>
      </c>
      <c r="AB198" s="14" t="str">
        <f>TEXT(VALUE(Table1[[#This Row],[Content.Column6]])*1000,"#,##0")</f>
        <v>123,615</v>
      </c>
    </row>
    <row r="199" spans="1:28" x14ac:dyDescent="0.3">
      <c r="A199" t="s">
        <v>32</v>
      </c>
      <c r="B199" t="s">
        <v>33</v>
      </c>
      <c r="C199" s="6">
        <v>42.511000000000003</v>
      </c>
      <c r="D199" s="1">
        <v>24.599</v>
      </c>
      <c r="E199" s="1">
        <v>67.108999999999995</v>
      </c>
      <c r="F199" s="1">
        <v>69.224999999999994</v>
      </c>
      <c r="G199" s="2">
        <v>6.891</v>
      </c>
      <c r="H199" s="2">
        <v>5.1559999999999997</v>
      </c>
      <c r="I199" s="2">
        <v>12.047000000000001</v>
      </c>
      <c r="J199" s="2">
        <v>12.051</v>
      </c>
      <c r="K199" s="3">
        <v>35.619999999999997</v>
      </c>
      <c r="L199" s="3">
        <v>19.443000000000001</v>
      </c>
      <c r="M199" s="3">
        <v>55.061999999999998</v>
      </c>
      <c r="N199" s="3">
        <v>57.173999999999999</v>
      </c>
      <c r="O199">
        <v>2013</v>
      </c>
      <c r="Q199" s="12" t="str">
        <f>TEXT(VALUE(Table1[[#This Row],[Content.Column7]])*1000,"#,##0")</f>
        <v>6,891</v>
      </c>
      <c r="R199" s="12" t="str">
        <f>TEXT(VALUE(Table1[[#This Row],[Content.Column8]])*1000,"#,##0")</f>
        <v>5,156</v>
      </c>
      <c r="S199" s="12" t="str">
        <f>TEXT(VALUE(Table1[[#This Row],[Content.Column9]])*1000,"#,##0")</f>
        <v>12,047</v>
      </c>
      <c r="T199" s="12" t="str">
        <f>TEXT(VALUE(Table1[[#This Row],[Content.Column10]])*1000,"#,##0")</f>
        <v>12,051</v>
      </c>
      <c r="U199" s="13" t="str">
        <f>TEXT(VALUE(Table1[[#This Row],[Content.Column11]])*1000,"#,##0")</f>
        <v>35,620</v>
      </c>
      <c r="V199" s="13" t="str">
        <f>TEXT(VALUE(Table1[[#This Row],[Content.Column12]])*1000,"#,##0")</f>
        <v>19,443</v>
      </c>
      <c r="W199" s="13" t="str">
        <f>TEXT(VALUE(Table1[[#This Row],[Content.Column13]])*1000,"#,##0")</f>
        <v>55,062</v>
      </c>
      <c r="X199" s="13" t="str">
        <f>TEXT(VALUE(Table1[[#This Row],[Content.Column14]])*1000,"#,##0")</f>
        <v>57,174</v>
      </c>
      <c r="Y199" s="14" t="str">
        <f>TEXT(VALUE(Table1[[#This Row],[Content.Column3]])*1000,"#,##0")</f>
        <v>42,511</v>
      </c>
      <c r="Z199" s="14" t="str">
        <f>TEXT(VALUE(Table1[[#This Row],[Content.Column4]])*1000,"#,##0")</f>
        <v>24,599</v>
      </c>
      <c r="AA199" s="14" t="str">
        <f>TEXT(VALUE(Table1[[#This Row],[Content.Column5]])*1000,"#,##0")</f>
        <v>67,109</v>
      </c>
      <c r="AB199" s="14" t="str">
        <f>TEXT(VALUE(Table1[[#This Row],[Content.Column6]])*1000,"#,##0")</f>
        <v>69,225</v>
      </c>
    </row>
    <row r="200" spans="1:28" x14ac:dyDescent="0.3">
      <c r="A200" t="s">
        <v>34</v>
      </c>
      <c r="B200" t="s">
        <v>35</v>
      </c>
      <c r="C200" s="6">
        <v>75.269000000000005</v>
      </c>
      <c r="D200" s="1">
        <v>32.83</v>
      </c>
      <c r="E200" s="1">
        <v>108.099</v>
      </c>
      <c r="F200" s="1">
        <v>111.267</v>
      </c>
      <c r="G200" s="2">
        <v>14.606</v>
      </c>
      <c r="H200" s="2">
        <v>6.5810000000000004</v>
      </c>
      <c r="I200" s="2">
        <v>21.187000000000001</v>
      </c>
      <c r="J200" s="2">
        <v>21.193999999999999</v>
      </c>
      <c r="K200" s="3">
        <v>60.662999999999997</v>
      </c>
      <c r="L200" s="3">
        <v>26.248999999999999</v>
      </c>
      <c r="M200" s="3">
        <v>86.912000000000006</v>
      </c>
      <c r="N200" s="3">
        <v>90.073999999999998</v>
      </c>
      <c r="O200">
        <v>2013</v>
      </c>
      <c r="Q200" s="12" t="str">
        <f>TEXT(VALUE(Table1[[#This Row],[Content.Column7]])*1000,"#,##0")</f>
        <v>14,606</v>
      </c>
      <c r="R200" s="12" t="str">
        <f>TEXT(VALUE(Table1[[#This Row],[Content.Column8]])*1000,"#,##0")</f>
        <v>6,581</v>
      </c>
      <c r="S200" s="12" t="str">
        <f>TEXT(VALUE(Table1[[#This Row],[Content.Column9]])*1000,"#,##0")</f>
        <v>21,187</v>
      </c>
      <c r="T200" s="12" t="str">
        <f>TEXT(VALUE(Table1[[#This Row],[Content.Column10]])*1000,"#,##0")</f>
        <v>21,194</v>
      </c>
      <c r="U200" s="13" t="str">
        <f>TEXT(VALUE(Table1[[#This Row],[Content.Column11]])*1000,"#,##0")</f>
        <v>60,663</v>
      </c>
      <c r="V200" s="13" t="str">
        <f>TEXT(VALUE(Table1[[#This Row],[Content.Column12]])*1000,"#,##0")</f>
        <v>26,249</v>
      </c>
      <c r="W200" s="13" t="str">
        <f>TEXT(VALUE(Table1[[#This Row],[Content.Column13]])*1000,"#,##0")</f>
        <v>86,912</v>
      </c>
      <c r="X200" s="13" t="str">
        <f>TEXT(VALUE(Table1[[#This Row],[Content.Column14]])*1000,"#,##0")</f>
        <v>90,074</v>
      </c>
      <c r="Y200" s="14" t="str">
        <f>TEXT(VALUE(Table1[[#This Row],[Content.Column3]])*1000,"#,##0")</f>
        <v>75,269</v>
      </c>
      <c r="Z200" s="14" t="str">
        <f>TEXT(VALUE(Table1[[#This Row],[Content.Column4]])*1000,"#,##0")</f>
        <v>32,830</v>
      </c>
      <c r="AA200" s="14" t="str">
        <f>TEXT(VALUE(Table1[[#This Row],[Content.Column5]])*1000,"#,##0")</f>
        <v>108,099</v>
      </c>
      <c r="AB200" s="14" t="str">
        <f>TEXT(VALUE(Table1[[#This Row],[Content.Column6]])*1000,"#,##0")</f>
        <v>111,267</v>
      </c>
    </row>
    <row r="201" spans="1:28" x14ac:dyDescent="0.3">
      <c r="A201" t="s">
        <v>36</v>
      </c>
      <c r="B201" t="s">
        <v>37</v>
      </c>
      <c r="C201" s="6">
        <v>62.427</v>
      </c>
      <c r="D201" s="1">
        <v>38.523000000000003</v>
      </c>
      <c r="E201" s="1">
        <v>100.95</v>
      </c>
      <c r="F201" s="1">
        <v>104.82899999999999</v>
      </c>
      <c r="G201" s="2">
        <v>8.3770000000000007</v>
      </c>
      <c r="H201" s="2">
        <v>6.9279999999999999</v>
      </c>
      <c r="I201" s="2">
        <v>15.305</v>
      </c>
      <c r="J201" s="2">
        <v>15.314</v>
      </c>
      <c r="K201" s="3">
        <v>54.05</v>
      </c>
      <c r="L201" s="3">
        <v>31.594999999999999</v>
      </c>
      <c r="M201" s="3">
        <v>85.644000000000005</v>
      </c>
      <c r="N201" s="3">
        <v>89.515000000000001</v>
      </c>
      <c r="O201">
        <v>2013</v>
      </c>
      <c r="Q201" s="12" t="str">
        <f>TEXT(VALUE(Table1[[#This Row],[Content.Column7]])*1000,"#,##0")</f>
        <v>8,377</v>
      </c>
      <c r="R201" s="12" t="str">
        <f>TEXT(VALUE(Table1[[#This Row],[Content.Column8]])*1000,"#,##0")</f>
        <v>6,928</v>
      </c>
      <c r="S201" s="12" t="str">
        <f>TEXT(VALUE(Table1[[#This Row],[Content.Column9]])*1000,"#,##0")</f>
        <v>15,305</v>
      </c>
      <c r="T201" s="12" t="str">
        <f>TEXT(VALUE(Table1[[#This Row],[Content.Column10]])*1000,"#,##0")</f>
        <v>15,314</v>
      </c>
      <c r="U201" s="13" t="str">
        <f>TEXT(VALUE(Table1[[#This Row],[Content.Column11]])*1000,"#,##0")</f>
        <v>54,050</v>
      </c>
      <c r="V201" s="13" t="str">
        <f>TEXT(VALUE(Table1[[#This Row],[Content.Column12]])*1000,"#,##0")</f>
        <v>31,595</v>
      </c>
      <c r="W201" s="13" t="str">
        <f>TEXT(VALUE(Table1[[#This Row],[Content.Column13]])*1000,"#,##0")</f>
        <v>85,644</v>
      </c>
      <c r="X201" s="13" t="str">
        <f>TEXT(VALUE(Table1[[#This Row],[Content.Column14]])*1000,"#,##0")</f>
        <v>89,515</v>
      </c>
      <c r="Y201" s="14" t="str">
        <f>TEXT(VALUE(Table1[[#This Row],[Content.Column3]])*1000,"#,##0")</f>
        <v>62,427</v>
      </c>
      <c r="Z201" s="14" t="str">
        <f>TEXT(VALUE(Table1[[#This Row],[Content.Column4]])*1000,"#,##0")</f>
        <v>38,523</v>
      </c>
      <c r="AA201" s="14" t="str">
        <f>TEXT(VALUE(Table1[[#This Row],[Content.Column5]])*1000,"#,##0")</f>
        <v>100,950</v>
      </c>
      <c r="AB201" s="14" t="str">
        <f>TEXT(VALUE(Table1[[#This Row],[Content.Column6]])*1000,"#,##0")</f>
        <v>104,829</v>
      </c>
    </row>
    <row r="202" spans="1:28" x14ac:dyDescent="0.3">
      <c r="A202" t="s">
        <v>38</v>
      </c>
      <c r="B202" t="s">
        <v>39</v>
      </c>
      <c r="C202" s="6">
        <v>242.452</v>
      </c>
      <c r="D202" s="1">
        <v>74.405000000000001</v>
      </c>
      <c r="E202" s="1">
        <v>316.85700000000003</v>
      </c>
      <c r="F202" s="1">
        <v>328.07799999999997</v>
      </c>
      <c r="G202" s="2">
        <v>34.442999999999998</v>
      </c>
      <c r="H202" s="2">
        <v>8.1620000000000008</v>
      </c>
      <c r="I202" s="2">
        <v>42.604999999999997</v>
      </c>
      <c r="J202" s="2">
        <v>42.688000000000002</v>
      </c>
      <c r="K202" s="3">
        <v>208.00899999999999</v>
      </c>
      <c r="L202" s="3">
        <v>66.242999999999995</v>
      </c>
      <c r="M202" s="3">
        <v>274.25099999999998</v>
      </c>
      <c r="N202" s="3">
        <v>285.39</v>
      </c>
      <c r="O202">
        <v>2013</v>
      </c>
      <c r="Q202" s="12" t="str">
        <f>TEXT(VALUE(Table1[[#This Row],[Content.Column7]])*1000,"#,##0")</f>
        <v>34,443</v>
      </c>
      <c r="R202" s="12" t="str">
        <f>TEXT(VALUE(Table1[[#This Row],[Content.Column8]])*1000,"#,##0")</f>
        <v>8,162</v>
      </c>
      <c r="S202" s="12" t="str">
        <f>TEXT(VALUE(Table1[[#This Row],[Content.Column9]])*1000,"#,##0")</f>
        <v>42,605</v>
      </c>
      <c r="T202" s="12" t="str">
        <f>TEXT(VALUE(Table1[[#This Row],[Content.Column10]])*1000,"#,##0")</f>
        <v>42,688</v>
      </c>
      <c r="U202" s="13" t="str">
        <f>TEXT(VALUE(Table1[[#This Row],[Content.Column11]])*1000,"#,##0")</f>
        <v>208,009</v>
      </c>
      <c r="V202" s="13" t="str">
        <f>TEXT(VALUE(Table1[[#This Row],[Content.Column12]])*1000,"#,##0")</f>
        <v>66,243</v>
      </c>
      <c r="W202" s="13" t="str">
        <f>TEXT(VALUE(Table1[[#This Row],[Content.Column13]])*1000,"#,##0")</f>
        <v>274,251</v>
      </c>
      <c r="X202" s="13" t="str">
        <f>TEXT(VALUE(Table1[[#This Row],[Content.Column14]])*1000,"#,##0")</f>
        <v>285,390</v>
      </c>
      <c r="Y202" s="14" t="str">
        <f>TEXT(VALUE(Table1[[#This Row],[Content.Column3]])*1000,"#,##0")</f>
        <v>242,452</v>
      </c>
      <c r="Z202" s="14" t="str">
        <f>TEXT(VALUE(Table1[[#This Row],[Content.Column4]])*1000,"#,##0")</f>
        <v>74,405</v>
      </c>
      <c r="AA202" s="14" t="str">
        <f>TEXT(VALUE(Table1[[#This Row],[Content.Column5]])*1000,"#,##0")</f>
        <v>316,857</v>
      </c>
      <c r="AB202" s="14" t="str">
        <f>TEXT(VALUE(Table1[[#This Row],[Content.Column6]])*1000,"#,##0")</f>
        <v>328,078</v>
      </c>
    </row>
    <row r="203" spans="1:28" x14ac:dyDescent="0.3">
      <c r="A203" t="s">
        <v>40</v>
      </c>
      <c r="B203" t="s">
        <v>41</v>
      </c>
      <c r="C203" s="6">
        <v>71.887</v>
      </c>
      <c r="D203" s="1">
        <v>36.4</v>
      </c>
      <c r="E203" s="1">
        <v>108.28700000000001</v>
      </c>
      <c r="F203" s="1">
        <v>112.905</v>
      </c>
      <c r="G203" s="2">
        <v>13.597</v>
      </c>
      <c r="H203" s="2">
        <v>7.9409999999999998</v>
      </c>
      <c r="I203" s="2">
        <v>21.538</v>
      </c>
      <c r="J203" s="2">
        <v>21.548999999999999</v>
      </c>
      <c r="K203" s="3">
        <v>58.29</v>
      </c>
      <c r="L203" s="3">
        <v>28.459</v>
      </c>
      <c r="M203" s="3">
        <v>86.748999999999995</v>
      </c>
      <c r="N203" s="3">
        <v>91.355000000000004</v>
      </c>
      <c r="O203">
        <v>2013</v>
      </c>
      <c r="Q203" s="12" t="str">
        <f>TEXT(VALUE(Table1[[#This Row],[Content.Column7]])*1000,"#,##0")</f>
        <v>13,597</v>
      </c>
      <c r="R203" s="12" t="str">
        <f>TEXT(VALUE(Table1[[#This Row],[Content.Column8]])*1000,"#,##0")</f>
        <v>7,941</v>
      </c>
      <c r="S203" s="12" t="str">
        <f>TEXT(VALUE(Table1[[#This Row],[Content.Column9]])*1000,"#,##0")</f>
        <v>21,538</v>
      </c>
      <c r="T203" s="12" t="str">
        <f>TEXT(VALUE(Table1[[#This Row],[Content.Column10]])*1000,"#,##0")</f>
        <v>21,549</v>
      </c>
      <c r="U203" s="13" t="str">
        <f>TEXT(VALUE(Table1[[#This Row],[Content.Column11]])*1000,"#,##0")</f>
        <v>58,290</v>
      </c>
      <c r="V203" s="13" t="str">
        <f>TEXT(VALUE(Table1[[#This Row],[Content.Column12]])*1000,"#,##0")</f>
        <v>28,459</v>
      </c>
      <c r="W203" s="13" t="str">
        <f>TEXT(VALUE(Table1[[#This Row],[Content.Column13]])*1000,"#,##0")</f>
        <v>86,749</v>
      </c>
      <c r="X203" s="13" t="str">
        <f>TEXT(VALUE(Table1[[#This Row],[Content.Column14]])*1000,"#,##0")</f>
        <v>91,355</v>
      </c>
      <c r="Y203" s="14" t="str">
        <f>TEXT(VALUE(Table1[[#This Row],[Content.Column3]])*1000,"#,##0")</f>
        <v>71,887</v>
      </c>
      <c r="Z203" s="14" t="str">
        <f>TEXT(VALUE(Table1[[#This Row],[Content.Column4]])*1000,"#,##0")</f>
        <v>36,400</v>
      </c>
      <c r="AA203" s="14" t="str">
        <f>TEXT(VALUE(Table1[[#This Row],[Content.Column5]])*1000,"#,##0")</f>
        <v>108,287</v>
      </c>
      <c r="AB203" s="14" t="str">
        <f>TEXT(VALUE(Table1[[#This Row],[Content.Column6]])*1000,"#,##0")</f>
        <v>112,905</v>
      </c>
    </row>
    <row r="204" spans="1:28" x14ac:dyDescent="0.3">
      <c r="A204" t="s">
        <v>42</v>
      </c>
      <c r="B204" t="s">
        <v>43</v>
      </c>
      <c r="C204" s="6">
        <v>85.201999999999998</v>
      </c>
      <c r="D204" s="1">
        <v>35.572000000000003</v>
      </c>
      <c r="E204" s="1">
        <v>120.774</v>
      </c>
      <c r="F204" s="1">
        <v>124.19799999999999</v>
      </c>
      <c r="G204" s="2">
        <v>11.278</v>
      </c>
      <c r="H204" s="2">
        <v>8.1950000000000003</v>
      </c>
      <c r="I204" s="2">
        <v>19.472999999999999</v>
      </c>
      <c r="J204" s="2">
        <v>19.48</v>
      </c>
      <c r="K204" s="3">
        <v>73.924000000000007</v>
      </c>
      <c r="L204" s="3">
        <v>27.376999999999999</v>
      </c>
      <c r="M204" s="3">
        <v>101.3</v>
      </c>
      <c r="N204" s="3">
        <v>104.717</v>
      </c>
      <c r="O204">
        <v>2013</v>
      </c>
      <c r="Q204" s="12" t="str">
        <f>TEXT(VALUE(Table1[[#This Row],[Content.Column7]])*1000,"#,##0")</f>
        <v>11,278</v>
      </c>
      <c r="R204" s="12" t="str">
        <f>TEXT(VALUE(Table1[[#This Row],[Content.Column8]])*1000,"#,##0")</f>
        <v>8,195</v>
      </c>
      <c r="S204" s="12" t="str">
        <f>TEXT(VALUE(Table1[[#This Row],[Content.Column9]])*1000,"#,##0")</f>
        <v>19,473</v>
      </c>
      <c r="T204" s="12" t="str">
        <f>TEXT(VALUE(Table1[[#This Row],[Content.Column10]])*1000,"#,##0")</f>
        <v>19,480</v>
      </c>
      <c r="U204" s="13" t="str">
        <f>TEXT(VALUE(Table1[[#This Row],[Content.Column11]])*1000,"#,##0")</f>
        <v>73,924</v>
      </c>
      <c r="V204" s="13" t="str">
        <f>TEXT(VALUE(Table1[[#This Row],[Content.Column12]])*1000,"#,##0")</f>
        <v>27,377</v>
      </c>
      <c r="W204" s="13" t="str">
        <f>TEXT(VALUE(Table1[[#This Row],[Content.Column13]])*1000,"#,##0")</f>
        <v>101,300</v>
      </c>
      <c r="X204" s="13" t="str">
        <f>TEXT(VALUE(Table1[[#This Row],[Content.Column14]])*1000,"#,##0")</f>
        <v>104,717</v>
      </c>
      <c r="Y204" s="14" t="str">
        <f>TEXT(VALUE(Table1[[#This Row],[Content.Column3]])*1000,"#,##0")</f>
        <v>85,202</v>
      </c>
      <c r="Z204" s="14" t="str">
        <f>TEXT(VALUE(Table1[[#This Row],[Content.Column4]])*1000,"#,##0")</f>
        <v>35,572</v>
      </c>
      <c r="AA204" s="14" t="str">
        <f>TEXT(VALUE(Table1[[#This Row],[Content.Column5]])*1000,"#,##0")</f>
        <v>120,774</v>
      </c>
      <c r="AB204" s="14" t="str">
        <f>TEXT(VALUE(Table1[[#This Row],[Content.Column6]])*1000,"#,##0")</f>
        <v>124,198</v>
      </c>
    </row>
    <row r="205" spans="1:28" x14ac:dyDescent="0.3">
      <c r="A205" t="s">
        <v>44</v>
      </c>
      <c r="B205" t="s">
        <v>45</v>
      </c>
      <c r="C205" s="6">
        <v>63.631999999999998</v>
      </c>
      <c r="D205" s="1">
        <v>31.718</v>
      </c>
      <c r="E205" s="1">
        <v>95.349000000000004</v>
      </c>
      <c r="F205" s="1">
        <v>98.176000000000002</v>
      </c>
      <c r="G205" s="2">
        <v>14.875999999999999</v>
      </c>
      <c r="H205" s="2">
        <v>7.891</v>
      </c>
      <c r="I205" s="2">
        <v>22.766999999999999</v>
      </c>
      <c r="J205" s="2">
        <v>23.06</v>
      </c>
      <c r="K205" s="3">
        <v>48.756</v>
      </c>
      <c r="L205" s="3">
        <v>23.827000000000002</v>
      </c>
      <c r="M205" s="3">
        <v>72.581999999999994</v>
      </c>
      <c r="N205" s="3">
        <v>75.116</v>
      </c>
      <c r="O205">
        <v>2013</v>
      </c>
      <c r="Q205" s="12" t="str">
        <f>TEXT(VALUE(Table1[[#This Row],[Content.Column7]])*1000,"#,##0")</f>
        <v>14,876</v>
      </c>
      <c r="R205" s="12" t="str">
        <f>TEXT(VALUE(Table1[[#This Row],[Content.Column8]])*1000,"#,##0")</f>
        <v>7,891</v>
      </c>
      <c r="S205" s="12" t="str">
        <f>TEXT(VALUE(Table1[[#This Row],[Content.Column9]])*1000,"#,##0")</f>
        <v>22,767</v>
      </c>
      <c r="T205" s="12" t="str">
        <f>TEXT(VALUE(Table1[[#This Row],[Content.Column10]])*1000,"#,##0")</f>
        <v>23,060</v>
      </c>
      <c r="U205" s="13" t="str">
        <f>TEXT(VALUE(Table1[[#This Row],[Content.Column11]])*1000,"#,##0")</f>
        <v>48,756</v>
      </c>
      <c r="V205" s="13" t="str">
        <f>TEXT(VALUE(Table1[[#This Row],[Content.Column12]])*1000,"#,##0")</f>
        <v>23,827</v>
      </c>
      <c r="W205" s="13" t="str">
        <f>TEXT(VALUE(Table1[[#This Row],[Content.Column13]])*1000,"#,##0")</f>
        <v>72,582</v>
      </c>
      <c r="X205" s="13" t="str">
        <f>TEXT(VALUE(Table1[[#This Row],[Content.Column14]])*1000,"#,##0")</f>
        <v>75,116</v>
      </c>
      <c r="Y205" s="14" t="str">
        <f>TEXT(VALUE(Table1[[#This Row],[Content.Column3]])*1000,"#,##0")</f>
        <v>63,632</v>
      </c>
      <c r="Z205" s="14" t="str">
        <f>TEXT(VALUE(Table1[[#This Row],[Content.Column4]])*1000,"#,##0")</f>
        <v>31,718</v>
      </c>
      <c r="AA205" s="14" t="str">
        <f>TEXT(VALUE(Table1[[#This Row],[Content.Column5]])*1000,"#,##0")</f>
        <v>95,349</v>
      </c>
      <c r="AB205" s="14" t="str">
        <f>TEXT(VALUE(Table1[[#This Row],[Content.Column6]])*1000,"#,##0")</f>
        <v>98,176</v>
      </c>
    </row>
    <row r="206" spans="1:28" x14ac:dyDescent="0.3">
      <c r="A206" t="s">
        <v>46</v>
      </c>
      <c r="B206" t="s">
        <v>47</v>
      </c>
      <c r="C206" s="6">
        <v>46.152999999999999</v>
      </c>
      <c r="D206" s="1">
        <v>26.588999999999999</v>
      </c>
      <c r="E206" s="1">
        <v>72.742000000000004</v>
      </c>
      <c r="F206" s="1">
        <v>74.503</v>
      </c>
      <c r="G206" s="2">
        <v>13.065</v>
      </c>
      <c r="H206" s="2">
        <v>7.3739999999999997</v>
      </c>
      <c r="I206" s="2">
        <v>20.439</v>
      </c>
      <c r="J206" s="2">
        <v>20.442</v>
      </c>
      <c r="K206" s="3">
        <v>33.088999999999999</v>
      </c>
      <c r="L206" s="3">
        <v>19.215</v>
      </c>
      <c r="M206" s="3">
        <v>52.302999999999997</v>
      </c>
      <c r="N206" s="3">
        <v>54.061</v>
      </c>
      <c r="O206">
        <v>2013</v>
      </c>
      <c r="Q206" s="12" t="str">
        <f>TEXT(VALUE(Table1[[#This Row],[Content.Column7]])*1000,"#,##0")</f>
        <v>13,065</v>
      </c>
      <c r="R206" s="12" t="str">
        <f>TEXT(VALUE(Table1[[#This Row],[Content.Column8]])*1000,"#,##0")</f>
        <v>7,374</v>
      </c>
      <c r="S206" s="12" t="str">
        <f>TEXT(VALUE(Table1[[#This Row],[Content.Column9]])*1000,"#,##0")</f>
        <v>20,439</v>
      </c>
      <c r="T206" s="12" t="str">
        <f>TEXT(VALUE(Table1[[#This Row],[Content.Column10]])*1000,"#,##0")</f>
        <v>20,442</v>
      </c>
      <c r="U206" s="13" t="str">
        <f>TEXT(VALUE(Table1[[#This Row],[Content.Column11]])*1000,"#,##0")</f>
        <v>33,089</v>
      </c>
      <c r="V206" s="13" t="str">
        <f>TEXT(VALUE(Table1[[#This Row],[Content.Column12]])*1000,"#,##0")</f>
        <v>19,215</v>
      </c>
      <c r="W206" s="13" t="str">
        <f>TEXT(VALUE(Table1[[#This Row],[Content.Column13]])*1000,"#,##0")</f>
        <v>52,303</v>
      </c>
      <c r="X206" s="13" t="str">
        <f>TEXT(VALUE(Table1[[#This Row],[Content.Column14]])*1000,"#,##0")</f>
        <v>54,061</v>
      </c>
      <c r="Y206" s="14" t="str">
        <f>TEXT(VALUE(Table1[[#This Row],[Content.Column3]])*1000,"#,##0")</f>
        <v>46,153</v>
      </c>
      <c r="Z206" s="14" t="str">
        <f>TEXT(VALUE(Table1[[#This Row],[Content.Column4]])*1000,"#,##0")</f>
        <v>26,589</v>
      </c>
      <c r="AA206" s="14" t="str">
        <f>TEXT(VALUE(Table1[[#This Row],[Content.Column5]])*1000,"#,##0")</f>
        <v>72,742</v>
      </c>
      <c r="AB206" s="14" t="str">
        <f>TEXT(VALUE(Table1[[#This Row],[Content.Column6]])*1000,"#,##0")</f>
        <v>74,503</v>
      </c>
    </row>
    <row r="207" spans="1:28" x14ac:dyDescent="0.3">
      <c r="A207" t="s">
        <v>48</v>
      </c>
      <c r="B207" t="s">
        <v>49</v>
      </c>
      <c r="C207" s="6">
        <v>65.69</v>
      </c>
      <c r="D207" s="1">
        <v>24.14</v>
      </c>
      <c r="E207" s="1">
        <v>89.83</v>
      </c>
      <c r="F207" s="1">
        <v>94.837000000000003</v>
      </c>
      <c r="G207" s="2">
        <v>10.808999999999999</v>
      </c>
      <c r="H207" s="2">
        <v>3.1059999999999999</v>
      </c>
      <c r="I207" s="2">
        <v>13.914999999999999</v>
      </c>
      <c r="J207" s="2">
        <v>14.737</v>
      </c>
      <c r="K207" s="3">
        <v>54.881</v>
      </c>
      <c r="L207" s="3">
        <v>21.033999999999999</v>
      </c>
      <c r="M207" s="3">
        <v>75.915000000000006</v>
      </c>
      <c r="N207" s="3">
        <v>80.099999999999994</v>
      </c>
      <c r="O207">
        <v>2013</v>
      </c>
      <c r="Q207" s="12" t="str">
        <f>TEXT(VALUE(Table1[[#This Row],[Content.Column7]])*1000,"#,##0")</f>
        <v>10,809</v>
      </c>
      <c r="R207" s="12" t="str">
        <f>TEXT(VALUE(Table1[[#This Row],[Content.Column8]])*1000,"#,##0")</f>
        <v>3,106</v>
      </c>
      <c r="S207" s="12" t="str">
        <f>TEXT(VALUE(Table1[[#This Row],[Content.Column9]])*1000,"#,##0")</f>
        <v>13,915</v>
      </c>
      <c r="T207" s="12" t="str">
        <f>TEXT(VALUE(Table1[[#This Row],[Content.Column10]])*1000,"#,##0")</f>
        <v>14,737</v>
      </c>
      <c r="U207" s="13" t="str">
        <f>TEXT(VALUE(Table1[[#This Row],[Content.Column11]])*1000,"#,##0")</f>
        <v>54,881</v>
      </c>
      <c r="V207" s="13" t="str">
        <f>TEXT(VALUE(Table1[[#This Row],[Content.Column12]])*1000,"#,##0")</f>
        <v>21,034</v>
      </c>
      <c r="W207" s="13" t="str">
        <f>TEXT(VALUE(Table1[[#This Row],[Content.Column13]])*1000,"#,##0")</f>
        <v>75,915</v>
      </c>
      <c r="X207" s="13" t="str">
        <f>TEXT(VALUE(Table1[[#This Row],[Content.Column14]])*1000,"#,##0")</f>
        <v>80,100</v>
      </c>
      <c r="Y207" s="14" t="str">
        <f>TEXT(VALUE(Table1[[#This Row],[Content.Column3]])*1000,"#,##0")</f>
        <v>65,690</v>
      </c>
      <c r="Z207" s="14" t="str">
        <f>TEXT(VALUE(Table1[[#This Row],[Content.Column4]])*1000,"#,##0")</f>
        <v>24,140</v>
      </c>
      <c r="AA207" s="14" t="str">
        <f>TEXT(VALUE(Table1[[#This Row],[Content.Column5]])*1000,"#,##0")</f>
        <v>89,830</v>
      </c>
      <c r="AB207" s="14" t="str">
        <f>TEXT(VALUE(Table1[[#This Row],[Content.Column6]])*1000,"#,##0")</f>
        <v>94,837</v>
      </c>
    </row>
    <row r="208" spans="1:28" x14ac:dyDescent="0.3">
      <c r="A208" t="s">
        <v>50</v>
      </c>
      <c r="B208" t="s">
        <v>51</v>
      </c>
      <c r="C208" s="6">
        <v>89.893000000000001</v>
      </c>
      <c r="D208" s="1">
        <v>37.277999999999999</v>
      </c>
      <c r="E208" s="1">
        <v>127.17100000000001</v>
      </c>
      <c r="F208" s="1">
        <v>130.267</v>
      </c>
      <c r="G208" s="2">
        <v>18.521000000000001</v>
      </c>
      <c r="H208" s="2">
        <v>3.29</v>
      </c>
      <c r="I208" s="2">
        <v>21.81</v>
      </c>
      <c r="J208" s="2">
        <v>21.838999999999999</v>
      </c>
      <c r="K208" s="3">
        <v>71.372</v>
      </c>
      <c r="L208" s="3">
        <v>33.988999999999997</v>
      </c>
      <c r="M208" s="3">
        <v>105.361</v>
      </c>
      <c r="N208" s="3">
        <v>108.428</v>
      </c>
      <c r="O208">
        <v>2013</v>
      </c>
      <c r="Q208" s="12" t="str">
        <f>TEXT(VALUE(Table1[[#This Row],[Content.Column7]])*1000,"#,##0")</f>
        <v>18,521</v>
      </c>
      <c r="R208" s="12" t="str">
        <f>TEXT(VALUE(Table1[[#This Row],[Content.Column8]])*1000,"#,##0")</f>
        <v>3,290</v>
      </c>
      <c r="S208" s="12" t="str">
        <f>TEXT(VALUE(Table1[[#This Row],[Content.Column9]])*1000,"#,##0")</f>
        <v>21,810</v>
      </c>
      <c r="T208" s="12" t="str">
        <f>TEXT(VALUE(Table1[[#This Row],[Content.Column10]])*1000,"#,##0")</f>
        <v>21,839</v>
      </c>
      <c r="U208" s="13" t="str">
        <f>TEXT(VALUE(Table1[[#This Row],[Content.Column11]])*1000,"#,##0")</f>
        <v>71,372</v>
      </c>
      <c r="V208" s="13" t="str">
        <f>TEXT(VALUE(Table1[[#This Row],[Content.Column12]])*1000,"#,##0")</f>
        <v>33,989</v>
      </c>
      <c r="W208" s="13" t="str">
        <f>TEXT(VALUE(Table1[[#This Row],[Content.Column13]])*1000,"#,##0")</f>
        <v>105,361</v>
      </c>
      <c r="X208" s="13" t="str">
        <f>TEXT(VALUE(Table1[[#This Row],[Content.Column14]])*1000,"#,##0")</f>
        <v>108,428</v>
      </c>
      <c r="Y208" s="14" t="str">
        <f>TEXT(VALUE(Table1[[#This Row],[Content.Column3]])*1000,"#,##0")</f>
        <v>89,893</v>
      </c>
      <c r="Z208" s="14" t="str">
        <f>TEXT(VALUE(Table1[[#This Row],[Content.Column4]])*1000,"#,##0")</f>
        <v>37,278</v>
      </c>
      <c r="AA208" s="14" t="str">
        <f>TEXT(VALUE(Table1[[#This Row],[Content.Column5]])*1000,"#,##0")</f>
        <v>127,171</v>
      </c>
      <c r="AB208" s="14" t="str">
        <f>TEXT(VALUE(Table1[[#This Row],[Content.Column6]])*1000,"#,##0")</f>
        <v>130,267</v>
      </c>
    </row>
    <row r="209" spans="1:28" x14ac:dyDescent="0.3">
      <c r="A209" t="s">
        <v>52</v>
      </c>
      <c r="B209" t="s">
        <v>53</v>
      </c>
      <c r="C209" s="6">
        <v>40.631999999999998</v>
      </c>
      <c r="D209" s="1">
        <v>21.956</v>
      </c>
      <c r="E209" s="1">
        <v>62.588000000000001</v>
      </c>
      <c r="F209" s="1">
        <v>64.966999999999999</v>
      </c>
      <c r="G209" s="2">
        <v>8.5399999999999991</v>
      </c>
      <c r="H209" s="2">
        <v>2.847</v>
      </c>
      <c r="I209" s="2">
        <v>11.387</v>
      </c>
      <c r="J209" s="2">
        <v>11.39</v>
      </c>
      <c r="K209" s="3">
        <v>32.091999999999999</v>
      </c>
      <c r="L209" s="3">
        <v>19.109000000000002</v>
      </c>
      <c r="M209" s="3">
        <v>51.201000000000001</v>
      </c>
      <c r="N209" s="3">
        <v>53.576000000000001</v>
      </c>
      <c r="O209">
        <v>2013</v>
      </c>
      <c r="Q209" s="12" t="str">
        <f>TEXT(VALUE(Table1[[#This Row],[Content.Column7]])*1000,"#,##0")</f>
        <v>8,540</v>
      </c>
      <c r="R209" s="12" t="str">
        <f>TEXT(VALUE(Table1[[#This Row],[Content.Column8]])*1000,"#,##0")</f>
        <v>2,847</v>
      </c>
      <c r="S209" s="12" t="str">
        <f>TEXT(VALUE(Table1[[#This Row],[Content.Column9]])*1000,"#,##0")</f>
        <v>11,387</v>
      </c>
      <c r="T209" s="12" t="str">
        <f>TEXT(VALUE(Table1[[#This Row],[Content.Column10]])*1000,"#,##0")</f>
        <v>11,390</v>
      </c>
      <c r="U209" s="13" t="str">
        <f>TEXT(VALUE(Table1[[#This Row],[Content.Column11]])*1000,"#,##0")</f>
        <v>32,092</v>
      </c>
      <c r="V209" s="13" t="str">
        <f>TEXT(VALUE(Table1[[#This Row],[Content.Column12]])*1000,"#,##0")</f>
        <v>19,109</v>
      </c>
      <c r="W209" s="13" t="str">
        <f>TEXT(VALUE(Table1[[#This Row],[Content.Column13]])*1000,"#,##0")</f>
        <v>51,201</v>
      </c>
      <c r="X209" s="13" t="str">
        <f>TEXT(VALUE(Table1[[#This Row],[Content.Column14]])*1000,"#,##0")</f>
        <v>53,576</v>
      </c>
      <c r="Y209" s="14" t="str">
        <f>TEXT(VALUE(Table1[[#This Row],[Content.Column3]])*1000,"#,##0")</f>
        <v>40,632</v>
      </c>
      <c r="Z209" s="14" t="str">
        <f>TEXT(VALUE(Table1[[#This Row],[Content.Column4]])*1000,"#,##0")</f>
        <v>21,956</v>
      </c>
      <c r="AA209" s="14" t="str">
        <f>TEXT(VALUE(Table1[[#This Row],[Content.Column5]])*1000,"#,##0")</f>
        <v>62,588</v>
      </c>
      <c r="AB209" s="14" t="str">
        <f>TEXT(VALUE(Table1[[#This Row],[Content.Column6]])*1000,"#,##0")</f>
        <v>64,967</v>
      </c>
    </row>
    <row r="210" spans="1:28" x14ac:dyDescent="0.3">
      <c r="A210" t="s">
        <v>54</v>
      </c>
      <c r="B210" t="s">
        <v>55</v>
      </c>
      <c r="C210" s="6">
        <v>45.46</v>
      </c>
      <c r="D210" s="1">
        <v>23.161000000000001</v>
      </c>
      <c r="E210" s="1">
        <v>68.62</v>
      </c>
      <c r="F210" s="1">
        <v>71.215000000000003</v>
      </c>
      <c r="G210" s="2">
        <v>6.2649999999999997</v>
      </c>
      <c r="H210" s="2">
        <v>4.8289999999999997</v>
      </c>
      <c r="I210" s="2">
        <v>11.093999999999999</v>
      </c>
      <c r="J210" s="2">
        <v>11.099</v>
      </c>
      <c r="K210" s="3">
        <v>39.195</v>
      </c>
      <c r="L210" s="3">
        <v>18.332000000000001</v>
      </c>
      <c r="M210" s="3">
        <v>57.526000000000003</v>
      </c>
      <c r="N210" s="3">
        <v>60.116</v>
      </c>
      <c r="O210">
        <v>2013</v>
      </c>
      <c r="Q210" s="12" t="str">
        <f>TEXT(VALUE(Table1[[#This Row],[Content.Column7]])*1000,"#,##0")</f>
        <v>6,265</v>
      </c>
      <c r="R210" s="12" t="str">
        <f>TEXT(VALUE(Table1[[#This Row],[Content.Column8]])*1000,"#,##0")</f>
        <v>4,829</v>
      </c>
      <c r="S210" s="12" t="str">
        <f>TEXT(VALUE(Table1[[#This Row],[Content.Column9]])*1000,"#,##0")</f>
        <v>11,094</v>
      </c>
      <c r="T210" s="12" t="str">
        <f>TEXT(VALUE(Table1[[#This Row],[Content.Column10]])*1000,"#,##0")</f>
        <v>11,099</v>
      </c>
      <c r="U210" s="13" t="str">
        <f>TEXT(VALUE(Table1[[#This Row],[Content.Column11]])*1000,"#,##0")</f>
        <v>39,195</v>
      </c>
      <c r="V210" s="13" t="str">
        <f>TEXT(VALUE(Table1[[#This Row],[Content.Column12]])*1000,"#,##0")</f>
        <v>18,332</v>
      </c>
      <c r="W210" s="13" t="str">
        <f>TEXT(VALUE(Table1[[#This Row],[Content.Column13]])*1000,"#,##0")</f>
        <v>57,526</v>
      </c>
      <c r="X210" s="13" t="str">
        <f>TEXT(VALUE(Table1[[#This Row],[Content.Column14]])*1000,"#,##0")</f>
        <v>60,116</v>
      </c>
      <c r="Y210" s="14" t="str">
        <f>TEXT(VALUE(Table1[[#This Row],[Content.Column3]])*1000,"#,##0")</f>
        <v>45,460</v>
      </c>
      <c r="Z210" s="14" t="str">
        <f>TEXT(VALUE(Table1[[#This Row],[Content.Column4]])*1000,"#,##0")</f>
        <v>23,161</v>
      </c>
      <c r="AA210" s="14" t="str">
        <f>TEXT(VALUE(Table1[[#This Row],[Content.Column5]])*1000,"#,##0")</f>
        <v>68,620</v>
      </c>
      <c r="AB210" s="14" t="str">
        <f>TEXT(VALUE(Table1[[#This Row],[Content.Column6]])*1000,"#,##0")</f>
        <v>71,215</v>
      </c>
    </row>
    <row r="211" spans="1:28" x14ac:dyDescent="0.3">
      <c r="A211" t="s">
        <v>56</v>
      </c>
      <c r="B211" t="s">
        <v>57</v>
      </c>
      <c r="C211" s="6">
        <v>49.377000000000002</v>
      </c>
      <c r="D211" s="1">
        <v>25.189</v>
      </c>
      <c r="E211" s="1">
        <v>74.566000000000003</v>
      </c>
      <c r="F211" s="1">
        <v>77.022999999999996</v>
      </c>
      <c r="G211" s="2">
        <v>10.851000000000001</v>
      </c>
      <c r="H211" s="2">
        <v>6.0019999999999998</v>
      </c>
      <c r="I211" s="2">
        <v>16.852</v>
      </c>
      <c r="J211" s="2">
        <v>16.855</v>
      </c>
      <c r="K211" s="3">
        <v>38.527000000000001</v>
      </c>
      <c r="L211" s="3">
        <v>19.187000000000001</v>
      </c>
      <c r="M211" s="3">
        <v>57.713000000000001</v>
      </c>
      <c r="N211" s="3">
        <v>60.168999999999997</v>
      </c>
      <c r="O211">
        <v>2013</v>
      </c>
      <c r="Q211" s="12" t="str">
        <f>TEXT(VALUE(Table1[[#This Row],[Content.Column7]])*1000,"#,##0")</f>
        <v>10,851</v>
      </c>
      <c r="R211" s="12" t="str">
        <f>TEXT(VALUE(Table1[[#This Row],[Content.Column8]])*1000,"#,##0")</f>
        <v>6,002</v>
      </c>
      <c r="S211" s="12" t="str">
        <f>TEXT(VALUE(Table1[[#This Row],[Content.Column9]])*1000,"#,##0")</f>
        <v>16,852</v>
      </c>
      <c r="T211" s="12" t="str">
        <f>TEXT(VALUE(Table1[[#This Row],[Content.Column10]])*1000,"#,##0")</f>
        <v>16,855</v>
      </c>
      <c r="U211" s="13" t="str">
        <f>TEXT(VALUE(Table1[[#This Row],[Content.Column11]])*1000,"#,##0")</f>
        <v>38,527</v>
      </c>
      <c r="V211" s="13" t="str">
        <f>TEXT(VALUE(Table1[[#This Row],[Content.Column12]])*1000,"#,##0")</f>
        <v>19,187</v>
      </c>
      <c r="W211" s="13" t="str">
        <f>TEXT(VALUE(Table1[[#This Row],[Content.Column13]])*1000,"#,##0")</f>
        <v>57,713</v>
      </c>
      <c r="X211" s="13" t="str">
        <f>TEXT(VALUE(Table1[[#This Row],[Content.Column14]])*1000,"#,##0")</f>
        <v>60,169</v>
      </c>
      <c r="Y211" s="14" t="str">
        <f>TEXT(VALUE(Table1[[#This Row],[Content.Column3]])*1000,"#,##0")</f>
        <v>49,377</v>
      </c>
      <c r="Z211" s="14" t="str">
        <f>TEXT(VALUE(Table1[[#This Row],[Content.Column4]])*1000,"#,##0")</f>
        <v>25,189</v>
      </c>
      <c r="AA211" s="14" t="str">
        <f>TEXT(VALUE(Table1[[#This Row],[Content.Column5]])*1000,"#,##0")</f>
        <v>74,566</v>
      </c>
      <c r="AB211" s="14" t="str">
        <f>TEXT(VALUE(Table1[[#This Row],[Content.Column6]])*1000,"#,##0")</f>
        <v>77,023</v>
      </c>
    </row>
    <row r="212" spans="1:28" x14ac:dyDescent="0.3">
      <c r="A212" t="s">
        <v>58</v>
      </c>
      <c r="B212" t="s">
        <v>59</v>
      </c>
      <c r="C212" s="6">
        <v>144.86699999999999</v>
      </c>
      <c r="D212" s="1">
        <v>52.496000000000002</v>
      </c>
      <c r="E212" s="1">
        <v>197.36199999999999</v>
      </c>
      <c r="F212" s="1">
        <v>200.023</v>
      </c>
      <c r="G212" s="2">
        <v>15.507</v>
      </c>
      <c r="H212" s="2">
        <v>7.47</v>
      </c>
      <c r="I212" s="2">
        <v>22.977</v>
      </c>
      <c r="J212" s="2">
        <v>22.992000000000001</v>
      </c>
      <c r="K212" s="3">
        <v>129.35900000000001</v>
      </c>
      <c r="L212" s="3">
        <v>45.026000000000003</v>
      </c>
      <c r="M212" s="3">
        <v>174.38499999999999</v>
      </c>
      <c r="N212" s="3">
        <v>177.03100000000001</v>
      </c>
      <c r="O212">
        <v>2013</v>
      </c>
      <c r="Q212" s="12" t="str">
        <f>TEXT(VALUE(Table1[[#This Row],[Content.Column7]])*1000,"#,##0")</f>
        <v>15,507</v>
      </c>
      <c r="R212" s="12" t="str">
        <f>TEXT(VALUE(Table1[[#This Row],[Content.Column8]])*1000,"#,##0")</f>
        <v>7,470</v>
      </c>
      <c r="S212" s="12" t="str">
        <f>TEXT(VALUE(Table1[[#This Row],[Content.Column9]])*1000,"#,##0")</f>
        <v>22,977</v>
      </c>
      <c r="T212" s="12" t="str">
        <f>TEXT(VALUE(Table1[[#This Row],[Content.Column10]])*1000,"#,##0")</f>
        <v>22,992</v>
      </c>
      <c r="U212" s="13" t="str">
        <f>TEXT(VALUE(Table1[[#This Row],[Content.Column11]])*1000,"#,##0")</f>
        <v>129,359</v>
      </c>
      <c r="V212" s="13" t="str">
        <f>TEXT(VALUE(Table1[[#This Row],[Content.Column12]])*1000,"#,##0")</f>
        <v>45,026</v>
      </c>
      <c r="W212" s="13" t="str">
        <f>TEXT(VALUE(Table1[[#This Row],[Content.Column13]])*1000,"#,##0")</f>
        <v>174,385</v>
      </c>
      <c r="X212" s="13" t="str">
        <f>TEXT(VALUE(Table1[[#This Row],[Content.Column14]])*1000,"#,##0")</f>
        <v>177,031</v>
      </c>
      <c r="Y212" s="14" t="str">
        <f>TEXT(VALUE(Table1[[#This Row],[Content.Column3]])*1000,"#,##0")</f>
        <v>144,867</v>
      </c>
      <c r="Z212" s="14" t="str">
        <f>TEXT(VALUE(Table1[[#This Row],[Content.Column4]])*1000,"#,##0")</f>
        <v>52,496</v>
      </c>
      <c r="AA212" s="14" t="str">
        <f>TEXT(VALUE(Table1[[#This Row],[Content.Column5]])*1000,"#,##0")</f>
        <v>197,362</v>
      </c>
      <c r="AB212" s="14" t="str">
        <f>TEXT(VALUE(Table1[[#This Row],[Content.Column6]])*1000,"#,##0")</f>
        <v>200,023</v>
      </c>
    </row>
    <row r="213" spans="1:28" x14ac:dyDescent="0.3">
      <c r="A213" t="s">
        <v>60</v>
      </c>
      <c r="B213" t="s">
        <v>61</v>
      </c>
      <c r="C213" s="6">
        <v>107.34099999999999</v>
      </c>
      <c r="D213" s="1">
        <v>33.74</v>
      </c>
      <c r="E213" s="1">
        <v>141.08099999999999</v>
      </c>
      <c r="F213" s="1">
        <v>143.304</v>
      </c>
      <c r="G213" s="2">
        <v>11.978999999999999</v>
      </c>
      <c r="H213" s="2">
        <v>5.2359999999999998</v>
      </c>
      <c r="I213" s="2">
        <v>17.215</v>
      </c>
      <c r="J213" s="2">
        <v>17.219000000000001</v>
      </c>
      <c r="K213" s="3">
        <v>95.361999999999995</v>
      </c>
      <c r="L213" s="3">
        <v>28.504000000000001</v>
      </c>
      <c r="M213" s="3">
        <v>123.867</v>
      </c>
      <c r="N213" s="3">
        <v>126.084</v>
      </c>
      <c r="O213">
        <v>2013</v>
      </c>
      <c r="Q213" s="12" t="str">
        <f>TEXT(VALUE(Table1[[#This Row],[Content.Column7]])*1000,"#,##0")</f>
        <v>11,979</v>
      </c>
      <c r="R213" s="12" t="str">
        <f>TEXT(VALUE(Table1[[#This Row],[Content.Column8]])*1000,"#,##0")</f>
        <v>5,236</v>
      </c>
      <c r="S213" s="12" t="str">
        <f>TEXT(VALUE(Table1[[#This Row],[Content.Column9]])*1000,"#,##0")</f>
        <v>17,215</v>
      </c>
      <c r="T213" s="12" t="str">
        <f>TEXT(VALUE(Table1[[#This Row],[Content.Column10]])*1000,"#,##0")</f>
        <v>17,219</v>
      </c>
      <c r="U213" s="13" t="str">
        <f>TEXT(VALUE(Table1[[#This Row],[Content.Column11]])*1000,"#,##0")</f>
        <v>95,362</v>
      </c>
      <c r="V213" s="13" t="str">
        <f>TEXT(VALUE(Table1[[#This Row],[Content.Column12]])*1000,"#,##0")</f>
        <v>28,504</v>
      </c>
      <c r="W213" s="13" t="str">
        <f>TEXT(VALUE(Table1[[#This Row],[Content.Column13]])*1000,"#,##0")</f>
        <v>123,867</v>
      </c>
      <c r="X213" s="13" t="str">
        <f>TEXT(VALUE(Table1[[#This Row],[Content.Column14]])*1000,"#,##0")</f>
        <v>126,084</v>
      </c>
      <c r="Y213" s="14" t="str">
        <f>TEXT(VALUE(Table1[[#This Row],[Content.Column3]])*1000,"#,##0")</f>
        <v>107,341</v>
      </c>
      <c r="Z213" s="14" t="str">
        <f>TEXT(VALUE(Table1[[#This Row],[Content.Column4]])*1000,"#,##0")</f>
        <v>33,740</v>
      </c>
      <c r="AA213" s="14" t="str">
        <f>TEXT(VALUE(Table1[[#This Row],[Content.Column5]])*1000,"#,##0")</f>
        <v>141,081</v>
      </c>
      <c r="AB213" s="14" t="str">
        <f>TEXT(VALUE(Table1[[#This Row],[Content.Column6]])*1000,"#,##0")</f>
        <v>143,304</v>
      </c>
    </row>
    <row r="214" spans="1:28" x14ac:dyDescent="0.3">
      <c r="A214" t="s">
        <v>62</v>
      </c>
      <c r="B214" t="s">
        <v>63</v>
      </c>
      <c r="C214" s="6">
        <v>151.93600000000001</v>
      </c>
      <c r="D214" s="1">
        <v>49.698999999999998</v>
      </c>
      <c r="E214" s="1">
        <v>201.63499999999999</v>
      </c>
      <c r="F214" s="1">
        <v>207.9</v>
      </c>
      <c r="G214" s="2">
        <v>25.751000000000001</v>
      </c>
      <c r="H214" s="2">
        <v>8.298</v>
      </c>
      <c r="I214" s="2">
        <v>34.048999999999999</v>
      </c>
      <c r="J214" s="2">
        <v>34.08</v>
      </c>
      <c r="K214" s="3">
        <v>126.184</v>
      </c>
      <c r="L214" s="3">
        <v>41.402000000000001</v>
      </c>
      <c r="M214" s="3">
        <v>167.58600000000001</v>
      </c>
      <c r="N214" s="3">
        <v>173.81899999999999</v>
      </c>
      <c r="O214">
        <v>2013</v>
      </c>
      <c r="Q214" s="12" t="str">
        <f>TEXT(VALUE(Table1[[#This Row],[Content.Column7]])*1000,"#,##0")</f>
        <v>25,751</v>
      </c>
      <c r="R214" s="12" t="str">
        <f>TEXT(VALUE(Table1[[#This Row],[Content.Column8]])*1000,"#,##0")</f>
        <v>8,298</v>
      </c>
      <c r="S214" s="12" t="str">
        <f>TEXT(VALUE(Table1[[#This Row],[Content.Column9]])*1000,"#,##0")</f>
        <v>34,049</v>
      </c>
      <c r="T214" s="12" t="str">
        <f>TEXT(VALUE(Table1[[#This Row],[Content.Column10]])*1000,"#,##0")</f>
        <v>34,080</v>
      </c>
      <c r="U214" s="13" t="str">
        <f>TEXT(VALUE(Table1[[#This Row],[Content.Column11]])*1000,"#,##0")</f>
        <v>126,184</v>
      </c>
      <c r="V214" s="13" t="str">
        <f>TEXT(VALUE(Table1[[#This Row],[Content.Column12]])*1000,"#,##0")</f>
        <v>41,402</v>
      </c>
      <c r="W214" s="13" t="str">
        <f>TEXT(VALUE(Table1[[#This Row],[Content.Column13]])*1000,"#,##0")</f>
        <v>167,586</v>
      </c>
      <c r="X214" s="13" t="str">
        <f>TEXT(VALUE(Table1[[#This Row],[Content.Column14]])*1000,"#,##0")</f>
        <v>173,819</v>
      </c>
      <c r="Y214" s="14" t="str">
        <f>TEXT(VALUE(Table1[[#This Row],[Content.Column3]])*1000,"#,##0")</f>
        <v>151,936</v>
      </c>
      <c r="Z214" s="14" t="str">
        <f>TEXT(VALUE(Table1[[#This Row],[Content.Column4]])*1000,"#,##0")</f>
        <v>49,699</v>
      </c>
      <c r="AA214" s="14" t="str">
        <f>TEXT(VALUE(Table1[[#This Row],[Content.Column5]])*1000,"#,##0")</f>
        <v>201,635</v>
      </c>
      <c r="AB214" s="14" t="str">
        <f>TEXT(VALUE(Table1[[#This Row],[Content.Column6]])*1000,"#,##0")</f>
        <v>207,900</v>
      </c>
    </row>
    <row r="215" spans="1:28" x14ac:dyDescent="0.3">
      <c r="A215" t="s">
        <v>64</v>
      </c>
      <c r="B215" t="s">
        <v>65</v>
      </c>
      <c r="C215" s="6">
        <v>87.602999999999994</v>
      </c>
      <c r="D215" s="1">
        <v>33.19</v>
      </c>
      <c r="E215" s="1">
        <v>120.79300000000001</v>
      </c>
      <c r="F215" s="1">
        <v>125.102</v>
      </c>
      <c r="G215" s="2">
        <v>15.092000000000001</v>
      </c>
      <c r="H215" s="2">
        <v>3.4430000000000001</v>
      </c>
      <c r="I215" s="2">
        <v>18.533999999999999</v>
      </c>
      <c r="J215" s="2">
        <v>18.542999999999999</v>
      </c>
      <c r="K215" s="3">
        <v>72.510999999999996</v>
      </c>
      <c r="L215" s="3">
        <v>29.747</v>
      </c>
      <c r="M215" s="3">
        <v>102.258</v>
      </c>
      <c r="N215" s="3">
        <v>106.559</v>
      </c>
      <c r="O215">
        <v>2013</v>
      </c>
      <c r="Q215" s="12" t="str">
        <f>TEXT(VALUE(Table1[[#This Row],[Content.Column7]])*1000,"#,##0")</f>
        <v>15,092</v>
      </c>
      <c r="R215" s="12" t="str">
        <f>TEXT(VALUE(Table1[[#This Row],[Content.Column8]])*1000,"#,##0")</f>
        <v>3,443</v>
      </c>
      <c r="S215" s="12" t="str">
        <f>TEXT(VALUE(Table1[[#This Row],[Content.Column9]])*1000,"#,##0")</f>
        <v>18,534</v>
      </c>
      <c r="T215" s="12" t="str">
        <f>TEXT(VALUE(Table1[[#This Row],[Content.Column10]])*1000,"#,##0")</f>
        <v>18,543</v>
      </c>
      <c r="U215" s="13" t="str">
        <f>TEXT(VALUE(Table1[[#This Row],[Content.Column11]])*1000,"#,##0")</f>
        <v>72,511</v>
      </c>
      <c r="V215" s="13" t="str">
        <f>TEXT(VALUE(Table1[[#This Row],[Content.Column12]])*1000,"#,##0")</f>
        <v>29,747</v>
      </c>
      <c r="W215" s="13" t="str">
        <f>TEXT(VALUE(Table1[[#This Row],[Content.Column13]])*1000,"#,##0")</f>
        <v>102,258</v>
      </c>
      <c r="X215" s="13" t="str">
        <f>TEXT(VALUE(Table1[[#This Row],[Content.Column14]])*1000,"#,##0")</f>
        <v>106,559</v>
      </c>
      <c r="Y215" s="14" t="str">
        <f>TEXT(VALUE(Table1[[#This Row],[Content.Column3]])*1000,"#,##0")</f>
        <v>87,603</v>
      </c>
      <c r="Z215" s="14" t="str">
        <f>TEXT(VALUE(Table1[[#This Row],[Content.Column4]])*1000,"#,##0")</f>
        <v>33,190</v>
      </c>
      <c r="AA215" s="14" t="str">
        <f>TEXT(VALUE(Table1[[#This Row],[Content.Column5]])*1000,"#,##0")</f>
        <v>120,793</v>
      </c>
      <c r="AB215" s="14" t="str">
        <f>TEXT(VALUE(Table1[[#This Row],[Content.Column6]])*1000,"#,##0")</f>
        <v>125,102</v>
      </c>
    </row>
    <row r="216" spans="1:28" x14ac:dyDescent="0.3">
      <c r="A216" t="s">
        <v>66</v>
      </c>
      <c r="B216" t="s">
        <v>67</v>
      </c>
      <c r="C216" s="6">
        <v>44.893999999999998</v>
      </c>
      <c r="D216" s="1">
        <v>27.173999999999999</v>
      </c>
      <c r="E216" s="1">
        <v>72.067999999999998</v>
      </c>
      <c r="F216" s="1">
        <v>73.793999999999997</v>
      </c>
      <c r="G216" s="2">
        <v>7.4489999999999998</v>
      </c>
      <c r="H216" s="2">
        <v>5.7939999999999996</v>
      </c>
      <c r="I216" s="2">
        <v>13.243</v>
      </c>
      <c r="J216" s="2">
        <v>13.246</v>
      </c>
      <c r="K216" s="3">
        <v>37.445</v>
      </c>
      <c r="L216" s="3">
        <v>21.38</v>
      </c>
      <c r="M216" s="3">
        <v>58.825000000000003</v>
      </c>
      <c r="N216" s="3">
        <v>60.548000000000002</v>
      </c>
      <c r="O216">
        <v>2013</v>
      </c>
      <c r="Q216" s="12" t="str">
        <f>TEXT(VALUE(Table1[[#This Row],[Content.Column7]])*1000,"#,##0")</f>
        <v>7,449</v>
      </c>
      <c r="R216" s="12" t="str">
        <f>TEXT(VALUE(Table1[[#This Row],[Content.Column8]])*1000,"#,##0")</f>
        <v>5,794</v>
      </c>
      <c r="S216" s="12" t="str">
        <f>TEXT(VALUE(Table1[[#This Row],[Content.Column9]])*1000,"#,##0")</f>
        <v>13,243</v>
      </c>
      <c r="T216" s="12" t="str">
        <f>TEXT(VALUE(Table1[[#This Row],[Content.Column10]])*1000,"#,##0")</f>
        <v>13,246</v>
      </c>
      <c r="U216" s="13" t="str">
        <f>TEXT(VALUE(Table1[[#This Row],[Content.Column11]])*1000,"#,##0")</f>
        <v>37,445</v>
      </c>
      <c r="V216" s="13" t="str">
        <f>TEXT(VALUE(Table1[[#This Row],[Content.Column12]])*1000,"#,##0")</f>
        <v>21,380</v>
      </c>
      <c r="W216" s="13" t="str">
        <f>TEXT(VALUE(Table1[[#This Row],[Content.Column13]])*1000,"#,##0")</f>
        <v>58,825</v>
      </c>
      <c r="X216" s="13" t="str">
        <f>TEXT(VALUE(Table1[[#This Row],[Content.Column14]])*1000,"#,##0")</f>
        <v>60,548</v>
      </c>
      <c r="Y216" s="14" t="str">
        <f>TEXT(VALUE(Table1[[#This Row],[Content.Column3]])*1000,"#,##0")</f>
        <v>44,894</v>
      </c>
      <c r="Z216" s="14" t="str">
        <f>TEXT(VALUE(Table1[[#This Row],[Content.Column4]])*1000,"#,##0")</f>
        <v>27,174</v>
      </c>
      <c r="AA216" s="14" t="str">
        <f>TEXT(VALUE(Table1[[#This Row],[Content.Column5]])*1000,"#,##0")</f>
        <v>72,068</v>
      </c>
      <c r="AB216" s="14" t="str">
        <f>TEXT(VALUE(Table1[[#This Row],[Content.Column6]])*1000,"#,##0")</f>
        <v>73,794</v>
      </c>
    </row>
    <row r="217" spans="1:28" x14ac:dyDescent="0.3">
      <c r="A217" t="s">
        <v>68</v>
      </c>
      <c r="B217" t="s">
        <v>69</v>
      </c>
      <c r="C217" s="6">
        <v>99.122</v>
      </c>
      <c r="D217" s="1">
        <v>40.604999999999997</v>
      </c>
      <c r="E217" s="1">
        <v>139.727</v>
      </c>
      <c r="F217" s="1">
        <v>142.98099999999999</v>
      </c>
      <c r="G217" s="2">
        <v>25.37</v>
      </c>
      <c r="H217" s="2">
        <v>7.4880000000000004</v>
      </c>
      <c r="I217" s="2">
        <v>32.857999999999997</v>
      </c>
      <c r="J217" s="2">
        <v>32.988999999999997</v>
      </c>
      <c r="K217" s="3">
        <v>73.751999999999995</v>
      </c>
      <c r="L217" s="3">
        <v>33.116999999999997</v>
      </c>
      <c r="M217" s="3">
        <v>106.869</v>
      </c>
      <c r="N217" s="3">
        <v>109.992</v>
      </c>
      <c r="O217">
        <v>2013</v>
      </c>
      <c r="Q217" s="12" t="str">
        <f>TEXT(VALUE(Table1[[#This Row],[Content.Column7]])*1000,"#,##0")</f>
        <v>25,370</v>
      </c>
      <c r="R217" s="12" t="str">
        <f>TEXT(VALUE(Table1[[#This Row],[Content.Column8]])*1000,"#,##0")</f>
        <v>7,488</v>
      </c>
      <c r="S217" s="12" t="str">
        <f>TEXT(VALUE(Table1[[#This Row],[Content.Column9]])*1000,"#,##0")</f>
        <v>32,858</v>
      </c>
      <c r="T217" s="12" t="str">
        <f>TEXT(VALUE(Table1[[#This Row],[Content.Column10]])*1000,"#,##0")</f>
        <v>32,989</v>
      </c>
      <c r="U217" s="13" t="str">
        <f>TEXT(VALUE(Table1[[#This Row],[Content.Column11]])*1000,"#,##0")</f>
        <v>73,752</v>
      </c>
      <c r="V217" s="13" t="str">
        <f>TEXT(VALUE(Table1[[#This Row],[Content.Column12]])*1000,"#,##0")</f>
        <v>33,117</v>
      </c>
      <c r="W217" s="13" t="str">
        <f>TEXT(VALUE(Table1[[#This Row],[Content.Column13]])*1000,"#,##0")</f>
        <v>106,869</v>
      </c>
      <c r="X217" s="13" t="str">
        <f>TEXT(VALUE(Table1[[#This Row],[Content.Column14]])*1000,"#,##0")</f>
        <v>109,992</v>
      </c>
      <c r="Y217" s="14" t="str">
        <f>TEXT(VALUE(Table1[[#This Row],[Content.Column3]])*1000,"#,##0")</f>
        <v>99,122</v>
      </c>
      <c r="Z217" s="14" t="str">
        <f>TEXT(VALUE(Table1[[#This Row],[Content.Column4]])*1000,"#,##0")</f>
        <v>40,605</v>
      </c>
      <c r="AA217" s="14" t="str">
        <f>TEXT(VALUE(Table1[[#This Row],[Content.Column5]])*1000,"#,##0")</f>
        <v>139,727</v>
      </c>
      <c r="AB217" s="14" t="str">
        <f>TEXT(VALUE(Table1[[#This Row],[Content.Column6]])*1000,"#,##0")</f>
        <v>142,981</v>
      </c>
    </row>
    <row r="218" spans="1:28" x14ac:dyDescent="0.3">
      <c r="A218" t="s">
        <v>70</v>
      </c>
      <c r="B218" t="s">
        <v>71</v>
      </c>
      <c r="C218" s="6">
        <v>39.101999999999997</v>
      </c>
      <c r="D218" s="1">
        <v>23.844999999999999</v>
      </c>
      <c r="E218" s="1">
        <v>62.947000000000003</v>
      </c>
      <c r="F218" s="1">
        <v>65.111999999999995</v>
      </c>
      <c r="G218" s="2">
        <v>9.1189999999999998</v>
      </c>
      <c r="H218" s="2">
        <v>6.694</v>
      </c>
      <c r="I218" s="2">
        <v>15.814</v>
      </c>
      <c r="J218" s="2">
        <v>16.213000000000001</v>
      </c>
      <c r="K218" s="3">
        <v>29.983000000000001</v>
      </c>
      <c r="L218" s="3">
        <v>17.151</v>
      </c>
      <c r="M218" s="3">
        <v>47.134</v>
      </c>
      <c r="N218" s="3">
        <v>48.899000000000001</v>
      </c>
      <c r="O218">
        <v>2013</v>
      </c>
      <c r="Q218" s="12" t="str">
        <f>TEXT(VALUE(Table1[[#This Row],[Content.Column7]])*1000,"#,##0")</f>
        <v>9,119</v>
      </c>
      <c r="R218" s="12" t="str">
        <f>TEXT(VALUE(Table1[[#This Row],[Content.Column8]])*1000,"#,##0")</f>
        <v>6,694</v>
      </c>
      <c r="S218" s="12" t="str">
        <f>TEXT(VALUE(Table1[[#This Row],[Content.Column9]])*1000,"#,##0")</f>
        <v>15,814</v>
      </c>
      <c r="T218" s="12" t="str">
        <f>TEXT(VALUE(Table1[[#This Row],[Content.Column10]])*1000,"#,##0")</f>
        <v>16,213</v>
      </c>
      <c r="U218" s="13" t="str">
        <f>TEXT(VALUE(Table1[[#This Row],[Content.Column11]])*1000,"#,##0")</f>
        <v>29,983</v>
      </c>
      <c r="V218" s="13" t="str">
        <f>TEXT(VALUE(Table1[[#This Row],[Content.Column12]])*1000,"#,##0")</f>
        <v>17,151</v>
      </c>
      <c r="W218" s="13" t="str">
        <f>TEXT(VALUE(Table1[[#This Row],[Content.Column13]])*1000,"#,##0")</f>
        <v>47,134</v>
      </c>
      <c r="X218" s="13" t="str">
        <f>TEXT(VALUE(Table1[[#This Row],[Content.Column14]])*1000,"#,##0")</f>
        <v>48,899</v>
      </c>
      <c r="Y218" s="14" t="str">
        <f>TEXT(VALUE(Table1[[#This Row],[Content.Column3]])*1000,"#,##0")</f>
        <v>39,102</v>
      </c>
      <c r="Z218" s="14" t="str">
        <f>TEXT(VALUE(Table1[[#This Row],[Content.Column4]])*1000,"#,##0")</f>
        <v>23,845</v>
      </c>
      <c r="AA218" s="14" t="str">
        <f>TEXT(VALUE(Table1[[#This Row],[Content.Column5]])*1000,"#,##0")</f>
        <v>62,947</v>
      </c>
      <c r="AB218" s="14" t="str">
        <f>TEXT(VALUE(Table1[[#This Row],[Content.Column6]])*1000,"#,##0")</f>
        <v>65,112</v>
      </c>
    </row>
    <row r="219" spans="1:28" x14ac:dyDescent="0.3">
      <c r="A219" t="s">
        <v>72</v>
      </c>
      <c r="B219" t="s">
        <v>73</v>
      </c>
      <c r="C219" s="6">
        <v>54.070999999999998</v>
      </c>
      <c r="D219" s="1">
        <v>24.978000000000002</v>
      </c>
      <c r="E219" s="1">
        <v>79.049000000000007</v>
      </c>
      <c r="F219" s="1">
        <v>81.063999999999993</v>
      </c>
      <c r="G219" s="2">
        <v>6.92</v>
      </c>
      <c r="H219" s="2">
        <v>3.976</v>
      </c>
      <c r="I219" s="2">
        <v>10.896000000000001</v>
      </c>
      <c r="J219" s="2">
        <v>10.914999999999999</v>
      </c>
      <c r="K219" s="3">
        <v>47.151000000000003</v>
      </c>
      <c r="L219" s="3">
        <v>21.001999999999999</v>
      </c>
      <c r="M219" s="3">
        <v>68.153000000000006</v>
      </c>
      <c r="N219" s="3">
        <v>70.149000000000001</v>
      </c>
      <c r="O219">
        <v>2013</v>
      </c>
      <c r="Q219" s="12" t="str">
        <f>TEXT(VALUE(Table1[[#This Row],[Content.Column7]])*1000,"#,##0")</f>
        <v>6,920</v>
      </c>
      <c r="R219" s="12" t="str">
        <f>TEXT(VALUE(Table1[[#This Row],[Content.Column8]])*1000,"#,##0")</f>
        <v>3,976</v>
      </c>
      <c r="S219" s="12" t="str">
        <f>TEXT(VALUE(Table1[[#This Row],[Content.Column9]])*1000,"#,##0")</f>
        <v>10,896</v>
      </c>
      <c r="T219" s="12" t="str">
        <f>TEXT(VALUE(Table1[[#This Row],[Content.Column10]])*1000,"#,##0")</f>
        <v>10,915</v>
      </c>
      <c r="U219" s="13" t="str">
        <f>TEXT(VALUE(Table1[[#This Row],[Content.Column11]])*1000,"#,##0")</f>
        <v>47,151</v>
      </c>
      <c r="V219" s="13" t="str">
        <f>TEXT(VALUE(Table1[[#This Row],[Content.Column12]])*1000,"#,##0")</f>
        <v>21,002</v>
      </c>
      <c r="W219" s="13" t="str">
        <f>TEXT(VALUE(Table1[[#This Row],[Content.Column13]])*1000,"#,##0")</f>
        <v>68,153</v>
      </c>
      <c r="X219" s="13" t="str">
        <f>TEXT(VALUE(Table1[[#This Row],[Content.Column14]])*1000,"#,##0")</f>
        <v>70,149</v>
      </c>
      <c r="Y219" s="14" t="str">
        <f>TEXT(VALUE(Table1[[#This Row],[Content.Column3]])*1000,"#,##0")</f>
        <v>54,071</v>
      </c>
      <c r="Z219" s="14" t="str">
        <f>TEXT(VALUE(Table1[[#This Row],[Content.Column4]])*1000,"#,##0")</f>
        <v>24,978</v>
      </c>
      <c r="AA219" s="14" t="str">
        <f>TEXT(VALUE(Table1[[#This Row],[Content.Column5]])*1000,"#,##0")</f>
        <v>79,049</v>
      </c>
      <c r="AB219" s="14" t="str">
        <f>TEXT(VALUE(Table1[[#This Row],[Content.Column6]])*1000,"#,##0")</f>
        <v>81,064</v>
      </c>
    </row>
    <row r="220" spans="1:28" x14ac:dyDescent="0.3">
      <c r="A220" t="s">
        <v>74</v>
      </c>
      <c r="B220" t="s">
        <v>75</v>
      </c>
      <c r="C220" s="6">
        <v>58.237000000000002</v>
      </c>
      <c r="D220" s="1">
        <v>29.562999999999999</v>
      </c>
      <c r="E220" s="1">
        <v>87.799000000000007</v>
      </c>
      <c r="F220" s="1">
        <v>89.626000000000005</v>
      </c>
      <c r="G220" s="2">
        <v>15.958</v>
      </c>
      <c r="H220" s="2">
        <v>6.1689999999999996</v>
      </c>
      <c r="I220" s="2">
        <v>22.126999999999999</v>
      </c>
      <c r="J220" s="2">
        <v>22.138999999999999</v>
      </c>
      <c r="K220" s="3">
        <v>42.279000000000003</v>
      </c>
      <c r="L220" s="3">
        <v>23.393999999999998</v>
      </c>
      <c r="M220" s="3">
        <v>65.673000000000002</v>
      </c>
      <c r="N220" s="3">
        <v>67.486999999999995</v>
      </c>
      <c r="O220">
        <v>2013</v>
      </c>
      <c r="Q220" s="12" t="str">
        <f>TEXT(VALUE(Table1[[#This Row],[Content.Column7]])*1000,"#,##0")</f>
        <v>15,958</v>
      </c>
      <c r="R220" s="12" t="str">
        <f>TEXT(VALUE(Table1[[#This Row],[Content.Column8]])*1000,"#,##0")</f>
        <v>6,169</v>
      </c>
      <c r="S220" s="12" t="str">
        <f>TEXT(VALUE(Table1[[#This Row],[Content.Column9]])*1000,"#,##0")</f>
        <v>22,127</v>
      </c>
      <c r="T220" s="12" t="str">
        <f>TEXT(VALUE(Table1[[#This Row],[Content.Column10]])*1000,"#,##0")</f>
        <v>22,139</v>
      </c>
      <c r="U220" s="13" t="str">
        <f>TEXT(VALUE(Table1[[#This Row],[Content.Column11]])*1000,"#,##0")</f>
        <v>42,279</v>
      </c>
      <c r="V220" s="13" t="str">
        <f>TEXT(VALUE(Table1[[#This Row],[Content.Column12]])*1000,"#,##0")</f>
        <v>23,394</v>
      </c>
      <c r="W220" s="13" t="str">
        <f>TEXT(VALUE(Table1[[#This Row],[Content.Column13]])*1000,"#,##0")</f>
        <v>65,673</v>
      </c>
      <c r="X220" s="13" t="str">
        <f>TEXT(VALUE(Table1[[#This Row],[Content.Column14]])*1000,"#,##0")</f>
        <v>67,487</v>
      </c>
      <c r="Y220" s="14" t="str">
        <f>TEXT(VALUE(Table1[[#This Row],[Content.Column3]])*1000,"#,##0")</f>
        <v>58,237</v>
      </c>
      <c r="Z220" s="14" t="str">
        <f>TEXT(VALUE(Table1[[#This Row],[Content.Column4]])*1000,"#,##0")</f>
        <v>29,563</v>
      </c>
      <c r="AA220" s="14" t="str">
        <f>TEXT(VALUE(Table1[[#This Row],[Content.Column5]])*1000,"#,##0")</f>
        <v>87,799</v>
      </c>
      <c r="AB220" s="14" t="str">
        <f>TEXT(VALUE(Table1[[#This Row],[Content.Column6]])*1000,"#,##0")</f>
        <v>89,626</v>
      </c>
    </row>
    <row r="221" spans="1:28" x14ac:dyDescent="0.3">
      <c r="A221" t="s">
        <v>76</v>
      </c>
      <c r="B221" t="s">
        <v>77</v>
      </c>
      <c r="C221" s="6">
        <v>45.46</v>
      </c>
      <c r="D221" s="1">
        <v>24.382000000000001</v>
      </c>
      <c r="E221" s="1">
        <v>69.841999999999999</v>
      </c>
      <c r="F221" s="1">
        <v>71.956999999999994</v>
      </c>
      <c r="G221" s="2">
        <v>11.244999999999999</v>
      </c>
      <c r="H221" s="2">
        <v>5.9669999999999996</v>
      </c>
      <c r="I221" s="2">
        <v>17.212</v>
      </c>
      <c r="J221" s="2">
        <v>17.213999999999999</v>
      </c>
      <c r="K221" s="3">
        <v>34.213999999999999</v>
      </c>
      <c r="L221" s="3">
        <v>18.414999999999999</v>
      </c>
      <c r="M221" s="3">
        <v>52.63</v>
      </c>
      <c r="N221" s="3">
        <v>54.743000000000002</v>
      </c>
      <c r="O221">
        <v>2013</v>
      </c>
      <c r="Q221" s="12" t="str">
        <f>TEXT(VALUE(Table1[[#This Row],[Content.Column7]])*1000,"#,##0")</f>
        <v>11,245</v>
      </c>
      <c r="R221" s="12" t="str">
        <f>TEXT(VALUE(Table1[[#This Row],[Content.Column8]])*1000,"#,##0")</f>
        <v>5,967</v>
      </c>
      <c r="S221" s="12" t="str">
        <f>TEXT(VALUE(Table1[[#This Row],[Content.Column9]])*1000,"#,##0")</f>
        <v>17,212</v>
      </c>
      <c r="T221" s="12" t="str">
        <f>TEXT(VALUE(Table1[[#This Row],[Content.Column10]])*1000,"#,##0")</f>
        <v>17,214</v>
      </c>
      <c r="U221" s="13" t="str">
        <f>TEXT(VALUE(Table1[[#This Row],[Content.Column11]])*1000,"#,##0")</f>
        <v>34,214</v>
      </c>
      <c r="V221" s="13" t="str">
        <f>TEXT(VALUE(Table1[[#This Row],[Content.Column12]])*1000,"#,##0")</f>
        <v>18,415</v>
      </c>
      <c r="W221" s="13" t="str">
        <f>TEXT(VALUE(Table1[[#This Row],[Content.Column13]])*1000,"#,##0")</f>
        <v>52,630</v>
      </c>
      <c r="X221" s="13" t="str">
        <f>TEXT(VALUE(Table1[[#This Row],[Content.Column14]])*1000,"#,##0")</f>
        <v>54,743</v>
      </c>
      <c r="Y221" s="14" t="str">
        <f>TEXT(VALUE(Table1[[#This Row],[Content.Column3]])*1000,"#,##0")</f>
        <v>45,460</v>
      </c>
      <c r="Z221" s="14" t="str">
        <f>TEXT(VALUE(Table1[[#This Row],[Content.Column4]])*1000,"#,##0")</f>
        <v>24,382</v>
      </c>
      <c r="AA221" s="14" t="str">
        <f>TEXT(VALUE(Table1[[#This Row],[Content.Column5]])*1000,"#,##0")</f>
        <v>69,842</v>
      </c>
      <c r="AB221" s="14" t="str">
        <f>TEXT(VALUE(Table1[[#This Row],[Content.Column6]])*1000,"#,##0")</f>
        <v>71,957</v>
      </c>
    </row>
    <row r="222" spans="1:28" x14ac:dyDescent="0.3">
      <c r="A222" t="s">
        <v>78</v>
      </c>
      <c r="B222" t="s">
        <v>79</v>
      </c>
      <c r="C222" s="6">
        <v>52.539000000000001</v>
      </c>
      <c r="D222" s="1">
        <v>21.44</v>
      </c>
      <c r="E222" s="1">
        <v>73.978999999999999</v>
      </c>
      <c r="F222" s="1">
        <v>77.418000000000006</v>
      </c>
      <c r="G222" s="2">
        <v>5.8819999999999997</v>
      </c>
      <c r="H222" s="2">
        <v>2.9609999999999999</v>
      </c>
      <c r="I222" s="2">
        <v>8.843</v>
      </c>
      <c r="J222" s="2">
        <v>8.843</v>
      </c>
      <c r="K222" s="3">
        <v>46.656999999999996</v>
      </c>
      <c r="L222" s="3">
        <v>18.478999999999999</v>
      </c>
      <c r="M222" s="3">
        <v>65.135999999999996</v>
      </c>
      <c r="N222" s="3">
        <v>68.573999999999998</v>
      </c>
      <c r="O222">
        <v>2013</v>
      </c>
      <c r="Q222" s="12" t="str">
        <f>TEXT(VALUE(Table1[[#This Row],[Content.Column7]])*1000,"#,##0")</f>
        <v>5,882</v>
      </c>
      <c r="R222" s="12" t="str">
        <f>TEXT(VALUE(Table1[[#This Row],[Content.Column8]])*1000,"#,##0")</f>
        <v>2,961</v>
      </c>
      <c r="S222" s="12" t="str">
        <f>TEXT(VALUE(Table1[[#This Row],[Content.Column9]])*1000,"#,##0")</f>
        <v>8,843</v>
      </c>
      <c r="T222" s="12" t="str">
        <f>TEXT(VALUE(Table1[[#This Row],[Content.Column10]])*1000,"#,##0")</f>
        <v>8,843</v>
      </c>
      <c r="U222" s="13" t="str">
        <f>TEXT(VALUE(Table1[[#This Row],[Content.Column11]])*1000,"#,##0")</f>
        <v>46,657</v>
      </c>
      <c r="V222" s="13" t="str">
        <f>TEXT(VALUE(Table1[[#This Row],[Content.Column12]])*1000,"#,##0")</f>
        <v>18,479</v>
      </c>
      <c r="W222" s="13" t="str">
        <f>TEXT(VALUE(Table1[[#This Row],[Content.Column13]])*1000,"#,##0")</f>
        <v>65,136</v>
      </c>
      <c r="X222" s="13" t="str">
        <f>TEXT(VALUE(Table1[[#This Row],[Content.Column14]])*1000,"#,##0")</f>
        <v>68,574</v>
      </c>
      <c r="Y222" s="14" t="str">
        <f>TEXT(VALUE(Table1[[#This Row],[Content.Column3]])*1000,"#,##0")</f>
        <v>52,539</v>
      </c>
      <c r="Z222" s="14" t="str">
        <f>TEXT(VALUE(Table1[[#This Row],[Content.Column4]])*1000,"#,##0")</f>
        <v>21,440</v>
      </c>
      <c r="AA222" s="14" t="str">
        <f>TEXT(VALUE(Table1[[#This Row],[Content.Column5]])*1000,"#,##0")</f>
        <v>73,979</v>
      </c>
      <c r="AB222" s="14" t="str">
        <f>TEXT(VALUE(Table1[[#This Row],[Content.Column6]])*1000,"#,##0")</f>
        <v>77,418</v>
      </c>
    </row>
    <row r="223" spans="1:28" x14ac:dyDescent="0.3">
      <c r="A223" t="s">
        <v>80</v>
      </c>
      <c r="B223" t="s">
        <v>81</v>
      </c>
      <c r="C223" s="6">
        <v>153.06200000000001</v>
      </c>
      <c r="D223" s="1">
        <v>44.177999999999997</v>
      </c>
      <c r="E223" s="1">
        <v>197.24</v>
      </c>
      <c r="F223" s="1">
        <v>203.358</v>
      </c>
      <c r="G223" s="2">
        <v>33.674999999999997</v>
      </c>
      <c r="H223" s="2">
        <v>6.6189999999999998</v>
      </c>
      <c r="I223" s="2">
        <v>40.293999999999997</v>
      </c>
      <c r="J223" s="2">
        <v>40.320999999999998</v>
      </c>
      <c r="K223" s="3">
        <v>119.387</v>
      </c>
      <c r="L223" s="3">
        <v>37.558</v>
      </c>
      <c r="M223" s="3">
        <v>156.946</v>
      </c>
      <c r="N223" s="3">
        <v>163.03700000000001</v>
      </c>
      <c r="O223">
        <v>2013</v>
      </c>
      <c r="Q223" s="12" t="str">
        <f>TEXT(VALUE(Table1[[#This Row],[Content.Column7]])*1000,"#,##0")</f>
        <v>33,675</v>
      </c>
      <c r="R223" s="12" t="str">
        <f>TEXT(VALUE(Table1[[#This Row],[Content.Column8]])*1000,"#,##0")</f>
        <v>6,619</v>
      </c>
      <c r="S223" s="12" t="str">
        <f>TEXT(VALUE(Table1[[#This Row],[Content.Column9]])*1000,"#,##0")</f>
        <v>40,294</v>
      </c>
      <c r="T223" s="12" t="str">
        <f>TEXT(VALUE(Table1[[#This Row],[Content.Column10]])*1000,"#,##0")</f>
        <v>40,321</v>
      </c>
      <c r="U223" s="13" t="str">
        <f>TEXT(VALUE(Table1[[#This Row],[Content.Column11]])*1000,"#,##0")</f>
        <v>119,387</v>
      </c>
      <c r="V223" s="13" t="str">
        <f>TEXT(VALUE(Table1[[#This Row],[Content.Column12]])*1000,"#,##0")</f>
        <v>37,558</v>
      </c>
      <c r="W223" s="13" t="str">
        <f>TEXT(VALUE(Table1[[#This Row],[Content.Column13]])*1000,"#,##0")</f>
        <v>156,946</v>
      </c>
      <c r="X223" s="13" t="str">
        <f>TEXT(VALUE(Table1[[#This Row],[Content.Column14]])*1000,"#,##0")</f>
        <v>163,037</v>
      </c>
      <c r="Y223" s="14" t="str">
        <f>TEXT(VALUE(Table1[[#This Row],[Content.Column3]])*1000,"#,##0")</f>
        <v>153,062</v>
      </c>
      <c r="Z223" s="14" t="str">
        <f>TEXT(VALUE(Table1[[#This Row],[Content.Column4]])*1000,"#,##0")</f>
        <v>44,178</v>
      </c>
      <c r="AA223" s="14" t="str">
        <f>TEXT(VALUE(Table1[[#This Row],[Content.Column5]])*1000,"#,##0")</f>
        <v>197,240</v>
      </c>
      <c r="AB223" s="14" t="str">
        <f>TEXT(VALUE(Table1[[#This Row],[Content.Column6]])*1000,"#,##0")</f>
        <v>203,358</v>
      </c>
    </row>
    <row r="224" spans="1:28" x14ac:dyDescent="0.3">
      <c r="A224" t="s">
        <v>82</v>
      </c>
      <c r="B224" t="s">
        <v>83</v>
      </c>
      <c r="C224" s="6">
        <v>44.779000000000003</v>
      </c>
      <c r="D224" s="1">
        <v>23.106000000000002</v>
      </c>
      <c r="E224" s="1">
        <v>67.885000000000005</v>
      </c>
      <c r="F224" s="1">
        <v>69.795000000000002</v>
      </c>
      <c r="G224" s="2">
        <v>9.3889999999999993</v>
      </c>
      <c r="H224" s="2">
        <v>4.718</v>
      </c>
      <c r="I224" s="2">
        <v>14.106999999999999</v>
      </c>
      <c r="J224" s="2">
        <v>14.12</v>
      </c>
      <c r="K224" s="3">
        <v>35.39</v>
      </c>
      <c r="L224" s="3">
        <v>18.388999999999999</v>
      </c>
      <c r="M224" s="3">
        <v>53.779000000000003</v>
      </c>
      <c r="N224" s="3">
        <v>55.674999999999997</v>
      </c>
      <c r="O224">
        <v>2013</v>
      </c>
      <c r="Q224" s="12" t="str">
        <f>TEXT(VALUE(Table1[[#This Row],[Content.Column7]])*1000,"#,##0")</f>
        <v>9,389</v>
      </c>
      <c r="R224" s="12" t="str">
        <f>TEXT(VALUE(Table1[[#This Row],[Content.Column8]])*1000,"#,##0")</f>
        <v>4,718</v>
      </c>
      <c r="S224" s="12" t="str">
        <f>TEXT(VALUE(Table1[[#This Row],[Content.Column9]])*1000,"#,##0")</f>
        <v>14,107</v>
      </c>
      <c r="T224" s="12" t="str">
        <f>TEXT(VALUE(Table1[[#This Row],[Content.Column10]])*1000,"#,##0")</f>
        <v>14,120</v>
      </c>
      <c r="U224" s="13" t="str">
        <f>TEXT(VALUE(Table1[[#This Row],[Content.Column11]])*1000,"#,##0")</f>
        <v>35,390</v>
      </c>
      <c r="V224" s="13" t="str">
        <f>TEXT(VALUE(Table1[[#This Row],[Content.Column12]])*1000,"#,##0")</f>
        <v>18,389</v>
      </c>
      <c r="W224" s="13" t="str">
        <f>TEXT(VALUE(Table1[[#This Row],[Content.Column13]])*1000,"#,##0")</f>
        <v>53,779</v>
      </c>
      <c r="X224" s="13" t="str">
        <f>TEXT(VALUE(Table1[[#This Row],[Content.Column14]])*1000,"#,##0")</f>
        <v>55,675</v>
      </c>
      <c r="Y224" s="14" t="str">
        <f>TEXT(VALUE(Table1[[#This Row],[Content.Column3]])*1000,"#,##0")</f>
        <v>44,779</v>
      </c>
      <c r="Z224" s="14" t="str">
        <f>TEXT(VALUE(Table1[[#This Row],[Content.Column4]])*1000,"#,##0")</f>
        <v>23,106</v>
      </c>
      <c r="AA224" s="14" t="str">
        <f>TEXT(VALUE(Table1[[#This Row],[Content.Column5]])*1000,"#,##0")</f>
        <v>67,885</v>
      </c>
      <c r="AB224" s="14" t="str">
        <f>TEXT(VALUE(Table1[[#This Row],[Content.Column6]])*1000,"#,##0")</f>
        <v>69,795</v>
      </c>
    </row>
    <row r="225" spans="1:28" x14ac:dyDescent="0.3">
      <c r="A225" t="s">
        <v>84</v>
      </c>
      <c r="B225" t="s">
        <v>85</v>
      </c>
      <c r="C225" s="6">
        <v>198.37100000000001</v>
      </c>
      <c r="D225" s="1">
        <v>51.792000000000002</v>
      </c>
      <c r="E225" s="1">
        <v>250.16300000000001</v>
      </c>
      <c r="F225" s="1">
        <v>254.19200000000001</v>
      </c>
      <c r="G225" s="2">
        <v>31.385000000000002</v>
      </c>
      <c r="H225" s="2">
        <v>8.9280000000000008</v>
      </c>
      <c r="I225" s="2">
        <v>40.313000000000002</v>
      </c>
      <c r="J225" s="2">
        <v>40.319000000000003</v>
      </c>
      <c r="K225" s="3">
        <v>166.98599999999999</v>
      </c>
      <c r="L225" s="3">
        <v>42.863999999999997</v>
      </c>
      <c r="M225" s="3">
        <v>209.85</v>
      </c>
      <c r="N225" s="3">
        <v>213.87299999999999</v>
      </c>
      <c r="O225">
        <v>2013</v>
      </c>
      <c r="Q225" s="12" t="str">
        <f>TEXT(VALUE(Table1[[#This Row],[Content.Column7]])*1000,"#,##0")</f>
        <v>31,385</v>
      </c>
      <c r="R225" s="12" t="str">
        <f>TEXT(VALUE(Table1[[#This Row],[Content.Column8]])*1000,"#,##0")</f>
        <v>8,928</v>
      </c>
      <c r="S225" s="12" t="str">
        <f>TEXT(VALUE(Table1[[#This Row],[Content.Column9]])*1000,"#,##0")</f>
        <v>40,313</v>
      </c>
      <c r="T225" s="12" t="str">
        <f>TEXT(VALUE(Table1[[#This Row],[Content.Column10]])*1000,"#,##0")</f>
        <v>40,319</v>
      </c>
      <c r="U225" s="13" t="str">
        <f>TEXT(VALUE(Table1[[#This Row],[Content.Column11]])*1000,"#,##0")</f>
        <v>166,986</v>
      </c>
      <c r="V225" s="13" t="str">
        <f>TEXT(VALUE(Table1[[#This Row],[Content.Column12]])*1000,"#,##0")</f>
        <v>42,864</v>
      </c>
      <c r="W225" s="13" t="str">
        <f>TEXT(VALUE(Table1[[#This Row],[Content.Column13]])*1000,"#,##0")</f>
        <v>209,850</v>
      </c>
      <c r="X225" s="13" t="str">
        <f>TEXT(VALUE(Table1[[#This Row],[Content.Column14]])*1000,"#,##0")</f>
        <v>213,873</v>
      </c>
      <c r="Y225" s="14" t="str">
        <f>TEXT(VALUE(Table1[[#This Row],[Content.Column3]])*1000,"#,##0")</f>
        <v>198,371</v>
      </c>
      <c r="Z225" s="14" t="str">
        <f>TEXT(VALUE(Table1[[#This Row],[Content.Column4]])*1000,"#,##0")</f>
        <v>51,792</v>
      </c>
      <c r="AA225" s="14" t="str">
        <f>TEXT(VALUE(Table1[[#This Row],[Content.Column5]])*1000,"#,##0")</f>
        <v>250,163</v>
      </c>
      <c r="AB225" s="14" t="str">
        <f>TEXT(VALUE(Table1[[#This Row],[Content.Column6]])*1000,"#,##0")</f>
        <v>254,192</v>
      </c>
    </row>
    <row r="226" spans="1:28" x14ac:dyDescent="0.3">
      <c r="A226" t="s">
        <v>86</v>
      </c>
      <c r="B226" t="s">
        <v>87</v>
      </c>
      <c r="C226" s="6">
        <v>46.628</v>
      </c>
      <c r="D226" s="1">
        <v>20.795999999999999</v>
      </c>
      <c r="E226" s="1">
        <v>67.424000000000007</v>
      </c>
      <c r="F226" s="1">
        <v>69.545000000000002</v>
      </c>
      <c r="G226" s="2">
        <v>11.598000000000001</v>
      </c>
      <c r="H226" s="2">
        <v>5.2519999999999998</v>
      </c>
      <c r="I226" s="2">
        <v>16.850000000000001</v>
      </c>
      <c r="J226" s="2">
        <v>17.033999999999999</v>
      </c>
      <c r="K226" s="3">
        <v>35.03</v>
      </c>
      <c r="L226" s="3">
        <v>15.544</v>
      </c>
      <c r="M226" s="3">
        <v>50.573999999999998</v>
      </c>
      <c r="N226" s="3">
        <v>52.511000000000003</v>
      </c>
      <c r="O226">
        <v>2013</v>
      </c>
      <c r="Q226" s="12" t="str">
        <f>TEXT(VALUE(Table1[[#This Row],[Content.Column7]])*1000,"#,##0")</f>
        <v>11,598</v>
      </c>
      <c r="R226" s="12" t="str">
        <f>TEXT(VALUE(Table1[[#This Row],[Content.Column8]])*1000,"#,##0")</f>
        <v>5,252</v>
      </c>
      <c r="S226" s="12" t="str">
        <f>TEXT(VALUE(Table1[[#This Row],[Content.Column9]])*1000,"#,##0")</f>
        <v>16,850</v>
      </c>
      <c r="T226" s="12" t="str">
        <f>TEXT(VALUE(Table1[[#This Row],[Content.Column10]])*1000,"#,##0")</f>
        <v>17,034</v>
      </c>
      <c r="U226" s="13" t="str">
        <f>TEXT(VALUE(Table1[[#This Row],[Content.Column11]])*1000,"#,##0")</f>
        <v>35,030</v>
      </c>
      <c r="V226" s="13" t="str">
        <f>TEXT(VALUE(Table1[[#This Row],[Content.Column12]])*1000,"#,##0")</f>
        <v>15,544</v>
      </c>
      <c r="W226" s="13" t="str">
        <f>TEXT(VALUE(Table1[[#This Row],[Content.Column13]])*1000,"#,##0")</f>
        <v>50,574</v>
      </c>
      <c r="X226" s="13" t="str">
        <f>TEXT(VALUE(Table1[[#This Row],[Content.Column14]])*1000,"#,##0")</f>
        <v>52,511</v>
      </c>
      <c r="Y226" s="14" t="str">
        <f>TEXT(VALUE(Table1[[#This Row],[Content.Column3]])*1000,"#,##0")</f>
        <v>46,628</v>
      </c>
      <c r="Z226" s="14" t="str">
        <f>TEXT(VALUE(Table1[[#This Row],[Content.Column4]])*1000,"#,##0")</f>
        <v>20,796</v>
      </c>
      <c r="AA226" s="14" t="str">
        <f>TEXT(VALUE(Table1[[#This Row],[Content.Column5]])*1000,"#,##0")</f>
        <v>67,424</v>
      </c>
      <c r="AB226" s="14" t="str">
        <f>TEXT(VALUE(Table1[[#This Row],[Content.Column6]])*1000,"#,##0")</f>
        <v>69,545</v>
      </c>
    </row>
    <row r="227" spans="1:28" x14ac:dyDescent="0.3">
      <c r="A227" t="s">
        <v>88</v>
      </c>
      <c r="B227" t="s">
        <v>89</v>
      </c>
      <c r="C227" s="6">
        <v>75.16</v>
      </c>
      <c r="D227" s="1">
        <v>33.466999999999999</v>
      </c>
      <c r="E227" s="1">
        <v>108.627</v>
      </c>
      <c r="F227" s="1">
        <v>111.509</v>
      </c>
      <c r="G227" s="2">
        <v>17.204999999999998</v>
      </c>
      <c r="H227" s="2">
        <v>6.7169999999999996</v>
      </c>
      <c r="I227" s="2">
        <v>23.920999999999999</v>
      </c>
      <c r="J227" s="2">
        <v>23.923999999999999</v>
      </c>
      <c r="K227" s="3">
        <v>57.954999999999998</v>
      </c>
      <c r="L227" s="3">
        <v>26.751000000000001</v>
      </c>
      <c r="M227" s="3">
        <v>84.706000000000003</v>
      </c>
      <c r="N227" s="3">
        <v>87.584999999999994</v>
      </c>
      <c r="O227">
        <v>2013</v>
      </c>
      <c r="Q227" s="12" t="str">
        <f>TEXT(VALUE(Table1[[#This Row],[Content.Column7]])*1000,"#,##0")</f>
        <v>17,205</v>
      </c>
      <c r="R227" s="12" t="str">
        <f>TEXT(VALUE(Table1[[#This Row],[Content.Column8]])*1000,"#,##0")</f>
        <v>6,717</v>
      </c>
      <c r="S227" s="12" t="str">
        <f>TEXT(VALUE(Table1[[#This Row],[Content.Column9]])*1000,"#,##0")</f>
        <v>23,921</v>
      </c>
      <c r="T227" s="12" t="str">
        <f>TEXT(VALUE(Table1[[#This Row],[Content.Column10]])*1000,"#,##0")</f>
        <v>23,924</v>
      </c>
      <c r="U227" s="13" t="str">
        <f>TEXT(VALUE(Table1[[#This Row],[Content.Column11]])*1000,"#,##0")</f>
        <v>57,955</v>
      </c>
      <c r="V227" s="13" t="str">
        <f>TEXT(VALUE(Table1[[#This Row],[Content.Column12]])*1000,"#,##0")</f>
        <v>26,751</v>
      </c>
      <c r="W227" s="13" t="str">
        <f>TEXT(VALUE(Table1[[#This Row],[Content.Column13]])*1000,"#,##0")</f>
        <v>84,706</v>
      </c>
      <c r="X227" s="13" t="str">
        <f>TEXT(VALUE(Table1[[#This Row],[Content.Column14]])*1000,"#,##0")</f>
        <v>87,585</v>
      </c>
      <c r="Y227" s="14" t="str">
        <f>TEXT(VALUE(Table1[[#This Row],[Content.Column3]])*1000,"#,##0")</f>
        <v>75,160</v>
      </c>
      <c r="Z227" s="14" t="str">
        <f>TEXT(VALUE(Table1[[#This Row],[Content.Column4]])*1000,"#,##0")</f>
        <v>33,467</v>
      </c>
      <c r="AA227" s="14" t="str">
        <f>TEXT(VALUE(Table1[[#This Row],[Content.Column5]])*1000,"#,##0")</f>
        <v>108,627</v>
      </c>
      <c r="AB227" s="14" t="str">
        <f>TEXT(VALUE(Table1[[#This Row],[Content.Column6]])*1000,"#,##0")</f>
        <v>111,509</v>
      </c>
    </row>
    <row r="228" spans="1:28" x14ac:dyDescent="0.3">
      <c r="A228" t="s">
        <v>90</v>
      </c>
      <c r="B228" t="s">
        <v>91</v>
      </c>
      <c r="C228" s="6">
        <v>524.803</v>
      </c>
      <c r="D228" s="1">
        <v>140.43700000000001</v>
      </c>
      <c r="E228" s="1">
        <v>665.23900000000003</v>
      </c>
      <c r="F228" s="1">
        <v>693.40700000000004</v>
      </c>
      <c r="G228" s="2">
        <v>83.369</v>
      </c>
      <c r="H228" s="2">
        <v>10.923</v>
      </c>
      <c r="I228" s="2">
        <v>94.292000000000002</v>
      </c>
      <c r="J228" s="2">
        <v>95.131</v>
      </c>
      <c r="K228" s="3">
        <v>441.43299999999999</v>
      </c>
      <c r="L228" s="3">
        <v>129.51400000000001</v>
      </c>
      <c r="M228" s="3">
        <v>570.947</v>
      </c>
      <c r="N228" s="3">
        <v>598.27599999999995</v>
      </c>
      <c r="O228">
        <v>2013</v>
      </c>
      <c r="Q228" s="12" t="str">
        <f>TEXT(VALUE(Table1[[#This Row],[Content.Column7]])*1000,"#,##0")</f>
        <v>83,369</v>
      </c>
      <c r="R228" s="12" t="str">
        <f>TEXT(VALUE(Table1[[#This Row],[Content.Column8]])*1000,"#,##0")</f>
        <v>10,923</v>
      </c>
      <c r="S228" s="12" t="str">
        <f>TEXT(VALUE(Table1[[#This Row],[Content.Column9]])*1000,"#,##0")</f>
        <v>94,292</v>
      </c>
      <c r="T228" s="12" t="str">
        <f>TEXT(VALUE(Table1[[#This Row],[Content.Column10]])*1000,"#,##0")</f>
        <v>95,131</v>
      </c>
      <c r="U228" s="13" t="str">
        <f>TEXT(VALUE(Table1[[#This Row],[Content.Column11]])*1000,"#,##0")</f>
        <v>441,433</v>
      </c>
      <c r="V228" s="13" t="str">
        <f>TEXT(VALUE(Table1[[#This Row],[Content.Column12]])*1000,"#,##0")</f>
        <v>129,514</v>
      </c>
      <c r="W228" s="13" t="str">
        <f>TEXT(VALUE(Table1[[#This Row],[Content.Column13]])*1000,"#,##0")</f>
        <v>570,947</v>
      </c>
      <c r="X228" s="13" t="str">
        <f>TEXT(VALUE(Table1[[#This Row],[Content.Column14]])*1000,"#,##0")</f>
        <v>598,276</v>
      </c>
      <c r="Y228" s="14" t="str">
        <f>TEXT(VALUE(Table1[[#This Row],[Content.Column3]])*1000,"#,##0")</f>
        <v>524,803</v>
      </c>
      <c r="Z228" s="14" t="str">
        <f>TEXT(VALUE(Table1[[#This Row],[Content.Column4]])*1000,"#,##0")</f>
        <v>140,437</v>
      </c>
      <c r="AA228" s="14" t="str">
        <f>TEXT(VALUE(Table1[[#This Row],[Content.Column5]])*1000,"#,##0")</f>
        <v>665,239</v>
      </c>
      <c r="AB228" s="14" t="str">
        <f>TEXT(VALUE(Table1[[#This Row],[Content.Column6]])*1000,"#,##0")</f>
        <v>693,407</v>
      </c>
    </row>
    <row r="229" spans="1:28" x14ac:dyDescent="0.3">
      <c r="A229" t="s">
        <v>92</v>
      </c>
      <c r="B229" t="s">
        <v>93</v>
      </c>
      <c r="C229" s="6">
        <v>2154.085</v>
      </c>
      <c r="D229" s="1">
        <v>653.15</v>
      </c>
      <c r="E229" s="1">
        <v>2807.232</v>
      </c>
      <c r="F229" s="1">
        <v>2902.5050000000001</v>
      </c>
      <c r="G229" s="2">
        <v>348.47500000000002</v>
      </c>
      <c r="H229" s="2">
        <v>87.664000000000001</v>
      </c>
      <c r="I229" s="2">
        <v>436.13900000000001</v>
      </c>
      <c r="J229" s="2">
        <v>438.565</v>
      </c>
      <c r="K229" s="3">
        <v>1805.61</v>
      </c>
      <c r="L229" s="3">
        <v>565.48599999999999</v>
      </c>
      <c r="M229" s="3">
        <v>2371.0929999999998</v>
      </c>
      <c r="N229" s="3">
        <v>2463.9389999999999</v>
      </c>
      <c r="O229">
        <v>2013</v>
      </c>
      <c r="Q229" s="12" t="str">
        <f>TEXT(VALUE(Table1[[#This Row],[Content.Column7]])*1000,"#,##0")</f>
        <v>348,475</v>
      </c>
      <c r="R229" s="12" t="str">
        <f>TEXT(VALUE(Table1[[#This Row],[Content.Column8]])*1000,"#,##0")</f>
        <v>87,664</v>
      </c>
      <c r="S229" s="12" t="str">
        <f>TEXT(VALUE(Table1[[#This Row],[Content.Column9]])*1000,"#,##0")</f>
        <v>436,139</v>
      </c>
      <c r="T229" s="12" t="str">
        <f>TEXT(VALUE(Table1[[#This Row],[Content.Column10]])*1000,"#,##0")</f>
        <v>438,565</v>
      </c>
      <c r="U229" s="13" t="str">
        <f>TEXT(VALUE(Table1[[#This Row],[Content.Column11]])*1000,"#,##0")</f>
        <v>1,805,610</v>
      </c>
      <c r="V229" s="13" t="str">
        <f>TEXT(VALUE(Table1[[#This Row],[Content.Column12]])*1000,"#,##0")</f>
        <v>565,486</v>
      </c>
      <c r="W229" s="13" t="str">
        <f>TEXT(VALUE(Table1[[#This Row],[Content.Column13]])*1000,"#,##0")</f>
        <v>2,371,093</v>
      </c>
      <c r="X229" s="13" t="str">
        <f>TEXT(VALUE(Table1[[#This Row],[Content.Column14]])*1000,"#,##0")</f>
        <v>2,463,939</v>
      </c>
      <c r="Y229" s="14" t="str">
        <f>TEXT(VALUE(Table1[[#This Row],[Content.Column3]])*1000,"#,##0")</f>
        <v>2,154,085</v>
      </c>
      <c r="Z229" s="14" t="str">
        <f>TEXT(VALUE(Table1[[#This Row],[Content.Column4]])*1000,"#,##0")</f>
        <v>653,150</v>
      </c>
      <c r="AA229" s="14" t="str">
        <f>TEXT(VALUE(Table1[[#This Row],[Content.Column5]])*1000,"#,##0")</f>
        <v>2,807,232</v>
      </c>
      <c r="AB229" s="14" t="str">
        <f>TEXT(VALUE(Table1[[#This Row],[Content.Column6]])*1000,"#,##0")</f>
        <v>2,902,505</v>
      </c>
    </row>
    <row r="230" spans="1:28" x14ac:dyDescent="0.3">
      <c r="A230" t="s">
        <v>94</v>
      </c>
      <c r="B230" t="s">
        <v>95</v>
      </c>
      <c r="C230" s="6">
        <v>1192</v>
      </c>
      <c r="D230" s="1">
        <v>560.10699999999997</v>
      </c>
      <c r="E230" s="1">
        <v>1752.105</v>
      </c>
      <c r="F230" s="1">
        <v>1803.644</v>
      </c>
      <c r="G230" s="2">
        <v>200.542</v>
      </c>
      <c r="H230" s="2">
        <v>116.087</v>
      </c>
      <c r="I230" s="2">
        <v>316.62900000000002</v>
      </c>
      <c r="J230" s="2">
        <v>317.50099999999998</v>
      </c>
      <c r="K230" s="3">
        <v>991.45799999999997</v>
      </c>
      <c r="L230" s="3">
        <v>444.02</v>
      </c>
      <c r="M230" s="3">
        <v>1435.4770000000001</v>
      </c>
      <c r="N230" s="3">
        <v>1486.143</v>
      </c>
      <c r="O230">
        <v>2013</v>
      </c>
      <c r="Q230" s="12" t="str">
        <f>TEXT(VALUE(Table1[[#This Row],[Content.Column7]])*1000,"#,##0")</f>
        <v>200,542</v>
      </c>
      <c r="R230" s="12" t="str">
        <f>TEXT(VALUE(Table1[[#This Row],[Content.Column8]])*1000,"#,##0")</f>
        <v>116,087</v>
      </c>
      <c r="S230" s="12" t="str">
        <f>TEXT(VALUE(Table1[[#This Row],[Content.Column9]])*1000,"#,##0")</f>
        <v>316,629</v>
      </c>
      <c r="T230" s="12" t="str">
        <f>TEXT(VALUE(Table1[[#This Row],[Content.Column10]])*1000,"#,##0")</f>
        <v>317,501</v>
      </c>
      <c r="U230" s="13" t="str">
        <f>TEXT(VALUE(Table1[[#This Row],[Content.Column11]])*1000,"#,##0")</f>
        <v>991,458</v>
      </c>
      <c r="V230" s="13" t="str">
        <f>TEXT(VALUE(Table1[[#This Row],[Content.Column12]])*1000,"#,##0")</f>
        <v>444,020</v>
      </c>
      <c r="W230" s="13" t="str">
        <f>TEXT(VALUE(Table1[[#This Row],[Content.Column13]])*1000,"#,##0")</f>
        <v>1,435,477</v>
      </c>
      <c r="X230" s="13" t="str">
        <f>TEXT(VALUE(Table1[[#This Row],[Content.Column14]])*1000,"#,##0")</f>
        <v>1,486,143</v>
      </c>
      <c r="Y230" s="14" t="str">
        <f>TEXT(VALUE(Table1[[#This Row],[Content.Column3]])*1000,"#,##0")</f>
        <v>1,192,000</v>
      </c>
      <c r="Z230" s="14" t="str">
        <f>TEXT(VALUE(Table1[[#This Row],[Content.Column4]])*1000,"#,##0")</f>
        <v>560,107</v>
      </c>
      <c r="AA230" s="14" t="str">
        <f>TEXT(VALUE(Table1[[#This Row],[Content.Column5]])*1000,"#,##0")</f>
        <v>1,752,105</v>
      </c>
      <c r="AB230" s="14" t="str">
        <f>TEXT(VALUE(Table1[[#This Row],[Content.Column6]])*1000,"#,##0")</f>
        <v>1,803,644</v>
      </c>
    </row>
    <row r="231" spans="1:28" x14ac:dyDescent="0.3">
      <c r="A231" t="s">
        <v>96</v>
      </c>
      <c r="B231" t="s">
        <v>97</v>
      </c>
      <c r="C231" s="6">
        <v>671.45399999999995</v>
      </c>
      <c r="D231" s="1">
        <v>334.93</v>
      </c>
      <c r="E231" s="1">
        <v>1006.384</v>
      </c>
      <c r="F231" s="1">
        <v>1038.9259999999999</v>
      </c>
      <c r="G231" s="2">
        <v>157.91399999999999</v>
      </c>
      <c r="H231" s="2">
        <v>90.671000000000006</v>
      </c>
      <c r="I231" s="2">
        <v>248.584</v>
      </c>
      <c r="J231" s="2">
        <v>256.02</v>
      </c>
      <c r="K231" s="3">
        <v>513.54</v>
      </c>
      <c r="L231" s="3">
        <v>244.25899999999999</v>
      </c>
      <c r="M231" s="3">
        <v>757.8</v>
      </c>
      <c r="N231" s="3">
        <v>782.90599999999995</v>
      </c>
      <c r="O231">
        <v>2013</v>
      </c>
      <c r="Q231" s="12" t="str">
        <f>TEXT(VALUE(Table1[[#This Row],[Content.Column7]])*1000,"#,##0")</f>
        <v>157,914</v>
      </c>
      <c r="R231" s="12" t="str">
        <f>TEXT(VALUE(Table1[[#This Row],[Content.Column8]])*1000,"#,##0")</f>
        <v>90,671</v>
      </c>
      <c r="S231" s="12" t="str">
        <f>TEXT(VALUE(Table1[[#This Row],[Content.Column9]])*1000,"#,##0")</f>
        <v>248,584</v>
      </c>
      <c r="T231" s="12" t="str">
        <f>TEXT(VALUE(Table1[[#This Row],[Content.Column10]])*1000,"#,##0")</f>
        <v>256,020</v>
      </c>
      <c r="U231" s="13" t="str">
        <f>TEXT(VALUE(Table1[[#This Row],[Content.Column11]])*1000,"#,##0")</f>
        <v>513,540</v>
      </c>
      <c r="V231" s="13" t="str">
        <f>TEXT(VALUE(Table1[[#This Row],[Content.Column12]])*1000,"#,##0")</f>
        <v>244,259</v>
      </c>
      <c r="W231" s="13" t="str">
        <f>TEXT(VALUE(Table1[[#This Row],[Content.Column13]])*1000,"#,##0")</f>
        <v>757,800</v>
      </c>
      <c r="X231" s="13" t="str">
        <f>TEXT(VALUE(Table1[[#This Row],[Content.Column14]])*1000,"#,##0")</f>
        <v>782,906</v>
      </c>
      <c r="Y231" s="14" t="str">
        <f>TEXT(VALUE(Table1[[#This Row],[Content.Column3]])*1000,"#,##0")</f>
        <v>671,454</v>
      </c>
      <c r="Z231" s="14" t="str">
        <f>TEXT(VALUE(Table1[[#This Row],[Content.Column4]])*1000,"#,##0")</f>
        <v>334,930</v>
      </c>
      <c r="AA231" s="14" t="str">
        <f>TEXT(VALUE(Table1[[#This Row],[Content.Column5]])*1000,"#,##0")</f>
        <v>1,006,384</v>
      </c>
      <c r="AB231" s="14" t="str">
        <f>TEXT(VALUE(Table1[[#This Row],[Content.Column6]])*1000,"#,##0")</f>
        <v>1,038,926</v>
      </c>
    </row>
    <row r="232" spans="1:28" x14ac:dyDescent="0.3">
      <c r="A232" t="s">
        <v>98</v>
      </c>
      <c r="B232" t="s">
        <v>99</v>
      </c>
      <c r="C232" s="6">
        <v>2045.2550000000001</v>
      </c>
      <c r="D232" s="1">
        <v>971.48599999999999</v>
      </c>
      <c r="E232" s="1">
        <v>3016.741</v>
      </c>
      <c r="F232" s="1">
        <v>3115.5720000000001</v>
      </c>
      <c r="G232" s="2">
        <v>399.108</v>
      </c>
      <c r="H232" s="2">
        <v>239.708</v>
      </c>
      <c r="I232" s="2">
        <v>638.81500000000005</v>
      </c>
      <c r="J232" s="2">
        <v>661.33799999999997</v>
      </c>
      <c r="K232" s="3">
        <v>1646.1479999999999</v>
      </c>
      <c r="L232" s="3">
        <v>731.779</v>
      </c>
      <c r="M232" s="3">
        <v>2377.9259999999999</v>
      </c>
      <c r="N232" s="3">
        <v>2454.2339999999999</v>
      </c>
      <c r="O232">
        <v>2013</v>
      </c>
      <c r="Q232" s="12" t="str">
        <f>TEXT(VALUE(Table1[[#This Row],[Content.Column7]])*1000,"#,##0")</f>
        <v>399,108</v>
      </c>
      <c r="R232" s="12" t="str">
        <f>TEXT(VALUE(Table1[[#This Row],[Content.Column8]])*1000,"#,##0")</f>
        <v>239,708</v>
      </c>
      <c r="S232" s="12" t="str">
        <f>TEXT(VALUE(Table1[[#This Row],[Content.Column9]])*1000,"#,##0")</f>
        <v>638,815</v>
      </c>
      <c r="T232" s="12" t="str">
        <f>TEXT(VALUE(Table1[[#This Row],[Content.Column10]])*1000,"#,##0")</f>
        <v>661,338</v>
      </c>
      <c r="U232" s="13" t="str">
        <f>TEXT(VALUE(Table1[[#This Row],[Content.Column11]])*1000,"#,##0")</f>
        <v>1,646,148</v>
      </c>
      <c r="V232" s="13" t="str">
        <f>TEXT(VALUE(Table1[[#This Row],[Content.Column12]])*1000,"#,##0")</f>
        <v>731,779</v>
      </c>
      <c r="W232" s="13" t="str">
        <f>TEXT(VALUE(Table1[[#This Row],[Content.Column13]])*1000,"#,##0")</f>
        <v>2,377,926</v>
      </c>
      <c r="X232" s="13" t="str">
        <f>TEXT(VALUE(Table1[[#This Row],[Content.Column14]])*1000,"#,##0")</f>
        <v>2,454,234</v>
      </c>
      <c r="Y232" s="14" t="str">
        <f>TEXT(VALUE(Table1[[#This Row],[Content.Column3]])*1000,"#,##0")</f>
        <v>2,045,255</v>
      </c>
      <c r="Z232" s="14" t="str">
        <f>TEXT(VALUE(Table1[[#This Row],[Content.Column4]])*1000,"#,##0")</f>
        <v>971,486</v>
      </c>
      <c r="AA232" s="14" t="str">
        <f>TEXT(VALUE(Table1[[#This Row],[Content.Column5]])*1000,"#,##0")</f>
        <v>3,016,741</v>
      </c>
      <c r="AB232" s="14" t="str">
        <f>TEXT(VALUE(Table1[[#This Row],[Content.Column6]])*1000,"#,##0")</f>
        <v>3,115,572</v>
      </c>
    </row>
    <row r="233" spans="1:28" x14ac:dyDescent="0.3">
      <c r="A233" t="s">
        <v>100</v>
      </c>
      <c r="B233" t="s">
        <v>101</v>
      </c>
      <c r="C233" s="6">
        <v>1470.953</v>
      </c>
      <c r="D233" s="1">
        <v>721.88699999999994</v>
      </c>
      <c r="E233" s="1">
        <v>2192.84</v>
      </c>
      <c r="F233" s="1">
        <v>2284.393</v>
      </c>
      <c r="G233" s="2">
        <v>300.85599999999999</v>
      </c>
      <c r="H233" s="2">
        <v>185.386</v>
      </c>
      <c r="I233" s="2">
        <v>486.24200000000002</v>
      </c>
      <c r="J233" s="2">
        <v>507.04700000000003</v>
      </c>
      <c r="K233" s="3">
        <v>1170.098</v>
      </c>
      <c r="L233" s="3">
        <v>536.50099999999998</v>
      </c>
      <c r="M233" s="3">
        <v>1706.598</v>
      </c>
      <c r="N233" s="3">
        <v>1777.346</v>
      </c>
      <c r="O233">
        <v>2013</v>
      </c>
      <c r="Q233" s="12" t="str">
        <f>TEXT(VALUE(Table1[[#This Row],[Content.Column7]])*1000,"#,##0")</f>
        <v>300,856</v>
      </c>
      <c r="R233" s="12" t="str">
        <f>TEXT(VALUE(Table1[[#This Row],[Content.Column8]])*1000,"#,##0")</f>
        <v>185,386</v>
      </c>
      <c r="S233" s="12" t="str">
        <f>TEXT(VALUE(Table1[[#This Row],[Content.Column9]])*1000,"#,##0")</f>
        <v>486,242</v>
      </c>
      <c r="T233" s="12" t="str">
        <f>TEXT(VALUE(Table1[[#This Row],[Content.Column10]])*1000,"#,##0")</f>
        <v>507,047</v>
      </c>
      <c r="U233" s="13" t="str">
        <f>TEXT(VALUE(Table1[[#This Row],[Content.Column11]])*1000,"#,##0")</f>
        <v>1,170,098</v>
      </c>
      <c r="V233" s="13" t="str">
        <f>TEXT(VALUE(Table1[[#This Row],[Content.Column12]])*1000,"#,##0")</f>
        <v>536,501</v>
      </c>
      <c r="W233" s="13" t="str">
        <f>TEXT(VALUE(Table1[[#This Row],[Content.Column13]])*1000,"#,##0")</f>
        <v>1,706,598</v>
      </c>
      <c r="X233" s="13" t="str">
        <f>TEXT(VALUE(Table1[[#This Row],[Content.Column14]])*1000,"#,##0")</f>
        <v>1,777,346</v>
      </c>
      <c r="Y233" s="14" t="str">
        <f>TEXT(VALUE(Table1[[#This Row],[Content.Column3]])*1000,"#,##0")</f>
        <v>1,470,953</v>
      </c>
      <c r="Z233" s="14" t="str">
        <f>TEXT(VALUE(Table1[[#This Row],[Content.Column4]])*1000,"#,##0")</f>
        <v>721,887</v>
      </c>
      <c r="AA233" s="14" t="str">
        <f>TEXT(VALUE(Table1[[#This Row],[Content.Column5]])*1000,"#,##0")</f>
        <v>2,192,840</v>
      </c>
      <c r="AB233" s="14" t="str">
        <f>TEXT(VALUE(Table1[[#This Row],[Content.Column6]])*1000,"#,##0")</f>
        <v>2,284,393</v>
      </c>
    </row>
    <row r="234" spans="1:28" x14ac:dyDescent="0.3">
      <c r="A234" t="s">
        <v>102</v>
      </c>
      <c r="B234" t="s">
        <v>103</v>
      </c>
      <c r="C234" s="6">
        <v>1296.7</v>
      </c>
      <c r="D234" s="1">
        <v>610.70600000000002</v>
      </c>
      <c r="E234" s="1">
        <v>1907.4079999999999</v>
      </c>
      <c r="F234" s="1">
        <v>1982.068</v>
      </c>
      <c r="G234" s="2">
        <v>229.83099999999999</v>
      </c>
      <c r="H234" s="2">
        <v>132.97300000000001</v>
      </c>
      <c r="I234" s="2">
        <v>362.80500000000001</v>
      </c>
      <c r="J234" s="2">
        <v>382.12200000000001</v>
      </c>
      <c r="K234" s="3">
        <v>1066.8689999999999</v>
      </c>
      <c r="L234" s="3">
        <v>477.733</v>
      </c>
      <c r="M234" s="3">
        <v>1544.6030000000001</v>
      </c>
      <c r="N234" s="3">
        <v>1599.9449999999999</v>
      </c>
      <c r="O234">
        <v>2013</v>
      </c>
      <c r="Q234" s="12" t="str">
        <f>TEXT(VALUE(Table1[[#This Row],[Content.Column7]])*1000,"#,##0")</f>
        <v>229,831</v>
      </c>
      <c r="R234" s="12" t="str">
        <f>TEXT(VALUE(Table1[[#This Row],[Content.Column8]])*1000,"#,##0")</f>
        <v>132,973</v>
      </c>
      <c r="S234" s="12" t="str">
        <f>TEXT(VALUE(Table1[[#This Row],[Content.Column9]])*1000,"#,##0")</f>
        <v>362,805</v>
      </c>
      <c r="T234" s="12" t="str">
        <f>TEXT(VALUE(Table1[[#This Row],[Content.Column10]])*1000,"#,##0")</f>
        <v>382,122</v>
      </c>
      <c r="U234" s="13" t="str">
        <f>TEXT(VALUE(Table1[[#This Row],[Content.Column11]])*1000,"#,##0")</f>
        <v>1,066,869</v>
      </c>
      <c r="V234" s="13" t="str">
        <f>TEXT(VALUE(Table1[[#This Row],[Content.Column12]])*1000,"#,##0")</f>
        <v>477,733</v>
      </c>
      <c r="W234" s="13" t="str">
        <f>TEXT(VALUE(Table1[[#This Row],[Content.Column13]])*1000,"#,##0")</f>
        <v>1,544,603</v>
      </c>
      <c r="X234" s="13" t="str">
        <f>TEXT(VALUE(Table1[[#This Row],[Content.Column14]])*1000,"#,##0")</f>
        <v>1,599,945</v>
      </c>
      <c r="Y234" s="14" t="str">
        <f>TEXT(VALUE(Table1[[#This Row],[Content.Column3]])*1000,"#,##0")</f>
        <v>1,296,700</v>
      </c>
      <c r="Z234" s="14" t="str">
        <f>TEXT(VALUE(Table1[[#This Row],[Content.Column4]])*1000,"#,##0")</f>
        <v>610,706</v>
      </c>
      <c r="AA234" s="14" t="str">
        <f>TEXT(VALUE(Table1[[#This Row],[Content.Column5]])*1000,"#,##0")</f>
        <v>1,907,408</v>
      </c>
      <c r="AB234" s="14" t="str">
        <f>TEXT(VALUE(Table1[[#This Row],[Content.Column6]])*1000,"#,##0")</f>
        <v>1,982,068</v>
      </c>
    </row>
    <row r="235" spans="1:28" x14ac:dyDescent="0.3">
      <c r="A235" t="s">
        <v>104</v>
      </c>
      <c r="B235" t="s">
        <v>105</v>
      </c>
      <c r="C235" s="6">
        <v>1586.8050000000001</v>
      </c>
      <c r="D235" s="1">
        <v>753.13099999999997</v>
      </c>
      <c r="E235" s="1">
        <v>2339.9360000000001</v>
      </c>
      <c r="F235" s="1">
        <v>2431.5349999999999</v>
      </c>
      <c r="G235" s="2">
        <v>289.21199999999999</v>
      </c>
      <c r="H235" s="2">
        <v>198.203</v>
      </c>
      <c r="I235" s="2">
        <v>487.41500000000002</v>
      </c>
      <c r="J235" s="2">
        <v>511.13099999999997</v>
      </c>
      <c r="K235" s="3">
        <v>1297.5930000000001</v>
      </c>
      <c r="L235" s="3">
        <v>554.928</v>
      </c>
      <c r="M235" s="3">
        <v>1852.521</v>
      </c>
      <c r="N235" s="3">
        <v>1920.404</v>
      </c>
      <c r="O235">
        <v>2013</v>
      </c>
      <c r="Q235" s="12" t="str">
        <f>TEXT(VALUE(Table1[[#This Row],[Content.Column7]])*1000,"#,##0")</f>
        <v>289,212</v>
      </c>
      <c r="R235" s="12" t="str">
        <f>TEXT(VALUE(Table1[[#This Row],[Content.Column8]])*1000,"#,##0")</f>
        <v>198,203</v>
      </c>
      <c r="S235" s="12" t="str">
        <f>TEXT(VALUE(Table1[[#This Row],[Content.Column9]])*1000,"#,##0")</f>
        <v>487,415</v>
      </c>
      <c r="T235" s="12" t="str">
        <f>TEXT(VALUE(Table1[[#This Row],[Content.Column10]])*1000,"#,##0")</f>
        <v>511,131</v>
      </c>
      <c r="U235" s="13" t="str">
        <f>TEXT(VALUE(Table1[[#This Row],[Content.Column11]])*1000,"#,##0")</f>
        <v>1,297,593</v>
      </c>
      <c r="V235" s="13" t="str">
        <f>TEXT(VALUE(Table1[[#This Row],[Content.Column12]])*1000,"#,##0")</f>
        <v>554,928</v>
      </c>
      <c r="W235" s="13" t="str">
        <f>TEXT(VALUE(Table1[[#This Row],[Content.Column13]])*1000,"#,##0")</f>
        <v>1,852,521</v>
      </c>
      <c r="X235" s="13" t="str">
        <f>TEXT(VALUE(Table1[[#This Row],[Content.Column14]])*1000,"#,##0")</f>
        <v>1,920,404</v>
      </c>
      <c r="Y235" s="14" t="str">
        <f>TEXT(VALUE(Table1[[#This Row],[Content.Column3]])*1000,"#,##0")</f>
        <v>1,586,805</v>
      </c>
      <c r="Z235" s="14" t="str">
        <f>TEXT(VALUE(Table1[[#This Row],[Content.Column4]])*1000,"#,##0")</f>
        <v>753,131</v>
      </c>
      <c r="AA235" s="14" t="str">
        <f>TEXT(VALUE(Table1[[#This Row],[Content.Column5]])*1000,"#,##0")</f>
        <v>2,339,936</v>
      </c>
      <c r="AB235" s="14" t="str">
        <f>TEXT(VALUE(Table1[[#This Row],[Content.Column6]])*1000,"#,##0")</f>
        <v>2,431,535</v>
      </c>
    </row>
    <row r="236" spans="1:28" x14ac:dyDescent="0.3">
      <c r="A236" t="s">
        <v>106</v>
      </c>
      <c r="B236" t="s">
        <v>107</v>
      </c>
      <c r="C236" s="6">
        <v>1601.0139999999999</v>
      </c>
      <c r="D236" s="1">
        <v>846.04499999999996</v>
      </c>
      <c r="E236" s="1">
        <v>2447.06</v>
      </c>
      <c r="F236" s="1">
        <v>2552.6790000000001</v>
      </c>
      <c r="G236" s="2">
        <v>256.029</v>
      </c>
      <c r="H236" s="2">
        <v>197.679</v>
      </c>
      <c r="I236" s="2">
        <v>453.70800000000003</v>
      </c>
      <c r="J236" s="2">
        <v>472.85199999999998</v>
      </c>
      <c r="K236" s="3">
        <v>1344.9849999999999</v>
      </c>
      <c r="L236" s="3">
        <v>648.36599999999999</v>
      </c>
      <c r="M236" s="3">
        <v>1993.3520000000001</v>
      </c>
      <c r="N236" s="3">
        <v>2079.8270000000002</v>
      </c>
      <c r="O236">
        <v>2013</v>
      </c>
      <c r="Q236" s="12" t="str">
        <f>TEXT(VALUE(Table1[[#This Row],[Content.Column7]])*1000,"#,##0")</f>
        <v>256,029</v>
      </c>
      <c r="R236" s="12" t="str">
        <f>TEXT(VALUE(Table1[[#This Row],[Content.Column8]])*1000,"#,##0")</f>
        <v>197,679</v>
      </c>
      <c r="S236" s="12" t="str">
        <f>TEXT(VALUE(Table1[[#This Row],[Content.Column9]])*1000,"#,##0")</f>
        <v>453,708</v>
      </c>
      <c r="T236" s="12" t="str">
        <f>TEXT(VALUE(Table1[[#This Row],[Content.Column10]])*1000,"#,##0")</f>
        <v>472,852</v>
      </c>
      <c r="U236" s="13" t="str">
        <f>TEXT(VALUE(Table1[[#This Row],[Content.Column11]])*1000,"#,##0")</f>
        <v>1,344,985</v>
      </c>
      <c r="V236" s="13" t="str">
        <f>TEXT(VALUE(Table1[[#This Row],[Content.Column12]])*1000,"#,##0")</f>
        <v>648,366</v>
      </c>
      <c r="W236" s="13" t="str">
        <f>TEXT(VALUE(Table1[[#This Row],[Content.Column13]])*1000,"#,##0")</f>
        <v>1,993,352</v>
      </c>
      <c r="X236" s="13" t="str">
        <f>TEXT(VALUE(Table1[[#This Row],[Content.Column14]])*1000,"#,##0")</f>
        <v>2,079,827</v>
      </c>
      <c r="Y236" s="14" t="str">
        <f>TEXT(VALUE(Table1[[#This Row],[Content.Column3]])*1000,"#,##0")</f>
        <v>1,601,014</v>
      </c>
      <c r="Z236" s="14" t="str">
        <f>TEXT(VALUE(Table1[[#This Row],[Content.Column4]])*1000,"#,##0")</f>
        <v>846,045</v>
      </c>
      <c r="AA236" s="14" t="str">
        <f>TEXT(VALUE(Table1[[#This Row],[Content.Column5]])*1000,"#,##0")</f>
        <v>2,447,060</v>
      </c>
      <c r="AB236" s="14" t="str">
        <f>TEXT(VALUE(Table1[[#This Row],[Content.Column6]])*1000,"#,##0")</f>
        <v>2,552,679</v>
      </c>
    </row>
    <row r="237" spans="1:28" x14ac:dyDescent="0.3">
      <c r="A237" t="s">
        <v>108</v>
      </c>
      <c r="B237" t="s">
        <v>109</v>
      </c>
      <c r="C237" s="6">
        <v>3346.5189999999998</v>
      </c>
      <c r="D237" s="1">
        <v>1213.3630000000001</v>
      </c>
      <c r="E237" s="1">
        <v>4559.8779999999997</v>
      </c>
      <c r="F237" s="1">
        <v>4706.9830000000002</v>
      </c>
      <c r="G237" s="2">
        <v>549.45100000000002</v>
      </c>
      <c r="H237" s="2">
        <v>203.857</v>
      </c>
      <c r="I237" s="2">
        <v>753.30899999999997</v>
      </c>
      <c r="J237" s="2">
        <v>756.90099999999995</v>
      </c>
      <c r="K237" s="3">
        <v>2797.0680000000002</v>
      </c>
      <c r="L237" s="3">
        <v>1009.506</v>
      </c>
      <c r="M237" s="3">
        <v>3806.569</v>
      </c>
      <c r="N237" s="3">
        <v>3950.0830000000001</v>
      </c>
      <c r="O237">
        <v>2013</v>
      </c>
      <c r="Q237" s="12" t="str">
        <f>TEXT(VALUE(Table1[[#This Row],[Content.Column7]])*1000,"#,##0")</f>
        <v>549,451</v>
      </c>
      <c r="R237" s="12" t="str">
        <f>TEXT(VALUE(Table1[[#This Row],[Content.Column8]])*1000,"#,##0")</f>
        <v>203,857</v>
      </c>
      <c r="S237" s="12" t="str">
        <f>TEXT(VALUE(Table1[[#This Row],[Content.Column9]])*1000,"#,##0")</f>
        <v>753,309</v>
      </c>
      <c r="T237" s="12" t="str">
        <f>TEXT(VALUE(Table1[[#This Row],[Content.Column10]])*1000,"#,##0")</f>
        <v>756,901</v>
      </c>
      <c r="U237" s="13" t="str">
        <f>TEXT(VALUE(Table1[[#This Row],[Content.Column11]])*1000,"#,##0")</f>
        <v>2,797,068</v>
      </c>
      <c r="V237" s="13" t="str">
        <f>TEXT(VALUE(Table1[[#This Row],[Content.Column12]])*1000,"#,##0")</f>
        <v>1,009,506</v>
      </c>
      <c r="W237" s="13" t="str">
        <f>TEXT(VALUE(Table1[[#This Row],[Content.Column13]])*1000,"#,##0")</f>
        <v>3,806,569</v>
      </c>
      <c r="X237" s="13" t="str">
        <f>TEXT(VALUE(Table1[[#This Row],[Content.Column14]])*1000,"#,##0")</f>
        <v>3,950,083</v>
      </c>
      <c r="Y237" s="14" t="str">
        <f>TEXT(VALUE(Table1[[#This Row],[Content.Column3]])*1000,"#,##0")</f>
        <v>3,346,519</v>
      </c>
      <c r="Z237" s="14" t="str">
        <f>TEXT(VALUE(Table1[[#This Row],[Content.Column4]])*1000,"#,##0")</f>
        <v>1,213,363</v>
      </c>
      <c r="AA237" s="14" t="str">
        <f>TEXT(VALUE(Table1[[#This Row],[Content.Column5]])*1000,"#,##0")</f>
        <v>4,559,878</v>
      </c>
      <c r="AB237" s="14" t="str">
        <f>TEXT(VALUE(Table1[[#This Row],[Content.Column6]])*1000,"#,##0")</f>
        <v>4,706,983</v>
      </c>
    </row>
    <row r="238" spans="1:28" x14ac:dyDescent="0.3">
      <c r="A238" t="s">
        <v>110</v>
      </c>
      <c r="B238" t="s">
        <v>111</v>
      </c>
      <c r="C238" s="6">
        <v>2545.4780000000001</v>
      </c>
      <c r="D238" s="1">
        <v>1279.154</v>
      </c>
      <c r="E238" s="1">
        <v>3824.6329999999998</v>
      </c>
      <c r="F238" s="1">
        <v>3975.2040000000002</v>
      </c>
      <c r="G238" s="2">
        <v>396.46600000000001</v>
      </c>
      <c r="H238" s="2">
        <v>250.721</v>
      </c>
      <c r="I238" s="2">
        <v>647.18700000000001</v>
      </c>
      <c r="J238" s="2">
        <v>668.43200000000002</v>
      </c>
      <c r="K238" s="3">
        <v>2149.0120000000002</v>
      </c>
      <c r="L238" s="3">
        <v>1028.433</v>
      </c>
      <c r="M238" s="3">
        <v>3177.4459999999999</v>
      </c>
      <c r="N238" s="3">
        <v>3306.7719999999999</v>
      </c>
      <c r="O238">
        <v>2013</v>
      </c>
      <c r="Q238" s="12" t="str">
        <f>TEXT(VALUE(Table1[[#This Row],[Content.Column7]])*1000,"#,##0")</f>
        <v>396,466</v>
      </c>
      <c r="R238" s="12" t="str">
        <f>TEXT(VALUE(Table1[[#This Row],[Content.Column8]])*1000,"#,##0")</f>
        <v>250,721</v>
      </c>
      <c r="S238" s="12" t="str">
        <f>TEXT(VALUE(Table1[[#This Row],[Content.Column9]])*1000,"#,##0")</f>
        <v>647,187</v>
      </c>
      <c r="T238" s="12" t="str">
        <f>TEXT(VALUE(Table1[[#This Row],[Content.Column10]])*1000,"#,##0")</f>
        <v>668,432</v>
      </c>
      <c r="U238" s="13" t="str">
        <f>TEXT(VALUE(Table1[[#This Row],[Content.Column11]])*1000,"#,##0")</f>
        <v>2,149,012</v>
      </c>
      <c r="V238" s="13" t="str">
        <f>TEXT(VALUE(Table1[[#This Row],[Content.Column12]])*1000,"#,##0")</f>
        <v>1,028,433</v>
      </c>
      <c r="W238" s="13" t="str">
        <f>TEXT(VALUE(Table1[[#This Row],[Content.Column13]])*1000,"#,##0")</f>
        <v>3,177,446</v>
      </c>
      <c r="X238" s="13" t="str">
        <f>TEXT(VALUE(Table1[[#This Row],[Content.Column14]])*1000,"#,##0")</f>
        <v>3,306,772</v>
      </c>
      <c r="Y238" s="14" t="str">
        <f>TEXT(VALUE(Table1[[#This Row],[Content.Column3]])*1000,"#,##0")</f>
        <v>2,545,478</v>
      </c>
      <c r="Z238" s="14" t="str">
        <f>TEXT(VALUE(Table1[[#This Row],[Content.Column4]])*1000,"#,##0")</f>
        <v>1,279,154</v>
      </c>
      <c r="AA238" s="14" t="str">
        <f>TEXT(VALUE(Table1[[#This Row],[Content.Column5]])*1000,"#,##0")</f>
        <v>3,824,633</v>
      </c>
      <c r="AB238" s="14" t="str">
        <f>TEXT(VALUE(Table1[[#This Row],[Content.Column6]])*1000,"#,##0")</f>
        <v>3,975,204</v>
      </c>
    </row>
    <row r="239" spans="1:28" x14ac:dyDescent="0.3">
      <c r="A239" t="s">
        <v>112</v>
      </c>
      <c r="B239" t="s">
        <v>113</v>
      </c>
      <c r="C239" s="6">
        <v>1431.538</v>
      </c>
      <c r="D239" s="1">
        <v>834.35500000000002</v>
      </c>
      <c r="E239" s="1">
        <v>2265.8919999999998</v>
      </c>
      <c r="F239" s="1">
        <v>2394.0990000000002</v>
      </c>
      <c r="G239" s="2">
        <v>261.07900000000001</v>
      </c>
      <c r="H239" s="2">
        <v>192.71799999999999</v>
      </c>
      <c r="I239" s="2">
        <v>453.79700000000003</v>
      </c>
      <c r="J239" s="2">
        <v>496.61700000000002</v>
      </c>
      <c r="K239" s="3">
        <v>1170.4590000000001</v>
      </c>
      <c r="L239" s="3">
        <v>641.63699999999994</v>
      </c>
      <c r="M239" s="3">
        <v>1812.096</v>
      </c>
      <c r="N239" s="3">
        <v>1897.482</v>
      </c>
      <c r="O239">
        <v>2013</v>
      </c>
      <c r="Q239" s="12" t="str">
        <f>TEXT(VALUE(Table1[[#This Row],[Content.Column7]])*1000,"#,##0")</f>
        <v>261,079</v>
      </c>
      <c r="R239" s="12" t="str">
        <f>TEXT(VALUE(Table1[[#This Row],[Content.Column8]])*1000,"#,##0")</f>
        <v>192,718</v>
      </c>
      <c r="S239" s="12" t="str">
        <f>TEXT(VALUE(Table1[[#This Row],[Content.Column9]])*1000,"#,##0")</f>
        <v>453,797</v>
      </c>
      <c r="T239" s="12" t="str">
        <f>TEXT(VALUE(Table1[[#This Row],[Content.Column10]])*1000,"#,##0")</f>
        <v>496,617</v>
      </c>
      <c r="U239" s="13" t="str">
        <f>TEXT(VALUE(Table1[[#This Row],[Content.Column11]])*1000,"#,##0")</f>
        <v>1,170,459</v>
      </c>
      <c r="V239" s="13" t="str">
        <f>TEXT(VALUE(Table1[[#This Row],[Content.Column12]])*1000,"#,##0")</f>
        <v>641,637</v>
      </c>
      <c r="W239" s="13" t="str">
        <f>TEXT(VALUE(Table1[[#This Row],[Content.Column13]])*1000,"#,##0")</f>
        <v>1,812,096</v>
      </c>
      <c r="X239" s="13" t="str">
        <f>TEXT(VALUE(Table1[[#This Row],[Content.Column14]])*1000,"#,##0")</f>
        <v>1,897,482</v>
      </c>
      <c r="Y239" s="14" t="str">
        <f>TEXT(VALUE(Table1[[#This Row],[Content.Column3]])*1000,"#,##0")</f>
        <v>1,431,538</v>
      </c>
      <c r="Z239" s="14" t="str">
        <f>TEXT(VALUE(Table1[[#This Row],[Content.Column4]])*1000,"#,##0")</f>
        <v>834,355</v>
      </c>
      <c r="AA239" s="14" t="str">
        <f>TEXT(VALUE(Table1[[#This Row],[Content.Column5]])*1000,"#,##0")</f>
        <v>2,265,892</v>
      </c>
      <c r="AB239" s="14" t="str">
        <f>TEXT(VALUE(Table1[[#This Row],[Content.Column6]])*1000,"#,##0")</f>
        <v>2,394,099</v>
      </c>
    </row>
    <row r="240" spans="1:28" x14ac:dyDescent="0.3">
      <c r="A240" t="s">
        <v>114</v>
      </c>
      <c r="B240" t="s">
        <v>115</v>
      </c>
      <c r="C240" s="6">
        <v>767.779</v>
      </c>
      <c r="D240" s="1">
        <v>419.39400000000001</v>
      </c>
      <c r="E240" s="1">
        <v>1187.172</v>
      </c>
      <c r="F240" s="1">
        <v>1274.941</v>
      </c>
      <c r="G240" s="2">
        <v>206.916</v>
      </c>
      <c r="H240" s="2">
        <v>139.56700000000001</v>
      </c>
      <c r="I240" s="2">
        <v>346.483</v>
      </c>
      <c r="J240" s="2">
        <v>387.44900000000001</v>
      </c>
      <c r="K240" s="3">
        <v>560.86300000000006</v>
      </c>
      <c r="L240" s="3">
        <v>279.827</v>
      </c>
      <c r="M240" s="3">
        <v>840.68899999999996</v>
      </c>
      <c r="N240" s="3">
        <v>887.49300000000005</v>
      </c>
      <c r="O240">
        <v>2013</v>
      </c>
      <c r="Q240" s="12" t="str">
        <f>TEXT(VALUE(Table1[[#This Row],[Content.Column7]])*1000,"#,##0")</f>
        <v>206,916</v>
      </c>
      <c r="R240" s="12" t="str">
        <f>TEXT(VALUE(Table1[[#This Row],[Content.Column8]])*1000,"#,##0")</f>
        <v>139,567</v>
      </c>
      <c r="S240" s="12" t="str">
        <f>TEXT(VALUE(Table1[[#This Row],[Content.Column9]])*1000,"#,##0")</f>
        <v>346,483</v>
      </c>
      <c r="T240" s="12" t="str">
        <f>TEXT(VALUE(Table1[[#This Row],[Content.Column10]])*1000,"#,##0")</f>
        <v>387,449</v>
      </c>
      <c r="U240" s="13" t="str">
        <f>TEXT(VALUE(Table1[[#This Row],[Content.Column11]])*1000,"#,##0")</f>
        <v>560,863</v>
      </c>
      <c r="V240" s="13" t="str">
        <f>TEXT(VALUE(Table1[[#This Row],[Content.Column12]])*1000,"#,##0")</f>
        <v>279,827</v>
      </c>
      <c r="W240" s="13" t="str">
        <f>TEXT(VALUE(Table1[[#This Row],[Content.Column13]])*1000,"#,##0")</f>
        <v>840,689</v>
      </c>
      <c r="X240" s="13" t="str">
        <f>TEXT(VALUE(Table1[[#This Row],[Content.Column14]])*1000,"#,##0")</f>
        <v>887,493</v>
      </c>
      <c r="Y240" s="14" t="str">
        <f>TEXT(VALUE(Table1[[#This Row],[Content.Column3]])*1000,"#,##0")</f>
        <v>767,779</v>
      </c>
      <c r="Z240" s="14" t="str">
        <f>TEXT(VALUE(Table1[[#This Row],[Content.Column4]])*1000,"#,##0")</f>
        <v>419,394</v>
      </c>
      <c r="AA240" s="14" t="str">
        <f>TEXT(VALUE(Table1[[#This Row],[Content.Column5]])*1000,"#,##0")</f>
        <v>1,187,172</v>
      </c>
      <c r="AB240" s="14" t="str">
        <f>TEXT(VALUE(Table1[[#This Row],[Content.Column6]])*1000,"#,##0")</f>
        <v>1,274,941</v>
      </c>
    </row>
    <row r="241" spans="1:28" x14ac:dyDescent="0.3">
      <c r="A241" t="s">
        <v>116</v>
      </c>
      <c r="B241" t="s">
        <v>117</v>
      </c>
      <c r="C241" s="6">
        <v>1564.0550000000001</v>
      </c>
      <c r="D241" s="1">
        <v>784.32799999999997</v>
      </c>
      <c r="E241" s="1">
        <v>2348.3820000000001</v>
      </c>
      <c r="F241" s="1">
        <v>2461.0549999999998</v>
      </c>
      <c r="G241" s="2">
        <v>392.78</v>
      </c>
      <c r="H241" s="2">
        <v>238.20500000000001</v>
      </c>
      <c r="I241" s="2">
        <v>630.98500000000001</v>
      </c>
      <c r="J241" s="2">
        <v>670.81100000000004</v>
      </c>
      <c r="K241" s="3">
        <v>1171.2750000000001</v>
      </c>
      <c r="L241" s="3">
        <v>546.12300000000005</v>
      </c>
      <c r="M241" s="3">
        <v>1717.3969999999999</v>
      </c>
      <c r="N241" s="3">
        <v>1790.2439999999999</v>
      </c>
      <c r="O241">
        <v>2013</v>
      </c>
      <c r="Q241" s="12" t="str">
        <f>TEXT(VALUE(Table1[[#This Row],[Content.Column7]])*1000,"#,##0")</f>
        <v>392,780</v>
      </c>
      <c r="R241" s="12" t="str">
        <f>TEXT(VALUE(Table1[[#This Row],[Content.Column8]])*1000,"#,##0")</f>
        <v>238,205</v>
      </c>
      <c r="S241" s="12" t="str">
        <f>TEXT(VALUE(Table1[[#This Row],[Content.Column9]])*1000,"#,##0")</f>
        <v>630,985</v>
      </c>
      <c r="T241" s="12" t="str">
        <f>TEXT(VALUE(Table1[[#This Row],[Content.Column10]])*1000,"#,##0")</f>
        <v>670,811</v>
      </c>
      <c r="U241" s="13" t="str">
        <f>TEXT(VALUE(Table1[[#This Row],[Content.Column11]])*1000,"#,##0")</f>
        <v>1,171,275</v>
      </c>
      <c r="V241" s="13" t="str">
        <f>TEXT(VALUE(Table1[[#This Row],[Content.Column12]])*1000,"#,##0")</f>
        <v>546,123</v>
      </c>
      <c r="W241" s="13" t="str">
        <f>TEXT(VALUE(Table1[[#This Row],[Content.Column13]])*1000,"#,##0")</f>
        <v>1,717,397</v>
      </c>
      <c r="X241" s="13" t="str">
        <f>TEXT(VALUE(Table1[[#This Row],[Content.Column14]])*1000,"#,##0")</f>
        <v>1,790,244</v>
      </c>
      <c r="Y241" s="14" t="str">
        <f>TEXT(VALUE(Table1[[#This Row],[Content.Column3]])*1000,"#,##0")</f>
        <v>1,564,055</v>
      </c>
      <c r="Z241" s="14" t="str">
        <f>TEXT(VALUE(Table1[[#This Row],[Content.Column4]])*1000,"#,##0")</f>
        <v>784,328</v>
      </c>
      <c r="AA241" s="14" t="str">
        <f>TEXT(VALUE(Table1[[#This Row],[Content.Column5]])*1000,"#,##0")</f>
        <v>2,348,382</v>
      </c>
      <c r="AB241" s="14" t="str">
        <f>TEXT(VALUE(Table1[[#This Row],[Content.Column6]])*1000,"#,##0")</f>
        <v>2,461,055</v>
      </c>
    </row>
    <row r="242" spans="1:28" x14ac:dyDescent="0.3">
      <c r="A242" t="s">
        <v>118</v>
      </c>
      <c r="B242" t="s">
        <v>119</v>
      </c>
      <c r="C242" s="6">
        <v>15995.717000000001</v>
      </c>
      <c r="D242" s="1">
        <v>7565.0559999999996</v>
      </c>
      <c r="E242" s="1">
        <v>23560.772000000001</v>
      </c>
      <c r="F242" s="1">
        <v>24481.458999999999</v>
      </c>
      <c r="G242" s="2">
        <v>2839.9450000000002</v>
      </c>
      <c r="H242" s="2">
        <v>1691.915</v>
      </c>
      <c r="I242" s="2">
        <v>4531.8620000000001</v>
      </c>
      <c r="J242" s="2">
        <v>4712.46</v>
      </c>
      <c r="K242" s="3">
        <v>13155.772000000001</v>
      </c>
      <c r="L242" s="3">
        <v>5873.1409999999996</v>
      </c>
      <c r="M242" s="3">
        <v>19028.91</v>
      </c>
      <c r="N242" s="3">
        <v>19768.998</v>
      </c>
      <c r="O242">
        <v>2013</v>
      </c>
      <c r="Q242" s="12" t="str">
        <f>TEXT(VALUE(Table1[[#This Row],[Content.Column7]])*1000,"#,##0")</f>
        <v>2,839,945</v>
      </c>
      <c r="R242" s="12" t="str">
        <f>TEXT(VALUE(Table1[[#This Row],[Content.Column8]])*1000,"#,##0")</f>
        <v>1,691,915</v>
      </c>
      <c r="S242" s="12" t="str">
        <f>TEXT(VALUE(Table1[[#This Row],[Content.Column9]])*1000,"#,##0")</f>
        <v>4,531,862</v>
      </c>
      <c r="T242" s="12" t="str">
        <f>TEXT(VALUE(Table1[[#This Row],[Content.Column10]])*1000,"#,##0")</f>
        <v>4,712,460</v>
      </c>
      <c r="U242" s="13" t="str">
        <f>TEXT(VALUE(Table1[[#This Row],[Content.Column11]])*1000,"#,##0")</f>
        <v>13,155,772</v>
      </c>
      <c r="V242" s="13" t="str">
        <f>TEXT(VALUE(Table1[[#This Row],[Content.Column12]])*1000,"#,##0")</f>
        <v>5,873,141</v>
      </c>
      <c r="W242" s="13" t="str">
        <f>TEXT(VALUE(Table1[[#This Row],[Content.Column13]])*1000,"#,##0")</f>
        <v>19,028,910</v>
      </c>
      <c r="X242" s="13" t="str">
        <f>TEXT(VALUE(Table1[[#This Row],[Content.Column14]])*1000,"#,##0")</f>
        <v>19,768,998</v>
      </c>
      <c r="Y242" s="14" t="str">
        <f>TEXT(VALUE(Table1[[#This Row],[Content.Column3]])*1000,"#,##0")</f>
        <v>15,995,717</v>
      </c>
      <c r="Z242" s="14" t="str">
        <f>TEXT(VALUE(Table1[[#This Row],[Content.Column4]])*1000,"#,##0")</f>
        <v>7,565,056</v>
      </c>
      <c r="AA242" s="14" t="str">
        <f>TEXT(VALUE(Table1[[#This Row],[Content.Column5]])*1000,"#,##0")</f>
        <v>23,560,772</v>
      </c>
      <c r="AB242" s="14" t="str">
        <f>TEXT(VALUE(Table1[[#This Row],[Content.Column6]])*1000,"#,##0")</f>
        <v>24,481,459</v>
      </c>
    </row>
    <row r="243" spans="1:28" x14ac:dyDescent="0.3">
      <c r="A243" t="s">
        <v>120</v>
      </c>
      <c r="B243" t="s">
        <v>121</v>
      </c>
      <c r="C243" s="6">
        <v>18327.55</v>
      </c>
      <c r="D243" s="1">
        <v>8768.7780000000002</v>
      </c>
      <c r="E243" s="1">
        <v>27096.327000000001</v>
      </c>
      <c r="F243" s="1">
        <v>28217.455999999998</v>
      </c>
      <c r="G243" s="2">
        <v>3439.6410000000001</v>
      </c>
      <c r="H243" s="2">
        <v>2069.6869999999999</v>
      </c>
      <c r="I243" s="2">
        <v>5509.33</v>
      </c>
      <c r="J243" s="2">
        <v>5770.72</v>
      </c>
      <c r="K243" s="3">
        <v>14887.909</v>
      </c>
      <c r="L243" s="3">
        <v>6699.0910000000003</v>
      </c>
      <c r="M243" s="3">
        <v>21586.996999999999</v>
      </c>
      <c r="N243" s="3">
        <v>22446.735000000001</v>
      </c>
      <c r="O243">
        <v>2013</v>
      </c>
      <c r="Q243" s="12" t="str">
        <f>TEXT(VALUE(Table1[[#This Row],[Content.Column7]])*1000,"#,##0")</f>
        <v>3,439,641</v>
      </c>
      <c r="R243" s="12" t="str">
        <f>TEXT(VALUE(Table1[[#This Row],[Content.Column8]])*1000,"#,##0")</f>
        <v>2,069,687</v>
      </c>
      <c r="S243" s="12" t="str">
        <f>TEXT(VALUE(Table1[[#This Row],[Content.Column9]])*1000,"#,##0")</f>
        <v>5,509,330</v>
      </c>
      <c r="T243" s="12" t="str">
        <f>TEXT(VALUE(Table1[[#This Row],[Content.Column10]])*1000,"#,##0")</f>
        <v>5,770,720</v>
      </c>
      <c r="U243" s="13" t="str">
        <f>TEXT(VALUE(Table1[[#This Row],[Content.Column11]])*1000,"#,##0")</f>
        <v>14,887,909</v>
      </c>
      <c r="V243" s="13" t="str">
        <f>TEXT(VALUE(Table1[[#This Row],[Content.Column12]])*1000,"#,##0")</f>
        <v>6,699,091</v>
      </c>
      <c r="W243" s="13" t="str">
        <f>TEXT(VALUE(Table1[[#This Row],[Content.Column13]])*1000,"#,##0")</f>
        <v>21,586,997</v>
      </c>
      <c r="X243" s="13" t="str">
        <f>TEXT(VALUE(Table1[[#This Row],[Content.Column14]])*1000,"#,##0")</f>
        <v>22,446,735</v>
      </c>
      <c r="Y243" s="14" t="str">
        <f>TEXT(VALUE(Table1[[#This Row],[Content.Column3]])*1000,"#,##0")</f>
        <v>18,327,550</v>
      </c>
      <c r="Z243" s="14" t="str">
        <f>TEXT(VALUE(Table1[[#This Row],[Content.Column4]])*1000,"#,##0")</f>
        <v>8,768,778</v>
      </c>
      <c r="AA243" s="14" t="str">
        <f>TEXT(VALUE(Table1[[#This Row],[Content.Column5]])*1000,"#,##0")</f>
        <v>27,096,327</v>
      </c>
      <c r="AB243" s="14" t="str">
        <f>TEXT(VALUE(Table1[[#This Row],[Content.Column6]])*1000,"#,##0")</f>
        <v>28,217,456</v>
      </c>
    </row>
    <row r="244" spans="1:28" x14ac:dyDescent="0.3">
      <c r="A244" t="s">
        <v>26</v>
      </c>
      <c r="B244" t="s">
        <v>27</v>
      </c>
      <c r="C244" s="6">
        <v>348.95800000000003</v>
      </c>
      <c r="D244" s="1">
        <v>51.204999999999998</v>
      </c>
      <c r="E244" s="1">
        <v>400.16300000000001</v>
      </c>
      <c r="F244" s="1">
        <v>413.505</v>
      </c>
      <c r="G244" s="2">
        <v>12.055</v>
      </c>
      <c r="H244" s="2">
        <v>2.0710000000000002</v>
      </c>
      <c r="I244" s="2">
        <v>14.125999999999999</v>
      </c>
      <c r="J244" s="2">
        <v>14.16</v>
      </c>
      <c r="K244" s="3">
        <v>336.90300000000002</v>
      </c>
      <c r="L244" s="3">
        <v>49.134</v>
      </c>
      <c r="M244" s="3">
        <v>386.03699999999998</v>
      </c>
      <c r="N244" s="3">
        <v>399.34500000000003</v>
      </c>
      <c r="O244">
        <v>2014</v>
      </c>
      <c r="Q244" s="12" t="str">
        <f>TEXT(VALUE(Table1[[#This Row],[Content.Column7]])*1000,"#,##0")</f>
        <v>12,055</v>
      </c>
      <c r="R244" s="12" t="str">
        <f>TEXT(VALUE(Table1[[#This Row],[Content.Column8]])*1000,"#,##0")</f>
        <v>2,071</v>
      </c>
      <c r="S244" s="12" t="str">
        <f>TEXT(VALUE(Table1[[#This Row],[Content.Column9]])*1000,"#,##0")</f>
        <v>14,126</v>
      </c>
      <c r="T244" s="12" t="str">
        <f>TEXT(VALUE(Table1[[#This Row],[Content.Column10]])*1000,"#,##0")</f>
        <v>14,160</v>
      </c>
      <c r="U244" s="13" t="str">
        <f>TEXT(VALUE(Table1[[#This Row],[Content.Column11]])*1000,"#,##0")</f>
        <v>336,903</v>
      </c>
      <c r="V244" s="13" t="str">
        <f>TEXT(VALUE(Table1[[#This Row],[Content.Column12]])*1000,"#,##0")</f>
        <v>49,134</v>
      </c>
      <c r="W244" s="13" t="str">
        <f>TEXT(VALUE(Table1[[#This Row],[Content.Column13]])*1000,"#,##0")</f>
        <v>386,037</v>
      </c>
      <c r="X244" s="13" t="str">
        <f>TEXT(VALUE(Table1[[#This Row],[Content.Column14]])*1000,"#,##0")</f>
        <v>399,345</v>
      </c>
      <c r="Y244" s="14" t="str">
        <f>TEXT(VALUE(Table1[[#This Row],[Content.Column3]])*1000,"#,##0")</f>
        <v>348,958</v>
      </c>
      <c r="Z244" s="14" t="str">
        <f>TEXT(VALUE(Table1[[#This Row],[Content.Column4]])*1000,"#,##0")</f>
        <v>51,205</v>
      </c>
      <c r="AA244" s="14" t="str">
        <f>TEXT(VALUE(Table1[[#This Row],[Content.Column5]])*1000,"#,##0")</f>
        <v>400,163</v>
      </c>
      <c r="AB244" s="14" t="str">
        <f>TEXT(VALUE(Table1[[#This Row],[Content.Column6]])*1000,"#,##0")</f>
        <v>413,505</v>
      </c>
    </row>
    <row r="245" spans="1:28" x14ac:dyDescent="0.3">
      <c r="A245" t="s">
        <v>28</v>
      </c>
      <c r="B245" t="s">
        <v>29</v>
      </c>
      <c r="C245" s="6">
        <v>34.295999999999999</v>
      </c>
      <c r="D245" s="1">
        <v>15.471</v>
      </c>
      <c r="E245" s="1">
        <v>49.767000000000003</v>
      </c>
      <c r="F245" s="1">
        <v>50.701000000000001</v>
      </c>
      <c r="G245" s="2">
        <v>6.3970000000000002</v>
      </c>
      <c r="H245" s="2">
        <v>4.3140000000000001</v>
      </c>
      <c r="I245" s="2">
        <v>10.711</v>
      </c>
      <c r="J245" s="2">
        <v>10.712999999999999</v>
      </c>
      <c r="K245" s="3">
        <v>27.899000000000001</v>
      </c>
      <c r="L245" s="3">
        <v>11.157</v>
      </c>
      <c r="M245" s="3">
        <v>39.055999999999997</v>
      </c>
      <c r="N245" s="3">
        <v>39.987000000000002</v>
      </c>
      <c r="O245">
        <v>2014</v>
      </c>
      <c r="Q245" s="12" t="str">
        <f>TEXT(VALUE(Table1[[#This Row],[Content.Column7]])*1000,"#,##0")</f>
        <v>6,397</v>
      </c>
      <c r="R245" s="12" t="str">
        <f>TEXT(VALUE(Table1[[#This Row],[Content.Column8]])*1000,"#,##0")</f>
        <v>4,314</v>
      </c>
      <c r="S245" s="12" t="str">
        <f>TEXT(VALUE(Table1[[#This Row],[Content.Column9]])*1000,"#,##0")</f>
        <v>10,711</v>
      </c>
      <c r="T245" s="12" t="str">
        <f>TEXT(VALUE(Table1[[#This Row],[Content.Column10]])*1000,"#,##0")</f>
        <v>10,713</v>
      </c>
      <c r="U245" s="13" t="str">
        <f>TEXT(VALUE(Table1[[#This Row],[Content.Column11]])*1000,"#,##0")</f>
        <v>27,899</v>
      </c>
      <c r="V245" s="13" t="str">
        <f>TEXT(VALUE(Table1[[#This Row],[Content.Column12]])*1000,"#,##0")</f>
        <v>11,157</v>
      </c>
      <c r="W245" s="13" t="str">
        <f>TEXT(VALUE(Table1[[#This Row],[Content.Column13]])*1000,"#,##0")</f>
        <v>39,056</v>
      </c>
      <c r="X245" s="13" t="str">
        <f>TEXT(VALUE(Table1[[#This Row],[Content.Column14]])*1000,"#,##0")</f>
        <v>39,987</v>
      </c>
      <c r="Y245" s="14" t="str">
        <f>TEXT(VALUE(Table1[[#This Row],[Content.Column3]])*1000,"#,##0")</f>
        <v>34,296</v>
      </c>
      <c r="Z245" s="14" t="str">
        <f>TEXT(VALUE(Table1[[#This Row],[Content.Column4]])*1000,"#,##0")</f>
        <v>15,471</v>
      </c>
      <c r="AA245" s="14" t="str">
        <f>TEXT(VALUE(Table1[[#This Row],[Content.Column5]])*1000,"#,##0")</f>
        <v>49,767</v>
      </c>
      <c r="AB245" s="14" t="str">
        <f>TEXT(VALUE(Table1[[#This Row],[Content.Column6]])*1000,"#,##0")</f>
        <v>50,701</v>
      </c>
    </row>
    <row r="246" spans="1:28" x14ac:dyDescent="0.3">
      <c r="A246" t="s">
        <v>30</v>
      </c>
      <c r="B246" t="s">
        <v>31</v>
      </c>
      <c r="C246" s="6">
        <v>81.435000000000002</v>
      </c>
      <c r="D246" s="1">
        <v>41.923999999999999</v>
      </c>
      <c r="E246" s="1">
        <v>123.36</v>
      </c>
      <c r="F246" s="1">
        <v>127.568</v>
      </c>
      <c r="G246" s="2">
        <v>15.301</v>
      </c>
      <c r="H246" s="2">
        <v>8.3089999999999993</v>
      </c>
      <c r="I246" s="2">
        <v>23.61</v>
      </c>
      <c r="J246" s="2">
        <v>23.763999999999999</v>
      </c>
      <c r="K246" s="3">
        <v>66.134</v>
      </c>
      <c r="L246" s="3">
        <v>33.615000000000002</v>
      </c>
      <c r="M246" s="3">
        <v>99.748999999999995</v>
      </c>
      <c r="N246" s="3">
        <v>103.804</v>
      </c>
      <c r="O246">
        <v>2014</v>
      </c>
      <c r="Q246" s="12" t="str">
        <f>TEXT(VALUE(Table1[[#This Row],[Content.Column7]])*1000,"#,##0")</f>
        <v>15,301</v>
      </c>
      <c r="R246" s="12" t="str">
        <f>TEXT(VALUE(Table1[[#This Row],[Content.Column8]])*1000,"#,##0")</f>
        <v>8,309</v>
      </c>
      <c r="S246" s="12" t="str">
        <f>TEXT(VALUE(Table1[[#This Row],[Content.Column9]])*1000,"#,##0")</f>
        <v>23,610</v>
      </c>
      <c r="T246" s="12" t="str">
        <f>TEXT(VALUE(Table1[[#This Row],[Content.Column10]])*1000,"#,##0")</f>
        <v>23,764</v>
      </c>
      <c r="U246" s="13" t="str">
        <f>TEXT(VALUE(Table1[[#This Row],[Content.Column11]])*1000,"#,##0")</f>
        <v>66,134</v>
      </c>
      <c r="V246" s="13" t="str">
        <f>TEXT(VALUE(Table1[[#This Row],[Content.Column12]])*1000,"#,##0")</f>
        <v>33,615</v>
      </c>
      <c r="W246" s="13" t="str">
        <f>TEXT(VALUE(Table1[[#This Row],[Content.Column13]])*1000,"#,##0")</f>
        <v>99,749</v>
      </c>
      <c r="X246" s="13" t="str">
        <f>TEXT(VALUE(Table1[[#This Row],[Content.Column14]])*1000,"#,##0")</f>
        <v>103,804</v>
      </c>
      <c r="Y246" s="14" t="str">
        <f>TEXT(VALUE(Table1[[#This Row],[Content.Column3]])*1000,"#,##0")</f>
        <v>81,435</v>
      </c>
      <c r="Z246" s="14" t="str">
        <f>TEXT(VALUE(Table1[[#This Row],[Content.Column4]])*1000,"#,##0")</f>
        <v>41,924</v>
      </c>
      <c r="AA246" s="14" t="str">
        <f>TEXT(VALUE(Table1[[#This Row],[Content.Column5]])*1000,"#,##0")</f>
        <v>123,360</v>
      </c>
      <c r="AB246" s="14" t="str">
        <f>TEXT(VALUE(Table1[[#This Row],[Content.Column6]])*1000,"#,##0")</f>
        <v>127,568</v>
      </c>
    </row>
    <row r="247" spans="1:28" x14ac:dyDescent="0.3">
      <c r="A247" t="s">
        <v>32</v>
      </c>
      <c r="B247" t="s">
        <v>33</v>
      </c>
      <c r="C247" s="6">
        <v>43.530999999999999</v>
      </c>
      <c r="D247" s="1">
        <v>24.510999999999999</v>
      </c>
      <c r="E247" s="1">
        <v>68.042000000000002</v>
      </c>
      <c r="F247" s="1">
        <v>69.912999999999997</v>
      </c>
      <c r="G247" s="2">
        <v>6.5629999999999997</v>
      </c>
      <c r="H247" s="2">
        <v>4.5540000000000003</v>
      </c>
      <c r="I247" s="2">
        <v>11.117000000000001</v>
      </c>
      <c r="J247" s="2">
        <v>11.132999999999999</v>
      </c>
      <c r="K247" s="3">
        <v>36.968000000000004</v>
      </c>
      <c r="L247" s="3">
        <v>19.957999999999998</v>
      </c>
      <c r="M247" s="3">
        <v>56.926000000000002</v>
      </c>
      <c r="N247" s="3">
        <v>58.78</v>
      </c>
      <c r="O247">
        <v>2014</v>
      </c>
      <c r="Q247" s="12" t="str">
        <f>TEXT(VALUE(Table1[[#This Row],[Content.Column7]])*1000,"#,##0")</f>
        <v>6,563</v>
      </c>
      <c r="R247" s="12" t="str">
        <f>TEXT(VALUE(Table1[[#This Row],[Content.Column8]])*1000,"#,##0")</f>
        <v>4,554</v>
      </c>
      <c r="S247" s="12" t="str">
        <f>TEXT(VALUE(Table1[[#This Row],[Content.Column9]])*1000,"#,##0")</f>
        <v>11,117</v>
      </c>
      <c r="T247" s="12" t="str">
        <f>TEXT(VALUE(Table1[[#This Row],[Content.Column10]])*1000,"#,##0")</f>
        <v>11,133</v>
      </c>
      <c r="U247" s="13" t="str">
        <f>TEXT(VALUE(Table1[[#This Row],[Content.Column11]])*1000,"#,##0")</f>
        <v>36,968</v>
      </c>
      <c r="V247" s="13" t="str">
        <f>TEXT(VALUE(Table1[[#This Row],[Content.Column12]])*1000,"#,##0")</f>
        <v>19,958</v>
      </c>
      <c r="W247" s="13" t="str">
        <f>TEXT(VALUE(Table1[[#This Row],[Content.Column13]])*1000,"#,##0")</f>
        <v>56,926</v>
      </c>
      <c r="X247" s="13" t="str">
        <f>TEXT(VALUE(Table1[[#This Row],[Content.Column14]])*1000,"#,##0")</f>
        <v>58,780</v>
      </c>
      <c r="Y247" s="14" t="str">
        <f>TEXT(VALUE(Table1[[#This Row],[Content.Column3]])*1000,"#,##0")</f>
        <v>43,531</v>
      </c>
      <c r="Z247" s="14" t="str">
        <f>TEXT(VALUE(Table1[[#This Row],[Content.Column4]])*1000,"#,##0")</f>
        <v>24,511</v>
      </c>
      <c r="AA247" s="14" t="str">
        <f>TEXT(VALUE(Table1[[#This Row],[Content.Column5]])*1000,"#,##0")</f>
        <v>68,042</v>
      </c>
      <c r="AB247" s="14" t="str">
        <f>TEXT(VALUE(Table1[[#This Row],[Content.Column6]])*1000,"#,##0")</f>
        <v>69,913</v>
      </c>
    </row>
    <row r="248" spans="1:28" x14ac:dyDescent="0.3">
      <c r="A248" t="s">
        <v>34</v>
      </c>
      <c r="B248" t="s">
        <v>35</v>
      </c>
      <c r="C248" s="6">
        <v>78.522999999999996</v>
      </c>
      <c r="D248" s="1">
        <v>33.444000000000003</v>
      </c>
      <c r="E248" s="1">
        <v>111.967</v>
      </c>
      <c r="F248" s="1">
        <v>114.658</v>
      </c>
      <c r="G248" s="2">
        <v>14.606</v>
      </c>
      <c r="H248" s="2">
        <v>5.61</v>
      </c>
      <c r="I248" s="2">
        <v>20.216000000000001</v>
      </c>
      <c r="J248" s="2">
        <v>20.238</v>
      </c>
      <c r="K248" s="3">
        <v>63.917000000000002</v>
      </c>
      <c r="L248" s="3">
        <v>27.834</v>
      </c>
      <c r="M248" s="3">
        <v>91.751000000000005</v>
      </c>
      <c r="N248" s="3">
        <v>94.42</v>
      </c>
      <c r="O248">
        <v>2014</v>
      </c>
      <c r="Q248" s="12" t="str">
        <f>TEXT(VALUE(Table1[[#This Row],[Content.Column7]])*1000,"#,##0")</f>
        <v>14,606</v>
      </c>
      <c r="R248" s="12" t="str">
        <f>TEXT(VALUE(Table1[[#This Row],[Content.Column8]])*1000,"#,##0")</f>
        <v>5,610</v>
      </c>
      <c r="S248" s="12" t="str">
        <f>TEXT(VALUE(Table1[[#This Row],[Content.Column9]])*1000,"#,##0")</f>
        <v>20,216</v>
      </c>
      <c r="T248" s="12" t="str">
        <f>TEXT(VALUE(Table1[[#This Row],[Content.Column10]])*1000,"#,##0")</f>
        <v>20,238</v>
      </c>
      <c r="U248" s="13" t="str">
        <f>TEXT(VALUE(Table1[[#This Row],[Content.Column11]])*1000,"#,##0")</f>
        <v>63,917</v>
      </c>
      <c r="V248" s="13" t="str">
        <f>TEXT(VALUE(Table1[[#This Row],[Content.Column12]])*1000,"#,##0")</f>
        <v>27,834</v>
      </c>
      <c r="W248" s="13" t="str">
        <f>TEXT(VALUE(Table1[[#This Row],[Content.Column13]])*1000,"#,##0")</f>
        <v>91,751</v>
      </c>
      <c r="X248" s="13" t="str">
        <f>TEXT(VALUE(Table1[[#This Row],[Content.Column14]])*1000,"#,##0")</f>
        <v>94,420</v>
      </c>
      <c r="Y248" s="14" t="str">
        <f>TEXT(VALUE(Table1[[#This Row],[Content.Column3]])*1000,"#,##0")</f>
        <v>78,523</v>
      </c>
      <c r="Z248" s="14" t="str">
        <f>TEXT(VALUE(Table1[[#This Row],[Content.Column4]])*1000,"#,##0")</f>
        <v>33,444</v>
      </c>
      <c r="AA248" s="14" t="str">
        <f>TEXT(VALUE(Table1[[#This Row],[Content.Column5]])*1000,"#,##0")</f>
        <v>111,967</v>
      </c>
      <c r="AB248" s="14" t="str">
        <f>TEXT(VALUE(Table1[[#This Row],[Content.Column6]])*1000,"#,##0")</f>
        <v>114,658</v>
      </c>
    </row>
    <row r="249" spans="1:28" x14ac:dyDescent="0.3">
      <c r="A249" t="s">
        <v>36</v>
      </c>
      <c r="B249" t="s">
        <v>37</v>
      </c>
      <c r="C249" s="6">
        <v>64.817999999999998</v>
      </c>
      <c r="D249" s="1">
        <v>38.252000000000002</v>
      </c>
      <c r="E249" s="1">
        <v>103.07</v>
      </c>
      <c r="F249" s="1">
        <v>106.063</v>
      </c>
      <c r="G249" s="2">
        <v>8.0109999999999992</v>
      </c>
      <c r="H249" s="2">
        <v>6.71</v>
      </c>
      <c r="I249" s="2">
        <v>14.722</v>
      </c>
      <c r="J249" s="2">
        <v>14.752000000000001</v>
      </c>
      <c r="K249" s="3">
        <v>56.807000000000002</v>
      </c>
      <c r="L249" s="3">
        <v>31.541</v>
      </c>
      <c r="M249" s="3">
        <v>88.347999999999999</v>
      </c>
      <c r="N249" s="3">
        <v>91.311000000000007</v>
      </c>
      <c r="O249">
        <v>2014</v>
      </c>
      <c r="Q249" s="12" t="str">
        <f>TEXT(VALUE(Table1[[#This Row],[Content.Column7]])*1000,"#,##0")</f>
        <v>8,011</v>
      </c>
      <c r="R249" s="12" t="str">
        <f>TEXT(VALUE(Table1[[#This Row],[Content.Column8]])*1000,"#,##0")</f>
        <v>6,710</v>
      </c>
      <c r="S249" s="12" t="str">
        <f>TEXT(VALUE(Table1[[#This Row],[Content.Column9]])*1000,"#,##0")</f>
        <v>14,722</v>
      </c>
      <c r="T249" s="12" t="str">
        <f>TEXT(VALUE(Table1[[#This Row],[Content.Column10]])*1000,"#,##0")</f>
        <v>14,752</v>
      </c>
      <c r="U249" s="13" t="str">
        <f>TEXT(VALUE(Table1[[#This Row],[Content.Column11]])*1000,"#,##0")</f>
        <v>56,807</v>
      </c>
      <c r="V249" s="13" t="str">
        <f>TEXT(VALUE(Table1[[#This Row],[Content.Column12]])*1000,"#,##0")</f>
        <v>31,541</v>
      </c>
      <c r="W249" s="13" t="str">
        <f>TEXT(VALUE(Table1[[#This Row],[Content.Column13]])*1000,"#,##0")</f>
        <v>88,348</v>
      </c>
      <c r="X249" s="13" t="str">
        <f>TEXT(VALUE(Table1[[#This Row],[Content.Column14]])*1000,"#,##0")</f>
        <v>91,311</v>
      </c>
      <c r="Y249" s="14" t="str">
        <f>TEXT(VALUE(Table1[[#This Row],[Content.Column3]])*1000,"#,##0")</f>
        <v>64,818</v>
      </c>
      <c r="Z249" s="14" t="str">
        <f>TEXT(VALUE(Table1[[#This Row],[Content.Column4]])*1000,"#,##0")</f>
        <v>38,252</v>
      </c>
      <c r="AA249" s="14" t="str">
        <f>TEXT(VALUE(Table1[[#This Row],[Content.Column5]])*1000,"#,##0")</f>
        <v>103,070</v>
      </c>
      <c r="AB249" s="14" t="str">
        <f>TEXT(VALUE(Table1[[#This Row],[Content.Column6]])*1000,"#,##0")</f>
        <v>106,063</v>
      </c>
    </row>
    <row r="250" spans="1:28" x14ac:dyDescent="0.3">
      <c r="A250" t="s">
        <v>38</v>
      </c>
      <c r="B250" t="s">
        <v>39</v>
      </c>
      <c r="C250" s="6">
        <v>256.22699999999998</v>
      </c>
      <c r="D250" s="1">
        <v>81.968000000000004</v>
      </c>
      <c r="E250" s="1">
        <v>338.19499999999999</v>
      </c>
      <c r="F250" s="1">
        <v>347.87900000000002</v>
      </c>
      <c r="G250" s="2">
        <v>35.475999999999999</v>
      </c>
      <c r="H250" s="2">
        <v>8.6129999999999995</v>
      </c>
      <c r="I250" s="2">
        <v>44.088999999999999</v>
      </c>
      <c r="J250" s="2">
        <v>44.116999999999997</v>
      </c>
      <c r="K250" s="3">
        <v>220.751</v>
      </c>
      <c r="L250" s="3">
        <v>73.355000000000004</v>
      </c>
      <c r="M250" s="3">
        <v>294.10599999999999</v>
      </c>
      <c r="N250" s="3">
        <v>303.762</v>
      </c>
      <c r="O250">
        <v>2014</v>
      </c>
      <c r="Q250" s="12" t="str">
        <f>TEXT(VALUE(Table1[[#This Row],[Content.Column7]])*1000,"#,##0")</f>
        <v>35,476</v>
      </c>
      <c r="R250" s="12" t="str">
        <f>TEXT(VALUE(Table1[[#This Row],[Content.Column8]])*1000,"#,##0")</f>
        <v>8,613</v>
      </c>
      <c r="S250" s="12" t="str">
        <f>TEXT(VALUE(Table1[[#This Row],[Content.Column9]])*1000,"#,##0")</f>
        <v>44,089</v>
      </c>
      <c r="T250" s="12" t="str">
        <f>TEXT(VALUE(Table1[[#This Row],[Content.Column10]])*1000,"#,##0")</f>
        <v>44,117</v>
      </c>
      <c r="U250" s="13" t="str">
        <f>TEXT(VALUE(Table1[[#This Row],[Content.Column11]])*1000,"#,##0")</f>
        <v>220,751</v>
      </c>
      <c r="V250" s="13" t="str">
        <f>TEXT(VALUE(Table1[[#This Row],[Content.Column12]])*1000,"#,##0")</f>
        <v>73,355</v>
      </c>
      <c r="W250" s="13" t="str">
        <f>TEXT(VALUE(Table1[[#This Row],[Content.Column13]])*1000,"#,##0")</f>
        <v>294,106</v>
      </c>
      <c r="X250" s="13" t="str">
        <f>TEXT(VALUE(Table1[[#This Row],[Content.Column14]])*1000,"#,##0")</f>
        <v>303,762</v>
      </c>
      <c r="Y250" s="14" t="str">
        <f>TEXT(VALUE(Table1[[#This Row],[Content.Column3]])*1000,"#,##0")</f>
        <v>256,227</v>
      </c>
      <c r="Z250" s="14" t="str">
        <f>TEXT(VALUE(Table1[[#This Row],[Content.Column4]])*1000,"#,##0")</f>
        <v>81,968</v>
      </c>
      <c r="AA250" s="14" t="str">
        <f>TEXT(VALUE(Table1[[#This Row],[Content.Column5]])*1000,"#,##0")</f>
        <v>338,195</v>
      </c>
      <c r="AB250" s="14" t="str">
        <f>TEXT(VALUE(Table1[[#This Row],[Content.Column6]])*1000,"#,##0")</f>
        <v>347,879</v>
      </c>
    </row>
    <row r="251" spans="1:28" x14ac:dyDescent="0.3">
      <c r="A251" t="s">
        <v>40</v>
      </c>
      <c r="B251" t="s">
        <v>41</v>
      </c>
      <c r="C251" s="6">
        <v>77.707999999999998</v>
      </c>
      <c r="D251" s="1">
        <v>37.46</v>
      </c>
      <c r="E251" s="1">
        <v>115.169</v>
      </c>
      <c r="F251" s="1">
        <v>117.861</v>
      </c>
      <c r="G251" s="2">
        <v>15.804</v>
      </c>
      <c r="H251" s="2">
        <v>7.875</v>
      </c>
      <c r="I251" s="2">
        <v>23.678999999999998</v>
      </c>
      <c r="J251" s="2">
        <v>23.707999999999998</v>
      </c>
      <c r="K251" s="3">
        <v>61.904000000000003</v>
      </c>
      <c r="L251" s="3">
        <v>29.585999999999999</v>
      </c>
      <c r="M251" s="3">
        <v>91.49</v>
      </c>
      <c r="N251" s="3">
        <v>94.153000000000006</v>
      </c>
      <c r="O251">
        <v>2014</v>
      </c>
      <c r="Q251" s="12" t="str">
        <f>TEXT(VALUE(Table1[[#This Row],[Content.Column7]])*1000,"#,##0")</f>
        <v>15,804</v>
      </c>
      <c r="R251" s="12" t="str">
        <f>TEXT(VALUE(Table1[[#This Row],[Content.Column8]])*1000,"#,##0")</f>
        <v>7,875</v>
      </c>
      <c r="S251" s="12" t="str">
        <f>TEXT(VALUE(Table1[[#This Row],[Content.Column9]])*1000,"#,##0")</f>
        <v>23,679</v>
      </c>
      <c r="T251" s="12" t="str">
        <f>TEXT(VALUE(Table1[[#This Row],[Content.Column10]])*1000,"#,##0")</f>
        <v>23,708</v>
      </c>
      <c r="U251" s="13" t="str">
        <f>TEXT(VALUE(Table1[[#This Row],[Content.Column11]])*1000,"#,##0")</f>
        <v>61,904</v>
      </c>
      <c r="V251" s="13" t="str">
        <f>TEXT(VALUE(Table1[[#This Row],[Content.Column12]])*1000,"#,##0")</f>
        <v>29,586</v>
      </c>
      <c r="W251" s="13" t="str">
        <f>TEXT(VALUE(Table1[[#This Row],[Content.Column13]])*1000,"#,##0")</f>
        <v>91,490</v>
      </c>
      <c r="X251" s="13" t="str">
        <f>TEXT(VALUE(Table1[[#This Row],[Content.Column14]])*1000,"#,##0")</f>
        <v>94,153</v>
      </c>
      <c r="Y251" s="14" t="str">
        <f>TEXT(VALUE(Table1[[#This Row],[Content.Column3]])*1000,"#,##0")</f>
        <v>77,708</v>
      </c>
      <c r="Z251" s="14" t="str">
        <f>TEXT(VALUE(Table1[[#This Row],[Content.Column4]])*1000,"#,##0")</f>
        <v>37,460</v>
      </c>
      <c r="AA251" s="14" t="str">
        <f>TEXT(VALUE(Table1[[#This Row],[Content.Column5]])*1000,"#,##0")</f>
        <v>115,169</v>
      </c>
      <c r="AB251" s="14" t="str">
        <f>TEXT(VALUE(Table1[[#This Row],[Content.Column6]])*1000,"#,##0")</f>
        <v>117,861</v>
      </c>
    </row>
    <row r="252" spans="1:28" x14ac:dyDescent="0.3">
      <c r="A252" t="s">
        <v>42</v>
      </c>
      <c r="B252" t="s">
        <v>43</v>
      </c>
      <c r="C252" s="6">
        <v>93.379000000000005</v>
      </c>
      <c r="D252" s="1">
        <v>36.429000000000002</v>
      </c>
      <c r="E252" s="1">
        <v>129.809</v>
      </c>
      <c r="F252" s="1">
        <v>132.53399999999999</v>
      </c>
      <c r="G252" s="2">
        <v>12.173999999999999</v>
      </c>
      <c r="H252" s="2">
        <v>5.7649999999999997</v>
      </c>
      <c r="I252" s="2">
        <v>17.940000000000001</v>
      </c>
      <c r="J252" s="2">
        <v>18.006</v>
      </c>
      <c r="K252" s="3">
        <v>81.204999999999998</v>
      </c>
      <c r="L252" s="3">
        <v>30.664000000000001</v>
      </c>
      <c r="M252" s="3">
        <v>111.869</v>
      </c>
      <c r="N252" s="3">
        <v>114.52800000000001</v>
      </c>
      <c r="O252">
        <v>2014</v>
      </c>
      <c r="Q252" s="12" t="str">
        <f>TEXT(VALUE(Table1[[#This Row],[Content.Column7]])*1000,"#,##0")</f>
        <v>12,174</v>
      </c>
      <c r="R252" s="12" t="str">
        <f>TEXT(VALUE(Table1[[#This Row],[Content.Column8]])*1000,"#,##0")</f>
        <v>5,765</v>
      </c>
      <c r="S252" s="12" t="str">
        <f>TEXT(VALUE(Table1[[#This Row],[Content.Column9]])*1000,"#,##0")</f>
        <v>17,940</v>
      </c>
      <c r="T252" s="12" t="str">
        <f>TEXT(VALUE(Table1[[#This Row],[Content.Column10]])*1000,"#,##0")</f>
        <v>18,006</v>
      </c>
      <c r="U252" s="13" t="str">
        <f>TEXT(VALUE(Table1[[#This Row],[Content.Column11]])*1000,"#,##0")</f>
        <v>81,205</v>
      </c>
      <c r="V252" s="13" t="str">
        <f>TEXT(VALUE(Table1[[#This Row],[Content.Column12]])*1000,"#,##0")</f>
        <v>30,664</v>
      </c>
      <c r="W252" s="13" t="str">
        <f>TEXT(VALUE(Table1[[#This Row],[Content.Column13]])*1000,"#,##0")</f>
        <v>111,869</v>
      </c>
      <c r="X252" s="13" t="str">
        <f>TEXT(VALUE(Table1[[#This Row],[Content.Column14]])*1000,"#,##0")</f>
        <v>114,528</v>
      </c>
      <c r="Y252" s="14" t="str">
        <f>TEXT(VALUE(Table1[[#This Row],[Content.Column3]])*1000,"#,##0")</f>
        <v>93,379</v>
      </c>
      <c r="Z252" s="14" t="str">
        <f>TEXT(VALUE(Table1[[#This Row],[Content.Column4]])*1000,"#,##0")</f>
        <v>36,429</v>
      </c>
      <c r="AA252" s="14" t="str">
        <f>TEXT(VALUE(Table1[[#This Row],[Content.Column5]])*1000,"#,##0")</f>
        <v>129,809</v>
      </c>
      <c r="AB252" s="14" t="str">
        <f>TEXT(VALUE(Table1[[#This Row],[Content.Column6]])*1000,"#,##0")</f>
        <v>132,534</v>
      </c>
    </row>
    <row r="253" spans="1:28" x14ac:dyDescent="0.3">
      <c r="A253" t="s">
        <v>44</v>
      </c>
      <c r="B253" t="s">
        <v>45</v>
      </c>
      <c r="C253" s="6">
        <v>67.117000000000004</v>
      </c>
      <c r="D253" s="1">
        <v>32.295000000000002</v>
      </c>
      <c r="E253" s="1">
        <v>99.412000000000006</v>
      </c>
      <c r="F253" s="1">
        <v>101.494</v>
      </c>
      <c r="G253" s="2">
        <v>15.3</v>
      </c>
      <c r="H253" s="2">
        <v>6.7080000000000002</v>
      </c>
      <c r="I253" s="2">
        <v>22.007999999999999</v>
      </c>
      <c r="J253" s="2">
        <v>22.02</v>
      </c>
      <c r="K253" s="3">
        <v>51.817</v>
      </c>
      <c r="L253" s="3">
        <v>25.588000000000001</v>
      </c>
      <c r="M253" s="3">
        <v>77.403999999999996</v>
      </c>
      <c r="N253" s="3">
        <v>79.474000000000004</v>
      </c>
      <c r="O253">
        <v>2014</v>
      </c>
      <c r="Q253" s="12" t="str">
        <f>TEXT(VALUE(Table1[[#This Row],[Content.Column7]])*1000,"#,##0")</f>
        <v>15,300</v>
      </c>
      <c r="R253" s="12" t="str">
        <f>TEXT(VALUE(Table1[[#This Row],[Content.Column8]])*1000,"#,##0")</f>
        <v>6,708</v>
      </c>
      <c r="S253" s="12" t="str">
        <f>TEXT(VALUE(Table1[[#This Row],[Content.Column9]])*1000,"#,##0")</f>
        <v>22,008</v>
      </c>
      <c r="T253" s="12" t="str">
        <f>TEXT(VALUE(Table1[[#This Row],[Content.Column10]])*1000,"#,##0")</f>
        <v>22,020</v>
      </c>
      <c r="U253" s="13" t="str">
        <f>TEXT(VALUE(Table1[[#This Row],[Content.Column11]])*1000,"#,##0")</f>
        <v>51,817</v>
      </c>
      <c r="V253" s="13" t="str">
        <f>TEXT(VALUE(Table1[[#This Row],[Content.Column12]])*1000,"#,##0")</f>
        <v>25,588</v>
      </c>
      <c r="W253" s="13" t="str">
        <f>TEXT(VALUE(Table1[[#This Row],[Content.Column13]])*1000,"#,##0")</f>
        <v>77,404</v>
      </c>
      <c r="X253" s="13" t="str">
        <f>TEXT(VALUE(Table1[[#This Row],[Content.Column14]])*1000,"#,##0")</f>
        <v>79,474</v>
      </c>
      <c r="Y253" s="14" t="str">
        <f>TEXT(VALUE(Table1[[#This Row],[Content.Column3]])*1000,"#,##0")</f>
        <v>67,117</v>
      </c>
      <c r="Z253" s="14" t="str">
        <f>TEXT(VALUE(Table1[[#This Row],[Content.Column4]])*1000,"#,##0")</f>
        <v>32,295</v>
      </c>
      <c r="AA253" s="14" t="str">
        <f>TEXT(VALUE(Table1[[#This Row],[Content.Column5]])*1000,"#,##0")</f>
        <v>99,412</v>
      </c>
      <c r="AB253" s="14" t="str">
        <f>TEXT(VALUE(Table1[[#This Row],[Content.Column6]])*1000,"#,##0")</f>
        <v>101,494</v>
      </c>
    </row>
    <row r="254" spans="1:28" x14ac:dyDescent="0.3">
      <c r="A254" t="s">
        <v>46</v>
      </c>
      <c r="B254" t="s">
        <v>47</v>
      </c>
      <c r="C254" s="6">
        <v>45.843000000000004</v>
      </c>
      <c r="D254" s="1">
        <v>27.779</v>
      </c>
      <c r="E254" s="1">
        <v>73.622</v>
      </c>
      <c r="F254" s="1">
        <v>75.194000000000003</v>
      </c>
      <c r="G254" s="2">
        <v>12.32</v>
      </c>
      <c r="H254" s="2">
        <v>8.2050000000000001</v>
      </c>
      <c r="I254" s="2">
        <v>20.524999999999999</v>
      </c>
      <c r="J254" s="2">
        <v>20.527000000000001</v>
      </c>
      <c r="K254" s="3">
        <v>33.524000000000001</v>
      </c>
      <c r="L254" s="3">
        <v>19.573</v>
      </c>
      <c r="M254" s="3">
        <v>53.097000000000001</v>
      </c>
      <c r="N254" s="3">
        <v>54.667000000000002</v>
      </c>
      <c r="O254">
        <v>2014</v>
      </c>
      <c r="Q254" s="12" t="str">
        <f>TEXT(VALUE(Table1[[#This Row],[Content.Column7]])*1000,"#,##0")</f>
        <v>12,320</v>
      </c>
      <c r="R254" s="12" t="str">
        <f>TEXT(VALUE(Table1[[#This Row],[Content.Column8]])*1000,"#,##0")</f>
        <v>8,205</v>
      </c>
      <c r="S254" s="12" t="str">
        <f>TEXT(VALUE(Table1[[#This Row],[Content.Column9]])*1000,"#,##0")</f>
        <v>20,525</v>
      </c>
      <c r="T254" s="12" t="str">
        <f>TEXT(VALUE(Table1[[#This Row],[Content.Column10]])*1000,"#,##0")</f>
        <v>20,527</v>
      </c>
      <c r="U254" s="13" t="str">
        <f>TEXT(VALUE(Table1[[#This Row],[Content.Column11]])*1000,"#,##0")</f>
        <v>33,524</v>
      </c>
      <c r="V254" s="13" t="str">
        <f>TEXT(VALUE(Table1[[#This Row],[Content.Column12]])*1000,"#,##0")</f>
        <v>19,573</v>
      </c>
      <c r="W254" s="13" t="str">
        <f>TEXT(VALUE(Table1[[#This Row],[Content.Column13]])*1000,"#,##0")</f>
        <v>53,097</v>
      </c>
      <c r="X254" s="13" t="str">
        <f>TEXT(VALUE(Table1[[#This Row],[Content.Column14]])*1000,"#,##0")</f>
        <v>54,667</v>
      </c>
      <c r="Y254" s="14" t="str">
        <f>TEXT(VALUE(Table1[[#This Row],[Content.Column3]])*1000,"#,##0")</f>
        <v>45,843</v>
      </c>
      <c r="Z254" s="14" t="str">
        <f>TEXT(VALUE(Table1[[#This Row],[Content.Column4]])*1000,"#,##0")</f>
        <v>27,779</v>
      </c>
      <c r="AA254" s="14" t="str">
        <f>TEXT(VALUE(Table1[[#This Row],[Content.Column5]])*1000,"#,##0")</f>
        <v>73,622</v>
      </c>
      <c r="AB254" s="14" t="str">
        <f>TEXT(VALUE(Table1[[#This Row],[Content.Column6]])*1000,"#,##0")</f>
        <v>75,194</v>
      </c>
    </row>
    <row r="255" spans="1:28" x14ac:dyDescent="0.3">
      <c r="A255" t="s">
        <v>48</v>
      </c>
      <c r="B255" t="s">
        <v>49</v>
      </c>
      <c r="C255" s="6">
        <v>74.468999999999994</v>
      </c>
      <c r="D255" s="1">
        <v>28.009</v>
      </c>
      <c r="E255" s="1">
        <v>102.47799999999999</v>
      </c>
      <c r="F255" s="1">
        <v>106.15</v>
      </c>
      <c r="G255" s="2">
        <v>13.635</v>
      </c>
      <c r="H255" s="2">
        <v>5.5519999999999996</v>
      </c>
      <c r="I255" s="2">
        <v>19.187000000000001</v>
      </c>
      <c r="J255" s="2">
        <v>19.190999999999999</v>
      </c>
      <c r="K255" s="3">
        <v>60.834000000000003</v>
      </c>
      <c r="L255" s="3">
        <v>22.457000000000001</v>
      </c>
      <c r="M255" s="3">
        <v>83.290999999999997</v>
      </c>
      <c r="N255" s="3">
        <v>86.959000000000003</v>
      </c>
      <c r="O255">
        <v>2014</v>
      </c>
      <c r="Q255" s="12" t="str">
        <f>TEXT(VALUE(Table1[[#This Row],[Content.Column7]])*1000,"#,##0")</f>
        <v>13,635</v>
      </c>
      <c r="R255" s="12" t="str">
        <f>TEXT(VALUE(Table1[[#This Row],[Content.Column8]])*1000,"#,##0")</f>
        <v>5,552</v>
      </c>
      <c r="S255" s="12" t="str">
        <f>TEXT(VALUE(Table1[[#This Row],[Content.Column9]])*1000,"#,##0")</f>
        <v>19,187</v>
      </c>
      <c r="T255" s="12" t="str">
        <f>TEXT(VALUE(Table1[[#This Row],[Content.Column10]])*1000,"#,##0")</f>
        <v>19,191</v>
      </c>
      <c r="U255" s="13" t="str">
        <f>TEXT(VALUE(Table1[[#This Row],[Content.Column11]])*1000,"#,##0")</f>
        <v>60,834</v>
      </c>
      <c r="V255" s="13" t="str">
        <f>TEXT(VALUE(Table1[[#This Row],[Content.Column12]])*1000,"#,##0")</f>
        <v>22,457</v>
      </c>
      <c r="W255" s="13" t="str">
        <f>TEXT(VALUE(Table1[[#This Row],[Content.Column13]])*1000,"#,##0")</f>
        <v>83,291</v>
      </c>
      <c r="X255" s="13" t="str">
        <f>TEXT(VALUE(Table1[[#This Row],[Content.Column14]])*1000,"#,##0")</f>
        <v>86,959</v>
      </c>
      <c r="Y255" s="14" t="str">
        <f>TEXT(VALUE(Table1[[#This Row],[Content.Column3]])*1000,"#,##0")</f>
        <v>74,469</v>
      </c>
      <c r="Z255" s="14" t="str">
        <f>TEXT(VALUE(Table1[[#This Row],[Content.Column4]])*1000,"#,##0")</f>
        <v>28,009</v>
      </c>
      <c r="AA255" s="14" t="str">
        <f>TEXT(VALUE(Table1[[#This Row],[Content.Column5]])*1000,"#,##0")</f>
        <v>102,478</v>
      </c>
      <c r="AB255" s="14" t="str">
        <f>TEXT(VALUE(Table1[[#This Row],[Content.Column6]])*1000,"#,##0")</f>
        <v>106,150</v>
      </c>
    </row>
    <row r="256" spans="1:28" x14ac:dyDescent="0.3">
      <c r="A256" t="s">
        <v>50</v>
      </c>
      <c r="B256" t="s">
        <v>51</v>
      </c>
      <c r="C256" s="6">
        <v>91.066000000000003</v>
      </c>
      <c r="D256" s="1">
        <v>36.816000000000003</v>
      </c>
      <c r="E256" s="1">
        <v>127.88200000000001</v>
      </c>
      <c r="F256" s="1">
        <v>130.42599999999999</v>
      </c>
      <c r="G256" s="2">
        <v>18.274999999999999</v>
      </c>
      <c r="H256" s="2">
        <v>3.1680000000000001</v>
      </c>
      <c r="I256" s="2">
        <v>21.443000000000001</v>
      </c>
      <c r="J256" s="2">
        <v>21.456</v>
      </c>
      <c r="K256" s="3">
        <v>72.790999999999997</v>
      </c>
      <c r="L256" s="3">
        <v>33.648000000000003</v>
      </c>
      <c r="M256" s="3">
        <v>106.43899999999999</v>
      </c>
      <c r="N256" s="3">
        <v>108.97</v>
      </c>
      <c r="O256">
        <v>2014</v>
      </c>
      <c r="Q256" s="12" t="str">
        <f>TEXT(VALUE(Table1[[#This Row],[Content.Column7]])*1000,"#,##0")</f>
        <v>18,275</v>
      </c>
      <c r="R256" s="12" t="str">
        <f>TEXT(VALUE(Table1[[#This Row],[Content.Column8]])*1000,"#,##0")</f>
        <v>3,168</v>
      </c>
      <c r="S256" s="12" t="str">
        <f>TEXT(VALUE(Table1[[#This Row],[Content.Column9]])*1000,"#,##0")</f>
        <v>21,443</v>
      </c>
      <c r="T256" s="12" t="str">
        <f>TEXT(VALUE(Table1[[#This Row],[Content.Column10]])*1000,"#,##0")</f>
        <v>21,456</v>
      </c>
      <c r="U256" s="13" t="str">
        <f>TEXT(VALUE(Table1[[#This Row],[Content.Column11]])*1000,"#,##0")</f>
        <v>72,791</v>
      </c>
      <c r="V256" s="13" t="str">
        <f>TEXT(VALUE(Table1[[#This Row],[Content.Column12]])*1000,"#,##0")</f>
        <v>33,648</v>
      </c>
      <c r="W256" s="13" t="str">
        <f>TEXT(VALUE(Table1[[#This Row],[Content.Column13]])*1000,"#,##0")</f>
        <v>106,439</v>
      </c>
      <c r="X256" s="13" t="str">
        <f>TEXT(VALUE(Table1[[#This Row],[Content.Column14]])*1000,"#,##0")</f>
        <v>108,970</v>
      </c>
      <c r="Y256" s="14" t="str">
        <f>TEXT(VALUE(Table1[[#This Row],[Content.Column3]])*1000,"#,##0")</f>
        <v>91,066</v>
      </c>
      <c r="Z256" s="14" t="str">
        <f>TEXT(VALUE(Table1[[#This Row],[Content.Column4]])*1000,"#,##0")</f>
        <v>36,816</v>
      </c>
      <c r="AA256" s="14" t="str">
        <f>TEXT(VALUE(Table1[[#This Row],[Content.Column5]])*1000,"#,##0")</f>
        <v>127,882</v>
      </c>
      <c r="AB256" s="14" t="str">
        <f>TEXT(VALUE(Table1[[#This Row],[Content.Column6]])*1000,"#,##0")</f>
        <v>130,426</v>
      </c>
    </row>
    <row r="257" spans="1:28" x14ac:dyDescent="0.3">
      <c r="A257" t="s">
        <v>52</v>
      </c>
      <c r="B257" t="s">
        <v>53</v>
      </c>
      <c r="C257" s="6">
        <v>44.779000000000003</v>
      </c>
      <c r="D257" s="1">
        <v>23.349</v>
      </c>
      <c r="E257" s="1">
        <v>68.128</v>
      </c>
      <c r="F257" s="1">
        <v>70.23</v>
      </c>
      <c r="G257" s="2">
        <v>8.7420000000000009</v>
      </c>
      <c r="H257" s="2">
        <v>3.7010000000000001</v>
      </c>
      <c r="I257" s="2">
        <v>12.443</v>
      </c>
      <c r="J257" s="2">
        <v>12.458</v>
      </c>
      <c r="K257" s="3">
        <v>36.036999999999999</v>
      </c>
      <c r="L257" s="3">
        <v>19.648</v>
      </c>
      <c r="M257" s="3">
        <v>55.685000000000002</v>
      </c>
      <c r="N257" s="3">
        <v>57.771999999999998</v>
      </c>
      <c r="O257">
        <v>2014</v>
      </c>
      <c r="Q257" s="12" t="str">
        <f>TEXT(VALUE(Table1[[#This Row],[Content.Column7]])*1000,"#,##0")</f>
        <v>8,742</v>
      </c>
      <c r="R257" s="12" t="str">
        <f>TEXT(VALUE(Table1[[#This Row],[Content.Column8]])*1000,"#,##0")</f>
        <v>3,701</v>
      </c>
      <c r="S257" s="12" t="str">
        <f>TEXT(VALUE(Table1[[#This Row],[Content.Column9]])*1000,"#,##0")</f>
        <v>12,443</v>
      </c>
      <c r="T257" s="12" t="str">
        <f>TEXT(VALUE(Table1[[#This Row],[Content.Column10]])*1000,"#,##0")</f>
        <v>12,458</v>
      </c>
      <c r="U257" s="13" t="str">
        <f>TEXT(VALUE(Table1[[#This Row],[Content.Column11]])*1000,"#,##0")</f>
        <v>36,037</v>
      </c>
      <c r="V257" s="13" t="str">
        <f>TEXT(VALUE(Table1[[#This Row],[Content.Column12]])*1000,"#,##0")</f>
        <v>19,648</v>
      </c>
      <c r="W257" s="13" t="str">
        <f>TEXT(VALUE(Table1[[#This Row],[Content.Column13]])*1000,"#,##0")</f>
        <v>55,685</v>
      </c>
      <c r="X257" s="13" t="str">
        <f>TEXT(VALUE(Table1[[#This Row],[Content.Column14]])*1000,"#,##0")</f>
        <v>57,772</v>
      </c>
      <c r="Y257" s="14" t="str">
        <f>TEXT(VALUE(Table1[[#This Row],[Content.Column3]])*1000,"#,##0")</f>
        <v>44,779</v>
      </c>
      <c r="Z257" s="14" t="str">
        <f>TEXT(VALUE(Table1[[#This Row],[Content.Column4]])*1000,"#,##0")</f>
        <v>23,349</v>
      </c>
      <c r="AA257" s="14" t="str">
        <f>TEXT(VALUE(Table1[[#This Row],[Content.Column5]])*1000,"#,##0")</f>
        <v>68,128</v>
      </c>
      <c r="AB257" s="14" t="str">
        <f>TEXT(VALUE(Table1[[#This Row],[Content.Column6]])*1000,"#,##0")</f>
        <v>70,230</v>
      </c>
    </row>
    <row r="258" spans="1:28" x14ac:dyDescent="0.3">
      <c r="A258" t="s">
        <v>54</v>
      </c>
      <c r="B258" t="s">
        <v>55</v>
      </c>
      <c r="C258" s="6">
        <v>47.268999999999998</v>
      </c>
      <c r="D258" s="1">
        <v>24.526</v>
      </c>
      <c r="E258" s="1">
        <v>71.795000000000002</v>
      </c>
      <c r="F258" s="1">
        <v>74.063999999999993</v>
      </c>
      <c r="G258" s="2">
        <v>5.8819999999999997</v>
      </c>
      <c r="H258" s="2">
        <v>4.8520000000000003</v>
      </c>
      <c r="I258" s="2">
        <v>10.734</v>
      </c>
      <c r="J258" s="2">
        <v>10.744</v>
      </c>
      <c r="K258" s="3">
        <v>41.387</v>
      </c>
      <c r="L258" s="3">
        <v>19.673999999999999</v>
      </c>
      <c r="M258" s="3">
        <v>61.061</v>
      </c>
      <c r="N258" s="3">
        <v>63.32</v>
      </c>
      <c r="O258">
        <v>2014</v>
      </c>
      <c r="Q258" s="12" t="str">
        <f>TEXT(VALUE(Table1[[#This Row],[Content.Column7]])*1000,"#,##0")</f>
        <v>5,882</v>
      </c>
      <c r="R258" s="12" t="str">
        <f>TEXT(VALUE(Table1[[#This Row],[Content.Column8]])*1000,"#,##0")</f>
        <v>4,852</v>
      </c>
      <c r="S258" s="12" t="str">
        <f>TEXT(VALUE(Table1[[#This Row],[Content.Column9]])*1000,"#,##0")</f>
        <v>10,734</v>
      </c>
      <c r="T258" s="12" t="str">
        <f>TEXT(VALUE(Table1[[#This Row],[Content.Column10]])*1000,"#,##0")</f>
        <v>10,744</v>
      </c>
      <c r="U258" s="13" t="str">
        <f>TEXT(VALUE(Table1[[#This Row],[Content.Column11]])*1000,"#,##0")</f>
        <v>41,387</v>
      </c>
      <c r="V258" s="13" t="str">
        <f>TEXT(VALUE(Table1[[#This Row],[Content.Column12]])*1000,"#,##0")</f>
        <v>19,674</v>
      </c>
      <c r="W258" s="13" t="str">
        <f>TEXT(VALUE(Table1[[#This Row],[Content.Column13]])*1000,"#,##0")</f>
        <v>61,061</v>
      </c>
      <c r="X258" s="13" t="str">
        <f>TEXT(VALUE(Table1[[#This Row],[Content.Column14]])*1000,"#,##0")</f>
        <v>63,320</v>
      </c>
      <c r="Y258" s="14" t="str">
        <f>TEXT(VALUE(Table1[[#This Row],[Content.Column3]])*1000,"#,##0")</f>
        <v>47,269</v>
      </c>
      <c r="Z258" s="14" t="str">
        <f>TEXT(VALUE(Table1[[#This Row],[Content.Column4]])*1000,"#,##0")</f>
        <v>24,526</v>
      </c>
      <c r="AA258" s="14" t="str">
        <f>TEXT(VALUE(Table1[[#This Row],[Content.Column5]])*1000,"#,##0")</f>
        <v>71,795</v>
      </c>
      <c r="AB258" s="14" t="str">
        <f>TEXT(VALUE(Table1[[#This Row],[Content.Column6]])*1000,"#,##0")</f>
        <v>74,064</v>
      </c>
    </row>
    <row r="259" spans="1:28" x14ac:dyDescent="0.3">
      <c r="A259" t="s">
        <v>56</v>
      </c>
      <c r="B259" t="s">
        <v>57</v>
      </c>
      <c r="C259" s="6">
        <v>50.741</v>
      </c>
      <c r="D259" s="1">
        <v>26.651</v>
      </c>
      <c r="E259" s="1">
        <v>77.391999999999996</v>
      </c>
      <c r="F259" s="1">
        <v>79.298000000000002</v>
      </c>
      <c r="G259" s="2">
        <v>10.605</v>
      </c>
      <c r="H259" s="2">
        <v>5.7910000000000004</v>
      </c>
      <c r="I259" s="2">
        <v>16.396000000000001</v>
      </c>
      <c r="J259" s="2">
        <v>16.402000000000001</v>
      </c>
      <c r="K259" s="3">
        <v>40.136000000000003</v>
      </c>
      <c r="L259" s="3">
        <v>20.86</v>
      </c>
      <c r="M259" s="3">
        <v>60.996000000000002</v>
      </c>
      <c r="N259" s="3">
        <v>62.895000000000003</v>
      </c>
      <c r="O259">
        <v>2014</v>
      </c>
      <c r="Q259" s="12" t="str">
        <f>TEXT(VALUE(Table1[[#This Row],[Content.Column7]])*1000,"#,##0")</f>
        <v>10,605</v>
      </c>
      <c r="R259" s="12" t="str">
        <f>TEXT(VALUE(Table1[[#This Row],[Content.Column8]])*1000,"#,##0")</f>
        <v>5,791</v>
      </c>
      <c r="S259" s="12" t="str">
        <f>TEXT(VALUE(Table1[[#This Row],[Content.Column9]])*1000,"#,##0")</f>
        <v>16,396</v>
      </c>
      <c r="T259" s="12" t="str">
        <f>TEXT(VALUE(Table1[[#This Row],[Content.Column10]])*1000,"#,##0")</f>
        <v>16,402</v>
      </c>
      <c r="U259" s="13" t="str">
        <f>TEXT(VALUE(Table1[[#This Row],[Content.Column11]])*1000,"#,##0")</f>
        <v>40,136</v>
      </c>
      <c r="V259" s="13" t="str">
        <f>TEXT(VALUE(Table1[[#This Row],[Content.Column12]])*1000,"#,##0")</f>
        <v>20,860</v>
      </c>
      <c r="W259" s="13" t="str">
        <f>TEXT(VALUE(Table1[[#This Row],[Content.Column13]])*1000,"#,##0")</f>
        <v>60,996</v>
      </c>
      <c r="X259" s="13" t="str">
        <f>TEXT(VALUE(Table1[[#This Row],[Content.Column14]])*1000,"#,##0")</f>
        <v>62,895</v>
      </c>
      <c r="Y259" s="14" t="str">
        <f>TEXT(VALUE(Table1[[#This Row],[Content.Column3]])*1000,"#,##0")</f>
        <v>50,741</v>
      </c>
      <c r="Z259" s="14" t="str">
        <f>TEXT(VALUE(Table1[[#This Row],[Content.Column4]])*1000,"#,##0")</f>
        <v>26,651</v>
      </c>
      <c r="AA259" s="14" t="str">
        <f>TEXT(VALUE(Table1[[#This Row],[Content.Column5]])*1000,"#,##0")</f>
        <v>77,392</v>
      </c>
      <c r="AB259" s="14" t="str">
        <f>TEXT(VALUE(Table1[[#This Row],[Content.Column6]])*1000,"#,##0")</f>
        <v>79,298</v>
      </c>
    </row>
    <row r="260" spans="1:28" x14ac:dyDescent="0.3">
      <c r="A260" t="s">
        <v>58</v>
      </c>
      <c r="B260" t="s">
        <v>59</v>
      </c>
      <c r="C260" s="6">
        <v>150.83099999999999</v>
      </c>
      <c r="D260" s="1">
        <v>51.006999999999998</v>
      </c>
      <c r="E260" s="1">
        <v>201.83799999999999</v>
      </c>
      <c r="F260" s="1">
        <v>204.25800000000001</v>
      </c>
      <c r="G260" s="2">
        <v>16.158999999999999</v>
      </c>
      <c r="H260" s="2">
        <v>7.0970000000000004</v>
      </c>
      <c r="I260" s="2">
        <v>23.256</v>
      </c>
      <c r="J260" s="2">
        <v>23.308</v>
      </c>
      <c r="K260" s="3">
        <v>134.672</v>
      </c>
      <c r="L260" s="3">
        <v>43.91</v>
      </c>
      <c r="M260" s="3">
        <v>178.58199999999999</v>
      </c>
      <c r="N260" s="3">
        <v>180.95</v>
      </c>
      <c r="O260">
        <v>2014</v>
      </c>
      <c r="Q260" s="12" t="str">
        <f>TEXT(VALUE(Table1[[#This Row],[Content.Column7]])*1000,"#,##0")</f>
        <v>16,159</v>
      </c>
      <c r="R260" s="12" t="str">
        <f>TEXT(VALUE(Table1[[#This Row],[Content.Column8]])*1000,"#,##0")</f>
        <v>7,097</v>
      </c>
      <c r="S260" s="12" t="str">
        <f>TEXT(VALUE(Table1[[#This Row],[Content.Column9]])*1000,"#,##0")</f>
        <v>23,256</v>
      </c>
      <c r="T260" s="12" t="str">
        <f>TEXT(VALUE(Table1[[#This Row],[Content.Column10]])*1000,"#,##0")</f>
        <v>23,308</v>
      </c>
      <c r="U260" s="13" t="str">
        <f>TEXT(VALUE(Table1[[#This Row],[Content.Column11]])*1000,"#,##0")</f>
        <v>134,672</v>
      </c>
      <c r="V260" s="13" t="str">
        <f>TEXT(VALUE(Table1[[#This Row],[Content.Column12]])*1000,"#,##0")</f>
        <v>43,910</v>
      </c>
      <c r="W260" s="13" t="str">
        <f>TEXT(VALUE(Table1[[#This Row],[Content.Column13]])*1000,"#,##0")</f>
        <v>178,582</v>
      </c>
      <c r="X260" s="13" t="str">
        <f>TEXT(VALUE(Table1[[#This Row],[Content.Column14]])*1000,"#,##0")</f>
        <v>180,950</v>
      </c>
      <c r="Y260" s="14" t="str">
        <f>TEXT(VALUE(Table1[[#This Row],[Content.Column3]])*1000,"#,##0")</f>
        <v>150,831</v>
      </c>
      <c r="Z260" s="14" t="str">
        <f>TEXT(VALUE(Table1[[#This Row],[Content.Column4]])*1000,"#,##0")</f>
        <v>51,007</v>
      </c>
      <c r="AA260" s="14" t="str">
        <f>TEXT(VALUE(Table1[[#This Row],[Content.Column5]])*1000,"#,##0")</f>
        <v>201,838</v>
      </c>
      <c r="AB260" s="14" t="str">
        <f>TEXT(VALUE(Table1[[#This Row],[Content.Column6]])*1000,"#,##0")</f>
        <v>204,258</v>
      </c>
    </row>
    <row r="261" spans="1:28" x14ac:dyDescent="0.3">
      <c r="A261" t="s">
        <v>60</v>
      </c>
      <c r="B261" t="s">
        <v>61</v>
      </c>
      <c r="C261" s="6">
        <v>104.57599999999999</v>
      </c>
      <c r="D261" s="1">
        <v>33.856999999999999</v>
      </c>
      <c r="E261" s="1">
        <v>138.43299999999999</v>
      </c>
      <c r="F261" s="1">
        <v>140.482</v>
      </c>
      <c r="G261" s="2">
        <v>11.71</v>
      </c>
      <c r="H261" s="2">
        <v>4.9560000000000004</v>
      </c>
      <c r="I261" s="2">
        <v>16.664999999999999</v>
      </c>
      <c r="J261" s="2">
        <v>16.678000000000001</v>
      </c>
      <c r="K261" s="3">
        <v>92.866</v>
      </c>
      <c r="L261" s="3">
        <v>28.901</v>
      </c>
      <c r="M261" s="3">
        <v>121.768</v>
      </c>
      <c r="N261" s="3">
        <v>123.804</v>
      </c>
      <c r="O261">
        <v>2014</v>
      </c>
      <c r="Q261" s="12" t="str">
        <f>TEXT(VALUE(Table1[[#This Row],[Content.Column7]])*1000,"#,##0")</f>
        <v>11,710</v>
      </c>
      <c r="R261" s="12" t="str">
        <f>TEXT(VALUE(Table1[[#This Row],[Content.Column8]])*1000,"#,##0")</f>
        <v>4,956</v>
      </c>
      <c r="S261" s="12" t="str">
        <f>TEXT(VALUE(Table1[[#This Row],[Content.Column9]])*1000,"#,##0")</f>
        <v>16,665</v>
      </c>
      <c r="T261" s="12" t="str">
        <f>TEXT(VALUE(Table1[[#This Row],[Content.Column10]])*1000,"#,##0")</f>
        <v>16,678</v>
      </c>
      <c r="U261" s="13" t="str">
        <f>TEXT(VALUE(Table1[[#This Row],[Content.Column11]])*1000,"#,##0")</f>
        <v>92,866</v>
      </c>
      <c r="V261" s="13" t="str">
        <f>TEXT(VALUE(Table1[[#This Row],[Content.Column12]])*1000,"#,##0")</f>
        <v>28,901</v>
      </c>
      <c r="W261" s="13" t="str">
        <f>TEXT(VALUE(Table1[[#This Row],[Content.Column13]])*1000,"#,##0")</f>
        <v>121,768</v>
      </c>
      <c r="X261" s="13" t="str">
        <f>TEXT(VALUE(Table1[[#This Row],[Content.Column14]])*1000,"#,##0")</f>
        <v>123,804</v>
      </c>
      <c r="Y261" s="14" t="str">
        <f>TEXT(VALUE(Table1[[#This Row],[Content.Column3]])*1000,"#,##0")</f>
        <v>104,576</v>
      </c>
      <c r="Z261" s="14" t="str">
        <f>TEXT(VALUE(Table1[[#This Row],[Content.Column4]])*1000,"#,##0")</f>
        <v>33,857</v>
      </c>
      <c r="AA261" s="14" t="str">
        <f>TEXT(VALUE(Table1[[#This Row],[Content.Column5]])*1000,"#,##0")</f>
        <v>138,433</v>
      </c>
      <c r="AB261" s="14" t="str">
        <f>TEXT(VALUE(Table1[[#This Row],[Content.Column6]])*1000,"#,##0")</f>
        <v>140,482</v>
      </c>
    </row>
    <row r="262" spans="1:28" x14ac:dyDescent="0.3">
      <c r="A262" t="s">
        <v>62</v>
      </c>
      <c r="B262" t="s">
        <v>63</v>
      </c>
      <c r="C262" s="6">
        <v>156.98500000000001</v>
      </c>
      <c r="D262" s="1">
        <v>51.475000000000001</v>
      </c>
      <c r="E262" s="1">
        <v>208.459</v>
      </c>
      <c r="F262" s="1">
        <v>213.64</v>
      </c>
      <c r="G262" s="2">
        <v>21.693999999999999</v>
      </c>
      <c r="H262" s="2">
        <v>9.2720000000000002</v>
      </c>
      <c r="I262" s="2">
        <v>30.966000000000001</v>
      </c>
      <c r="J262" s="2">
        <v>30.971</v>
      </c>
      <c r="K262" s="3">
        <v>135.29</v>
      </c>
      <c r="L262" s="3">
        <v>42.203000000000003</v>
      </c>
      <c r="M262" s="3">
        <v>177.49299999999999</v>
      </c>
      <c r="N262" s="3">
        <v>182.66900000000001</v>
      </c>
      <c r="O262">
        <v>2014</v>
      </c>
      <c r="Q262" s="12" t="str">
        <f>TEXT(VALUE(Table1[[#This Row],[Content.Column7]])*1000,"#,##0")</f>
        <v>21,694</v>
      </c>
      <c r="R262" s="12" t="str">
        <f>TEXT(VALUE(Table1[[#This Row],[Content.Column8]])*1000,"#,##0")</f>
        <v>9,272</v>
      </c>
      <c r="S262" s="12" t="str">
        <f>TEXT(VALUE(Table1[[#This Row],[Content.Column9]])*1000,"#,##0")</f>
        <v>30,966</v>
      </c>
      <c r="T262" s="12" t="str">
        <f>TEXT(VALUE(Table1[[#This Row],[Content.Column10]])*1000,"#,##0")</f>
        <v>30,971</v>
      </c>
      <c r="U262" s="13" t="str">
        <f>TEXT(VALUE(Table1[[#This Row],[Content.Column11]])*1000,"#,##0")</f>
        <v>135,290</v>
      </c>
      <c r="V262" s="13" t="str">
        <f>TEXT(VALUE(Table1[[#This Row],[Content.Column12]])*1000,"#,##0")</f>
        <v>42,203</v>
      </c>
      <c r="W262" s="13" t="str">
        <f>TEXT(VALUE(Table1[[#This Row],[Content.Column13]])*1000,"#,##0")</f>
        <v>177,493</v>
      </c>
      <c r="X262" s="13" t="str">
        <f>TEXT(VALUE(Table1[[#This Row],[Content.Column14]])*1000,"#,##0")</f>
        <v>182,669</v>
      </c>
      <c r="Y262" s="14" t="str">
        <f>TEXT(VALUE(Table1[[#This Row],[Content.Column3]])*1000,"#,##0")</f>
        <v>156,985</v>
      </c>
      <c r="Z262" s="14" t="str">
        <f>TEXT(VALUE(Table1[[#This Row],[Content.Column4]])*1000,"#,##0")</f>
        <v>51,475</v>
      </c>
      <c r="AA262" s="14" t="str">
        <f>TEXT(VALUE(Table1[[#This Row],[Content.Column5]])*1000,"#,##0")</f>
        <v>208,459</v>
      </c>
      <c r="AB262" s="14" t="str">
        <f>TEXT(VALUE(Table1[[#This Row],[Content.Column6]])*1000,"#,##0")</f>
        <v>213,640</v>
      </c>
    </row>
    <row r="263" spans="1:28" x14ac:dyDescent="0.3">
      <c r="A263" t="s">
        <v>64</v>
      </c>
      <c r="B263" t="s">
        <v>65</v>
      </c>
      <c r="C263" s="6">
        <v>88.872</v>
      </c>
      <c r="D263" s="1">
        <v>33.33</v>
      </c>
      <c r="E263" s="1">
        <v>122.202</v>
      </c>
      <c r="F263" s="1">
        <v>125.623</v>
      </c>
      <c r="G263" s="2">
        <v>14.692</v>
      </c>
      <c r="H263" s="2">
        <v>3.5720000000000001</v>
      </c>
      <c r="I263" s="2">
        <v>18.263999999999999</v>
      </c>
      <c r="J263" s="2">
        <v>18.545999999999999</v>
      </c>
      <c r="K263" s="3">
        <v>74.179000000000002</v>
      </c>
      <c r="L263" s="3">
        <v>29.757999999999999</v>
      </c>
      <c r="M263" s="3">
        <v>103.937</v>
      </c>
      <c r="N263" s="3">
        <v>107.077</v>
      </c>
      <c r="O263">
        <v>2014</v>
      </c>
      <c r="Q263" s="12" t="str">
        <f>TEXT(VALUE(Table1[[#This Row],[Content.Column7]])*1000,"#,##0")</f>
        <v>14,692</v>
      </c>
      <c r="R263" s="12" t="str">
        <f>TEXT(VALUE(Table1[[#This Row],[Content.Column8]])*1000,"#,##0")</f>
        <v>3,572</v>
      </c>
      <c r="S263" s="12" t="str">
        <f>TEXT(VALUE(Table1[[#This Row],[Content.Column9]])*1000,"#,##0")</f>
        <v>18,264</v>
      </c>
      <c r="T263" s="12" t="str">
        <f>TEXT(VALUE(Table1[[#This Row],[Content.Column10]])*1000,"#,##0")</f>
        <v>18,546</v>
      </c>
      <c r="U263" s="13" t="str">
        <f>TEXT(VALUE(Table1[[#This Row],[Content.Column11]])*1000,"#,##0")</f>
        <v>74,179</v>
      </c>
      <c r="V263" s="13" t="str">
        <f>TEXT(VALUE(Table1[[#This Row],[Content.Column12]])*1000,"#,##0")</f>
        <v>29,758</v>
      </c>
      <c r="W263" s="13" t="str">
        <f>TEXT(VALUE(Table1[[#This Row],[Content.Column13]])*1000,"#,##0")</f>
        <v>103,937</v>
      </c>
      <c r="X263" s="13" t="str">
        <f>TEXT(VALUE(Table1[[#This Row],[Content.Column14]])*1000,"#,##0")</f>
        <v>107,077</v>
      </c>
      <c r="Y263" s="14" t="str">
        <f>TEXT(VALUE(Table1[[#This Row],[Content.Column3]])*1000,"#,##0")</f>
        <v>88,872</v>
      </c>
      <c r="Z263" s="14" t="str">
        <f>TEXT(VALUE(Table1[[#This Row],[Content.Column4]])*1000,"#,##0")</f>
        <v>33,330</v>
      </c>
      <c r="AA263" s="14" t="str">
        <f>TEXT(VALUE(Table1[[#This Row],[Content.Column5]])*1000,"#,##0")</f>
        <v>122,202</v>
      </c>
      <c r="AB263" s="14" t="str">
        <f>TEXT(VALUE(Table1[[#This Row],[Content.Column6]])*1000,"#,##0")</f>
        <v>125,623</v>
      </c>
    </row>
    <row r="264" spans="1:28" x14ac:dyDescent="0.3">
      <c r="A264" t="s">
        <v>66</v>
      </c>
      <c r="B264" t="s">
        <v>67</v>
      </c>
      <c r="C264" s="6">
        <v>45.552999999999997</v>
      </c>
      <c r="D264" s="1">
        <v>25.501999999999999</v>
      </c>
      <c r="E264" s="1">
        <v>71.055000000000007</v>
      </c>
      <c r="F264" s="1">
        <v>72.516000000000005</v>
      </c>
      <c r="G264" s="2">
        <v>7.45</v>
      </c>
      <c r="H264" s="2">
        <v>4.9400000000000004</v>
      </c>
      <c r="I264" s="2">
        <v>12.388999999999999</v>
      </c>
      <c r="J264" s="2">
        <v>12.404999999999999</v>
      </c>
      <c r="K264" s="3">
        <v>38.103000000000002</v>
      </c>
      <c r="L264" s="3">
        <v>20.562999999999999</v>
      </c>
      <c r="M264" s="3">
        <v>58.665999999999997</v>
      </c>
      <c r="N264" s="3">
        <v>60.112000000000002</v>
      </c>
      <c r="O264">
        <v>2014</v>
      </c>
      <c r="Q264" s="12" t="str">
        <f>TEXT(VALUE(Table1[[#This Row],[Content.Column7]])*1000,"#,##0")</f>
        <v>7,450</v>
      </c>
      <c r="R264" s="12" t="str">
        <f>TEXT(VALUE(Table1[[#This Row],[Content.Column8]])*1000,"#,##0")</f>
        <v>4,940</v>
      </c>
      <c r="S264" s="12" t="str">
        <f>TEXT(VALUE(Table1[[#This Row],[Content.Column9]])*1000,"#,##0")</f>
        <v>12,389</v>
      </c>
      <c r="T264" s="12" t="str">
        <f>TEXT(VALUE(Table1[[#This Row],[Content.Column10]])*1000,"#,##0")</f>
        <v>12,405</v>
      </c>
      <c r="U264" s="13" t="str">
        <f>TEXT(VALUE(Table1[[#This Row],[Content.Column11]])*1000,"#,##0")</f>
        <v>38,103</v>
      </c>
      <c r="V264" s="13" t="str">
        <f>TEXT(VALUE(Table1[[#This Row],[Content.Column12]])*1000,"#,##0")</f>
        <v>20,563</v>
      </c>
      <c r="W264" s="13" t="str">
        <f>TEXT(VALUE(Table1[[#This Row],[Content.Column13]])*1000,"#,##0")</f>
        <v>58,666</v>
      </c>
      <c r="X264" s="13" t="str">
        <f>TEXT(VALUE(Table1[[#This Row],[Content.Column14]])*1000,"#,##0")</f>
        <v>60,112</v>
      </c>
      <c r="Y264" s="14" t="str">
        <f>TEXT(VALUE(Table1[[#This Row],[Content.Column3]])*1000,"#,##0")</f>
        <v>45,553</v>
      </c>
      <c r="Z264" s="14" t="str">
        <f>TEXT(VALUE(Table1[[#This Row],[Content.Column4]])*1000,"#,##0")</f>
        <v>25,502</v>
      </c>
      <c r="AA264" s="14" t="str">
        <f>TEXT(VALUE(Table1[[#This Row],[Content.Column5]])*1000,"#,##0")</f>
        <v>71,055</v>
      </c>
      <c r="AB264" s="14" t="str">
        <f>TEXT(VALUE(Table1[[#This Row],[Content.Column6]])*1000,"#,##0")</f>
        <v>72,516</v>
      </c>
    </row>
    <row r="265" spans="1:28" x14ac:dyDescent="0.3">
      <c r="A265" t="s">
        <v>68</v>
      </c>
      <c r="B265" t="s">
        <v>69</v>
      </c>
      <c r="C265" s="6">
        <v>104.16800000000001</v>
      </c>
      <c r="D265" s="1">
        <v>42.747</v>
      </c>
      <c r="E265" s="1">
        <v>146.91499999999999</v>
      </c>
      <c r="F265" s="1">
        <v>149.45699999999999</v>
      </c>
      <c r="G265" s="2">
        <v>26.931000000000001</v>
      </c>
      <c r="H265" s="2">
        <v>7.6289999999999996</v>
      </c>
      <c r="I265" s="2">
        <v>34.558999999999997</v>
      </c>
      <c r="J265" s="2">
        <v>34.564</v>
      </c>
      <c r="K265" s="3">
        <v>77.236999999999995</v>
      </c>
      <c r="L265" s="3">
        <v>35.118000000000002</v>
      </c>
      <c r="M265" s="3">
        <v>112.35599999999999</v>
      </c>
      <c r="N265" s="3">
        <v>114.893</v>
      </c>
      <c r="O265">
        <v>2014</v>
      </c>
      <c r="Q265" s="12" t="str">
        <f>TEXT(VALUE(Table1[[#This Row],[Content.Column7]])*1000,"#,##0")</f>
        <v>26,931</v>
      </c>
      <c r="R265" s="12" t="str">
        <f>TEXT(VALUE(Table1[[#This Row],[Content.Column8]])*1000,"#,##0")</f>
        <v>7,629</v>
      </c>
      <c r="S265" s="12" t="str">
        <f>TEXT(VALUE(Table1[[#This Row],[Content.Column9]])*1000,"#,##0")</f>
        <v>34,559</v>
      </c>
      <c r="T265" s="12" t="str">
        <f>TEXT(VALUE(Table1[[#This Row],[Content.Column10]])*1000,"#,##0")</f>
        <v>34,564</v>
      </c>
      <c r="U265" s="13" t="str">
        <f>TEXT(VALUE(Table1[[#This Row],[Content.Column11]])*1000,"#,##0")</f>
        <v>77,237</v>
      </c>
      <c r="V265" s="13" t="str">
        <f>TEXT(VALUE(Table1[[#This Row],[Content.Column12]])*1000,"#,##0")</f>
        <v>35,118</v>
      </c>
      <c r="W265" s="13" t="str">
        <f>TEXT(VALUE(Table1[[#This Row],[Content.Column13]])*1000,"#,##0")</f>
        <v>112,356</v>
      </c>
      <c r="X265" s="13" t="str">
        <f>TEXT(VALUE(Table1[[#This Row],[Content.Column14]])*1000,"#,##0")</f>
        <v>114,893</v>
      </c>
      <c r="Y265" s="14" t="str">
        <f>TEXT(VALUE(Table1[[#This Row],[Content.Column3]])*1000,"#,##0")</f>
        <v>104,168</v>
      </c>
      <c r="Z265" s="14" t="str">
        <f>TEXT(VALUE(Table1[[#This Row],[Content.Column4]])*1000,"#,##0")</f>
        <v>42,747</v>
      </c>
      <c r="AA265" s="14" t="str">
        <f>TEXT(VALUE(Table1[[#This Row],[Content.Column5]])*1000,"#,##0")</f>
        <v>146,915</v>
      </c>
      <c r="AB265" s="14" t="str">
        <f>TEXT(VALUE(Table1[[#This Row],[Content.Column6]])*1000,"#,##0")</f>
        <v>149,457</v>
      </c>
    </row>
    <row r="266" spans="1:28" x14ac:dyDescent="0.3">
      <c r="A266" t="s">
        <v>70</v>
      </c>
      <c r="B266" t="s">
        <v>71</v>
      </c>
      <c r="C266" s="6">
        <v>40.793999999999997</v>
      </c>
      <c r="D266" s="1">
        <v>23.667999999999999</v>
      </c>
      <c r="E266" s="1">
        <v>64.462000000000003</v>
      </c>
      <c r="F266" s="1">
        <v>66.156999999999996</v>
      </c>
      <c r="G266" s="2">
        <v>10.048</v>
      </c>
      <c r="H266" s="2">
        <v>6.3040000000000003</v>
      </c>
      <c r="I266" s="2">
        <v>16.352</v>
      </c>
      <c r="J266" s="2">
        <v>16.356999999999999</v>
      </c>
      <c r="K266" s="3">
        <v>30.745999999999999</v>
      </c>
      <c r="L266" s="3">
        <v>17.364000000000001</v>
      </c>
      <c r="M266" s="3">
        <v>48.11</v>
      </c>
      <c r="N266" s="3">
        <v>49.8</v>
      </c>
      <c r="O266">
        <v>2014</v>
      </c>
      <c r="Q266" s="12" t="str">
        <f>TEXT(VALUE(Table1[[#This Row],[Content.Column7]])*1000,"#,##0")</f>
        <v>10,048</v>
      </c>
      <c r="R266" s="12" t="str">
        <f>TEXT(VALUE(Table1[[#This Row],[Content.Column8]])*1000,"#,##0")</f>
        <v>6,304</v>
      </c>
      <c r="S266" s="12" t="str">
        <f>TEXT(VALUE(Table1[[#This Row],[Content.Column9]])*1000,"#,##0")</f>
        <v>16,352</v>
      </c>
      <c r="T266" s="12" t="str">
        <f>TEXT(VALUE(Table1[[#This Row],[Content.Column10]])*1000,"#,##0")</f>
        <v>16,357</v>
      </c>
      <c r="U266" s="13" t="str">
        <f>TEXT(VALUE(Table1[[#This Row],[Content.Column11]])*1000,"#,##0")</f>
        <v>30,746</v>
      </c>
      <c r="V266" s="13" t="str">
        <f>TEXT(VALUE(Table1[[#This Row],[Content.Column12]])*1000,"#,##0")</f>
        <v>17,364</v>
      </c>
      <c r="W266" s="13" t="str">
        <f>TEXT(VALUE(Table1[[#This Row],[Content.Column13]])*1000,"#,##0")</f>
        <v>48,110</v>
      </c>
      <c r="X266" s="13" t="str">
        <f>TEXT(VALUE(Table1[[#This Row],[Content.Column14]])*1000,"#,##0")</f>
        <v>49,800</v>
      </c>
      <c r="Y266" s="14" t="str">
        <f>TEXT(VALUE(Table1[[#This Row],[Content.Column3]])*1000,"#,##0")</f>
        <v>40,794</v>
      </c>
      <c r="Z266" s="14" t="str">
        <f>TEXT(VALUE(Table1[[#This Row],[Content.Column4]])*1000,"#,##0")</f>
        <v>23,668</v>
      </c>
      <c r="AA266" s="14" t="str">
        <f>TEXT(VALUE(Table1[[#This Row],[Content.Column5]])*1000,"#,##0")</f>
        <v>64,462</v>
      </c>
      <c r="AB266" s="14" t="str">
        <f>TEXT(VALUE(Table1[[#This Row],[Content.Column6]])*1000,"#,##0")</f>
        <v>66,157</v>
      </c>
    </row>
    <row r="267" spans="1:28" x14ac:dyDescent="0.3">
      <c r="A267" t="s">
        <v>72</v>
      </c>
      <c r="B267" t="s">
        <v>73</v>
      </c>
      <c r="C267" s="6">
        <v>54.494</v>
      </c>
      <c r="D267" s="1">
        <v>24.111999999999998</v>
      </c>
      <c r="E267" s="1">
        <v>78.605000000000004</v>
      </c>
      <c r="F267" s="1">
        <v>80.084000000000003</v>
      </c>
      <c r="G267" s="2">
        <v>6.7270000000000003</v>
      </c>
      <c r="H267" s="2">
        <v>3.077</v>
      </c>
      <c r="I267" s="2">
        <v>9.8030000000000008</v>
      </c>
      <c r="J267" s="2">
        <v>9.8059999999999992</v>
      </c>
      <c r="K267" s="3">
        <v>47.767000000000003</v>
      </c>
      <c r="L267" s="3">
        <v>21.035</v>
      </c>
      <c r="M267" s="3">
        <v>68.802000000000007</v>
      </c>
      <c r="N267" s="3">
        <v>70.277000000000001</v>
      </c>
      <c r="O267">
        <v>2014</v>
      </c>
      <c r="Q267" s="12" t="str">
        <f>TEXT(VALUE(Table1[[#This Row],[Content.Column7]])*1000,"#,##0")</f>
        <v>6,727</v>
      </c>
      <c r="R267" s="12" t="str">
        <f>TEXT(VALUE(Table1[[#This Row],[Content.Column8]])*1000,"#,##0")</f>
        <v>3,077</v>
      </c>
      <c r="S267" s="12" t="str">
        <f>TEXT(VALUE(Table1[[#This Row],[Content.Column9]])*1000,"#,##0")</f>
        <v>9,803</v>
      </c>
      <c r="T267" s="12" t="str">
        <f>TEXT(VALUE(Table1[[#This Row],[Content.Column10]])*1000,"#,##0")</f>
        <v>9,806</v>
      </c>
      <c r="U267" s="13" t="str">
        <f>TEXT(VALUE(Table1[[#This Row],[Content.Column11]])*1000,"#,##0")</f>
        <v>47,767</v>
      </c>
      <c r="V267" s="13" t="str">
        <f>TEXT(VALUE(Table1[[#This Row],[Content.Column12]])*1000,"#,##0")</f>
        <v>21,035</v>
      </c>
      <c r="W267" s="13" t="str">
        <f>TEXT(VALUE(Table1[[#This Row],[Content.Column13]])*1000,"#,##0")</f>
        <v>68,802</v>
      </c>
      <c r="X267" s="13" t="str">
        <f>TEXT(VALUE(Table1[[#This Row],[Content.Column14]])*1000,"#,##0")</f>
        <v>70,277</v>
      </c>
      <c r="Y267" s="14" t="str">
        <f>TEXT(VALUE(Table1[[#This Row],[Content.Column3]])*1000,"#,##0")</f>
        <v>54,494</v>
      </c>
      <c r="Z267" s="14" t="str">
        <f>TEXT(VALUE(Table1[[#This Row],[Content.Column4]])*1000,"#,##0")</f>
        <v>24,112</v>
      </c>
      <c r="AA267" s="14" t="str">
        <f>TEXT(VALUE(Table1[[#This Row],[Content.Column5]])*1000,"#,##0")</f>
        <v>78,605</v>
      </c>
      <c r="AB267" s="14" t="str">
        <f>TEXT(VALUE(Table1[[#This Row],[Content.Column6]])*1000,"#,##0")</f>
        <v>80,084</v>
      </c>
    </row>
    <row r="268" spans="1:28" x14ac:dyDescent="0.3">
      <c r="A268" t="s">
        <v>74</v>
      </c>
      <c r="B268" t="s">
        <v>75</v>
      </c>
      <c r="C268" s="6">
        <v>64.647000000000006</v>
      </c>
      <c r="D268" s="1">
        <v>30.14</v>
      </c>
      <c r="E268" s="1">
        <v>94.786000000000001</v>
      </c>
      <c r="F268" s="1">
        <v>96.492000000000004</v>
      </c>
      <c r="G268" s="2">
        <v>16.07</v>
      </c>
      <c r="H268" s="2">
        <v>5.9989999999999997</v>
      </c>
      <c r="I268" s="2">
        <v>22.068999999999999</v>
      </c>
      <c r="J268" s="2">
        <v>22.09</v>
      </c>
      <c r="K268" s="3">
        <v>48.576000000000001</v>
      </c>
      <c r="L268" s="3">
        <v>24.140999999999998</v>
      </c>
      <c r="M268" s="3">
        <v>72.716999999999999</v>
      </c>
      <c r="N268" s="3">
        <v>74.402000000000001</v>
      </c>
      <c r="O268">
        <v>2014</v>
      </c>
      <c r="Q268" s="12" t="str">
        <f>TEXT(VALUE(Table1[[#This Row],[Content.Column7]])*1000,"#,##0")</f>
        <v>16,070</v>
      </c>
      <c r="R268" s="12" t="str">
        <f>TEXT(VALUE(Table1[[#This Row],[Content.Column8]])*1000,"#,##0")</f>
        <v>5,999</v>
      </c>
      <c r="S268" s="12" t="str">
        <f>TEXT(VALUE(Table1[[#This Row],[Content.Column9]])*1000,"#,##0")</f>
        <v>22,069</v>
      </c>
      <c r="T268" s="12" t="str">
        <f>TEXT(VALUE(Table1[[#This Row],[Content.Column10]])*1000,"#,##0")</f>
        <v>22,090</v>
      </c>
      <c r="U268" s="13" t="str">
        <f>TEXT(VALUE(Table1[[#This Row],[Content.Column11]])*1000,"#,##0")</f>
        <v>48,576</v>
      </c>
      <c r="V268" s="13" t="str">
        <f>TEXT(VALUE(Table1[[#This Row],[Content.Column12]])*1000,"#,##0")</f>
        <v>24,141</v>
      </c>
      <c r="W268" s="13" t="str">
        <f>TEXT(VALUE(Table1[[#This Row],[Content.Column13]])*1000,"#,##0")</f>
        <v>72,717</v>
      </c>
      <c r="X268" s="13" t="str">
        <f>TEXT(VALUE(Table1[[#This Row],[Content.Column14]])*1000,"#,##0")</f>
        <v>74,402</v>
      </c>
      <c r="Y268" s="14" t="str">
        <f>TEXT(VALUE(Table1[[#This Row],[Content.Column3]])*1000,"#,##0")</f>
        <v>64,647</v>
      </c>
      <c r="Z268" s="14" t="str">
        <f>TEXT(VALUE(Table1[[#This Row],[Content.Column4]])*1000,"#,##0")</f>
        <v>30,140</v>
      </c>
      <c r="AA268" s="14" t="str">
        <f>TEXT(VALUE(Table1[[#This Row],[Content.Column5]])*1000,"#,##0")</f>
        <v>94,786</v>
      </c>
      <c r="AB268" s="14" t="str">
        <f>TEXT(VALUE(Table1[[#This Row],[Content.Column6]])*1000,"#,##0")</f>
        <v>96,492</v>
      </c>
    </row>
    <row r="269" spans="1:28" x14ac:dyDescent="0.3">
      <c r="A269" t="s">
        <v>76</v>
      </c>
      <c r="B269" t="s">
        <v>77</v>
      </c>
      <c r="C269" s="6">
        <v>49.277999999999999</v>
      </c>
      <c r="D269" s="1">
        <v>25.131</v>
      </c>
      <c r="E269" s="1">
        <v>74.409000000000006</v>
      </c>
      <c r="F269" s="1">
        <v>76.325000000000003</v>
      </c>
      <c r="G269" s="2">
        <v>11.417999999999999</v>
      </c>
      <c r="H269" s="2">
        <v>6.0449999999999999</v>
      </c>
      <c r="I269" s="2">
        <v>17.463000000000001</v>
      </c>
      <c r="J269" s="2">
        <v>17.475000000000001</v>
      </c>
      <c r="K269" s="3">
        <v>37.86</v>
      </c>
      <c r="L269" s="3">
        <v>19.085999999999999</v>
      </c>
      <c r="M269" s="3">
        <v>56.945999999999998</v>
      </c>
      <c r="N269" s="3">
        <v>58.85</v>
      </c>
      <c r="O269">
        <v>2014</v>
      </c>
      <c r="Q269" s="12" t="str">
        <f>TEXT(VALUE(Table1[[#This Row],[Content.Column7]])*1000,"#,##0")</f>
        <v>11,418</v>
      </c>
      <c r="R269" s="12" t="str">
        <f>TEXT(VALUE(Table1[[#This Row],[Content.Column8]])*1000,"#,##0")</f>
        <v>6,045</v>
      </c>
      <c r="S269" s="12" t="str">
        <f>TEXT(VALUE(Table1[[#This Row],[Content.Column9]])*1000,"#,##0")</f>
        <v>17,463</v>
      </c>
      <c r="T269" s="12" t="str">
        <f>TEXT(VALUE(Table1[[#This Row],[Content.Column10]])*1000,"#,##0")</f>
        <v>17,475</v>
      </c>
      <c r="U269" s="13" t="str">
        <f>TEXT(VALUE(Table1[[#This Row],[Content.Column11]])*1000,"#,##0")</f>
        <v>37,860</v>
      </c>
      <c r="V269" s="13" t="str">
        <f>TEXT(VALUE(Table1[[#This Row],[Content.Column12]])*1000,"#,##0")</f>
        <v>19,086</v>
      </c>
      <c r="W269" s="13" t="str">
        <f>TEXT(VALUE(Table1[[#This Row],[Content.Column13]])*1000,"#,##0")</f>
        <v>56,946</v>
      </c>
      <c r="X269" s="13" t="str">
        <f>TEXT(VALUE(Table1[[#This Row],[Content.Column14]])*1000,"#,##0")</f>
        <v>58,850</v>
      </c>
      <c r="Y269" s="14" t="str">
        <f>TEXT(VALUE(Table1[[#This Row],[Content.Column3]])*1000,"#,##0")</f>
        <v>49,278</v>
      </c>
      <c r="Z269" s="14" t="str">
        <f>TEXT(VALUE(Table1[[#This Row],[Content.Column4]])*1000,"#,##0")</f>
        <v>25,131</v>
      </c>
      <c r="AA269" s="14" t="str">
        <f>TEXT(VALUE(Table1[[#This Row],[Content.Column5]])*1000,"#,##0")</f>
        <v>74,409</v>
      </c>
      <c r="AB269" s="14" t="str">
        <f>TEXT(VALUE(Table1[[#This Row],[Content.Column6]])*1000,"#,##0")</f>
        <v>76,325</v>
      </c>
    </row>
    <row r="270" spans="1:28" x14ac:dyDescent="0.3">
      <c r="A270" t="s">
        <v>78</v>
      </c>
      <c r="B270" t="s">
        <v>79</v>
      </c>
      <c r="C270" s="6">
        <v>53.83</v>
      </c>
      <c r="D270" s="1">
        <v>22.38</v>
      </c>
      <c r="E270" s="1">
        <v>76.209999999999994</v>
      </c>
      <c r="F270" s="1">
        <v>78.462999999999994</v>
      </c>
      <c r="G270" s="2">
        <v>5.6619999999999999</v>
      </c>
      <c r="H270" s="2">
        <v>3.0950000000000002</v>
      </c>
      <c r="I270" s="2">
        <v>8.7579999999999991</v>
      </c>
      <c r="J270" s="2">
        <v>8.77</v>
      </c>
      <c r="K270" s="3">
        <v>48.167999999999999</v>
      </c>
      <c r="L270" s="3">
        <v>19.285</v>
      </c>
      <c r="M270" s="3">
        <v>67.453000000000003</v>
      </c>
      <c r="N270" s="3">
        <v>69.692999999999998</v>
      </c>
      <c r="O270">
        <v>2014</v>
      </c>
      <c r="Q270" s="12" t="str">
        <f>TEXT(VALUE(Table1[[#This Row],[Content.Column7]])*1000,"#,##0")</f>
        <v>5,662</v>
      </c>
      <c r="R270" s="12" t="str">
        <f>TEXT(VALUE(Table1[[#This Row],[Content.Column8]])*1000,"#,##0")</f>
        <v>3,095</v>
      </c>
      <c r="S270" s="12" t="str">
        <f>TEXT(VALUE(Table1[[#This Row],[Content.Column9]])*1000,"#,##0")</f>
        <v>8,758</v>
      </c>
      <c r="T270" s="12" t="str">
        <f>TEXT(VALUE(Table1[[#This Row],[Content.Column10]])*1000,"#,##0")</f>
        <v>8,770</v>
      </c>
      <c r="U270" s="13" t="str">
        <f>TEXT(VALUE(Table1[[#This Row],[Content.Column11]])*1000,"#,##0")</f>
        <v>48,168</v>
      </c>
      <c r="V270" s="13" t="str">
        <f>TEXT(VALUE(Table1[[#This Row],[Content.Column12]])*1000,"#,##0")</f>
        <v>19,285</v>
      </c>
      <c r="W270" s="13" t="str">
        <f>TEXT(VALUE(Table1[[#This Row],[Content.Column13]])*1000,"#,##0")</f>
        <v>67,453</v>
      </c>
      <c r="X270" s="13" t="str">
        <f>TEXT(VALUE(Table1[[#This Row],[Content.Column14]])*1000,"#,##0")</f>
        <v>69,693</v>
      </c>
      <c r="Y270" s="14" t="str">
        <f>TEXT(VALUE(Table1[[#This Row],[Content.Column3]])*1000,"#,##0")</f>
        <v>53,830</v>
      </c>
      <c r="Z270" s="14" t="str">
        <f>TEXT(VALUE(Table1[[#This Row],[Content.Column4]])*1000,"#,##0")</f>
        <v>22,380</v>
      </c>
      <c r="AA270" s="14" t="str">
        <f>TEXT(VALUE(Table1[[#This Row],[Content.Column5]])*1000,"#,##0")</f>
        <v>76,210</v>
      </c>
      <c r="AB270" s="14" t="str">
        <f>TEXT(VALUE(Table1[[#This Row],[Content.Column6]])*1000,"#,##0")</f>
        <v>78,463</v>
      </c>
    </row>
    <row r="271" spans="1:28" x14ac:dyDescent="0.3">
      <c r="A271" t="s">
        <v>80</v>
      </c>
      <c r="B271" t="s">
        <v>81</v>
      </c>
      <c r="C271" s="6">
        <v>165.80699999999999</v>
      </c>
      <c r="D271" s="1">
        <v>44.604999999999997</v>
      </c>
      <c r="E271" s="1">
        <v>210.411</v>
      </c>
      <c r="F271" s="1">
        <v>215.67699999999999</v>
      </c>
      <c r="G271" s="2">
        <v>33.673999999999999</v>
      </c>
      <c r="H271" s="2">
        <v>6.73</v>
      </c>
      <c r="I271" s="2">
        <v>40.404000000000003</v>
      </c>
      <c r="J271" s="2">
        <v>40.454999999999998</v>
      </c>
      <c r="K271" s="3">
        <v>132.13300000000001</v>
      </c>
      <c r="L271" s="3">
        <v>37.875</v>
      </c>
      <c r="M271" s="3">
        <v>170.00800000000001</v>
      </c>
      <c r="N271" s="3">
        <v>175.221</v>
      </c>
      <c r="O271">
        <v>2014</v>
      </c>
      <c r="Q271" s="12" t="str">
        <f>TEXT(VALUE(Table1[[#This Row],[Content.Column7]])*1000,"#,##0")</f>
        <v>33,674</v>
      </c>
      <c r="R271" s="12" t="str">
        <f>TEXT(VALUE(Table1[[#This Row],[Content.Column8]])*1000,"#,##0")</f>
        <v>6,730</v>
      </c>
      <c r="S271" s="12" t="str">
        <f>TEXT(VALUE(Table1[[#This Row],[Content.Column9]])*1000,"#,##0")</f>
        <v>40,404</v>
      </c>
      <c r="T271" s="12" t="str">
        <f>TEXT(VALUE(Table1[[#This Row],[Content.Column10]])*1000,"#,##0")</f>
        <v>40,455</v>
      </c>
      <c r="U271" s="13" t="str">
        <f>TEXT(VALUE(Table1[[#This Row],[Content.Column11]])*1000,"#,##0")</f>
        <v>132,133</v>
      </c>
      <c r="V271" s="13" t="str">
        <f>TEXT(VALUE(Table1[[#This Row],[Content.Column12]])*1000,"#,##0")</f>
        <v>37,875</v>
      </c>
      <c r="W271" s="13" t="str">
        <f>TEXT(VALUE(Table1[[#This Row],[Content.Column13]])*1000,"#,##0")</f>
        <v>170,008</v>
      </c>
      <c r="X271" s="13" t="str">
        <f>TEXT(VALUE(Table1[[#This Row],[Content.Column14]])*1000,"#,##0")</f>
        <v>175,221</v>
      </c>
      <c r="Y271" s="14" t="str">
        <f>TEXT(VALUE(Table1[[#This Row],[Content.Column3]])*1000,"#,##0")</f>
        <v>165,807</v>
      </c>
      <c r="Z271" s="14" t="str">
        <f>TEXT(VALUE(Table1[[#This Row],[Content.Column4]])*1000,"#,##0")</f>
        <v>44,605</v>
      </c>
      <c r="AA271" s="14" t="str">
        <f>TEXT(VALUE(Table1[[#This Row],[Content.Column5]])*1000,"#,##0")</f>
        <v>210,411</v>
      </c>
      <c r="AB271" s="14" t="str">
        <f>TEXT(VALUE(Table1[[#This Row],[Content.Column6]])*1000,"#,##0")</f>
        <v>215,677</v>
      </c>
    </row>
    <row r="272" spans="1:28" x14ac:dyDescent="0.3">
      <c r="A272" t="s">
        <v>82</v>
      </c>
      <c r="B272" t="s">
        <v>83</v>
      </c>
      <c r="C272" s="6">
        <v>44.444000000000003</v>
      </c>
      <c r="D272" s="1">
        <v>24.457999999999998</v>
      </c>
      <c r="E272" s="1">
        <v>68.902000000000001</v>
      </c>
      <c r="F272" s="1">
        <v>70.495999999999995</v>
      </c>
      <c r="G272" s="2">
        <v>8.6029999999999998</v>
      </c>
      <c r="H272" s="2">
        <v>4.6630000000000003</v>
      </c>
      <c r="I272" s="2">
        <v>13.266</v>
      </c>
      <c r="J272" s="2">
        <v>13.295</v>
      </c>
      <c r="K272" s="3">
        <v>35.840000000000003</v>
      </c>
      <c r="L272" s="3">
        <v>19.795000000000002</v>
      </c>
      <c r="M272" s="3">
        <v>55.634999999999998</v>
      </c>
      <c r="N272" s="3">
        <v>57.201000000000001</v>
      </c>
      <c r="O272">
        <v>2014</v>
      </c>
      <c r="Q272" s="12" t="str">
        <f>TEXT(VALUE(Table1[[#This Row],[Content.Column7]])*1000,"#,##0")</f>
        <v>8,603</v>
      </c>
      <c r="R272" s="12" t="str">
        <f>TEXT(VALUE(Table1[[#This Row],[Content.Column8]])*1000,"#,##0")</f>
        <v>4,663</v>
      </c>
      <c r="S272" s="12" t="str">
        <f>TEXT(VALUE(Table1[[#This Row],[Content.Column9]])*1000,"#,##0")</f>
        <v>13,266</v>
      </c>
      <c r="T272" s="12" t="str">
        <f>TEXT(VALUE(Table1[[#This Row],[Content.Column10]])*1000,"#,##0")</f>
        <v>13,295</v>
      </c>
      <c r="U272" s="13" t="str">
        <f>TEXT(VALUE(Table1[[#This Row],[Content.Column11]])*1000,"#,##0")</f>
        <v>35,840</v>
      </c>
      <c r="V272" s="13" t="str">
        <f>TEXT(VALUE(Table1[[#This Row],[Content.Column12]])*1000,"#,##0")</f>
        <v>19,795</v>
      </c>
      <c r="W272" s="13" t="str">
        <f>TEXT(VALUE(Table1[[#This Row],[Content.Column13]])*1000,"#,##0")</f>
        <v>55,635</v>
      </c>
      <c r="X272" s="13" t="str">
        <f>TEXT(VALUE(Table1[[#This Row],[Content.Column14]])*1000,"#,##0")</f>
        <v>57,201</v>
      </c>
      <c r="Y272" s="14" t="str">
        <f>TEXT(VALUE(Table1[[#This Row],[Content.Column3]])*1000,"#,##0")</f>
        <v>44,444</v>
      </c>
      <c r="Z272" s="14" t="str">
        <f>TEXT(VALUE(Table1[[#This Row],[Content.Column4]])*1000,"#,##0")</f>
        <v>24,458</v>
      </c>
      <c r="AA272" s="14" t="str">
        <f>TEXT(VALUE(Table1[[#This Row],[Content.Column5]])*1000,"#,##0")</f>
        <v>68,902</v>
      </c>
      <c r="AB272" s="14" t="str">
        <f>TEXT(VALUE(Table1[[#This Row],[Content.Column6]])*1000,"#,##0")</f>
        <v>70,496</v>
      </c>
    </row>
    <row r="273" spans="1:28" x14ac:dyDescent="0.3">
      <c r="A273" t="s">
        <v>84</v>
      </c>
      <c r="B273" t="s">
        <v>85</v>
      </c>
      <c r="C273" s="6">
        <v>203.881</v>
      </c>
      <c r="D273" s="1">
        <v>51.643999999999998</v>
      </c>
      <c r="E273" s="1">
        <v>255.52500000000001</v>
      </c>
      <c r="F273" s="1">
        <v>260.00799999999998</v>
      </c>
      <c r="G273" s="2">
        <v>33.142000000000003</v>
      </c>
      <c r="H273" s="2">
        <v>8.8369999999999997</v>
      </c>
      <c r="I273" s="2">
        <v>41.978999999999999</v>
      </c>
      <c r="J273" s="2">
        <v>42.078000000000003</v>
      </c>
      <c r="K273" s="3">
        <v>170.739</v>
      </c>
      <c r="L273" s="3">
        <v>42.805999999999997</v>
      </c>
      <c r="M273" s="3">
        <v>213.54499999999999</v>
      </c>
      <c r="N273" s="3">
        <v>217.93</v>
      </c>
      <c r="O273">
        <v>2014</v>
      </c>
      <c r="Q273" s="12" t="str">
        <f>TEXT(VALUE(Table1[[#This Row],[Content.Column7]])*1000,"#,##0")</f>
        <v>33,142</v>
      </c>
      <c r="R273" s="12" t="str">
        <f>TEXT(VALUE(Table1[[#This Row],[Content.Column8]])*1000,"#,##0")</f>
        <v>8,837</v>
      </c>
      <c r="S273" s="12" t="str">
        <f>TEXT(VALUE(Table1[[#This Row],[Content.Column9]])*1000,"#,##0")</f>
        <v>41,979</v>
      </c>
      <c r="T273" s="12" t="str">
        <f>TEXT(VALUE(Table1[[#This Row],[Content.Column10]])*1000,"#,##0")</f>
        <v>42,078</v>
      </c>
      <c r="U273" s="13" t="str">
        <f>TEXT(VALUE(Table1[[#This Row],[Content.Column11]])*1000,"#,##0")</f>
        <v>170,739</v>
      </c>
      <c r="V273" s="13" t="str">
        <f>TEXT(VALUE(Table1[[#This Row],[Content.Column12]])*1000,"#,##0")</f>
        <v>42,806</v>
      </c>
      <c r="W273" s="13" t="str">
        <f>TEXT(VALUE(Table1[[#This Row],[Content.Column13]])*1000,"#,##0")</f>
        <v>213,545</v>
      </c>
      <c r="X273" s="13" t="str">
        <f>TEXT(VALUE(Table1[[#This Row],[Content.Column14]])*1000,"#,##0")</f>
        <v>217,930</v>
      </c>
      <c r="Y273" s="14" t="str">
        <f>TEXT(VALUE(Table1[[#This Row],[Content.Column3]])*1000,"#,##0")</f>
        <v>203,881</v>
      </c>
      <c r="Z273" s="14" t="str">
        <f>TEXT(VALUE(Table1[[#This Row],[Content.Column4]])*1000,"#,##0")</f>
        <v>51,644</v>
      </c>
      <c r="AA273" s="14" t="str">
        <f>TEXT(VALUE(Table1[[#This Row],[Content.Column5]])*1000,"#,##0")</f>
        <v>255,525</v>
      </c>
      <c r="AB273" s="14" t="str">
        <f>TEXT(VALUE(Table1[[#This Row],[Content.Column6]])*1000,"#,##0")</f>
        <v>260,008</v>
      </c>
    </row>
    <row r="274" spans="1:28" x14ac:dyDescent="0.3">
      <c r="A274" t="s">
        <v>86</v>
      </c>
      <c r="B274" t="s">
        <v>87</v>
      </c>
      <c r="C274" s="6">
        <v>48.930999999999997</v>
      </c>
      <c r="D274" s="1">
        <v>21.757999999999999</v>
      </c>
      <c r="E274" s="1">
        <v>70.688999999999993</v>
      </c>
      <c r="F274" s="1">
        <v>72.489000000000004</v>
      </c>
      <c r="G274" s="2">
        <v>11.292999999999999</v>
      </c>
      <c r="H274" s="2">
        <v>5.2610000000000001</v>
      </c>
      <c r="I274" s="2">
        <v>16.553999999999998</v>
      </c>
      <c r="J274" s="2">
        <v>16.661000000000001</v>
      </c>
      <c r="K274" s="3">
        <v>37.639000000000003</v>
      </c>
      <c r="L274" s="3">
        <v>16.497</v>
      </c>
      <c r="M274" s="3">
        <v>54.134999999999998</v>
      </c>
      <c r="N274" s="3">
        <v>55.828000000000003</v>
      </c>
      <c r="O274">
        <v>2014</v>
      </c>
      <c r="Q274" s="12" t="str">
        <f>TEXT(VALUE(Table1[[#This Row],[Content.Column7]])*1000,"#,##0")</f>
        <v>11,293</v>
      </c>
      <c r="R274" s="12" t="str">
        <f>TEXT(VALUE(Table1[[#This Row],[Content.Column8]])*1000,"#,##0")</f>
        <v>5,261</v>
      </c>
      <c r="S274" s="12" t="str">
        <f>TEXT(VALUE(Table1[[#This Row],[Content.Column9]])*1000,"#,##0")</f>
        <v>16,554</v>
      </c>
      <c r="T274" s="12" t="str">
        <f>TEXT(VALUE(Table1[[#This Row],[Content.Column10]])*1000,"#,##0")</f>
        <v>16,661</v>
      </c>
      <c r="U274" s="13" t="str">
        <f>TEXT(VALUE(Table1[[#This Row],[Content.Column11]])*1000,"#,##0")</f>
        <v>37,639</v>
      </c>
      <c r="V274" s="13" t="str">
        <f>TEXT(VALUE(Table1[[#This Row],[Content.Column12]])*1000,"#,##0")</f>
        <v>16,497</v>
      </c>
      <c r="W274" s="13" t="str">
        <f>TEXT(VALUE(Table1[[#This Row],[Content.Column13]])*1000,"#,##0")</f>
        <v>54,135</v>
      </c>
      <c r="X274" s="13" t="str">
        <f>TEXT(VALUE(Table1[[#This Row],[Content.Column14]])*1000,"#,##0")</f>
        <v>55,828</v>
      </c>
      <c r="Y274" s="14" t="str">
        <f>TEXT(VALUE(Table1[[#This Row],[Content.Column3]])*1000,"#,##0")</f>
        <v>48,931</v>
      </c>
      <c r="Z274" s="14" t="str">
        <f>TEXT(VALUE(Table1[[#This Row],[Content.Column4]])*1000,"#,##0")</f>
        <v>21,758</v>
      </c>
      <c r="AA274" s="14" t="str">
        <f>TEXT(VALUE(Table1[[#This Row],[Content.Column5]])*1000,"#,##0")</f>
        <v>70,689</v>
      </c>
      <c r="AB274" s="14" t="str">
        <f>TEXT(VALUE(Table1[[#This Row],[Content.Column6]])*1000,"#,##0")</f>
        <v>72,489</v>
      </c>
    </row>
    <row r="275" spans="1:28" x14ac:dyDescent="0.3">
      <c r="A275" t="s">
        <v>88</v>
      </c>
      <c r="B275" t="s">
        <v>89</v>
      </c>
      <c r="C275" s="6">
        <v>77.188999999999993</v>
      </c>
      <c r="D275" s="1">
        <v>34.799999999999997</v>
      </c>
      <c r="E275" s="1">
        <v>111.989</v>
      </c>
      <c r="F275" s="1">
        <v>114.693</v>
      </c>
      <c r="G275" s="2">
        <v>17.34</v>
      </c>
      <c r="H275" s="2">
        <v>7.2889999999999997</v>
      </c>
      <c r="I275" s="2">
        <v>24.628</v>
      </c>
      <c r="J275" s="2">
        <v>24.635999999999999</v>
      </c>
      <c r="K275" s="3">
        <v>59.85</v>
      </c>
      <c r="L275" s="3">
        <v>27.510999999999999</v>
      </c>
      <c r="M275" s="3">
        <v>87.361000000000004</v>
      </c>
      <c r="N275" s="3">
        <v>90.058000000000007</v>
      </c>
      <c r="O275">
        <v>2014</v>
      </c>
      <c r="Q275" s="12" t="str">
        <f>TEXT(VALUE(Table1[[#This Row],[Content.Column7]])*1000,"#,##0")</f>
        <v>17,340</v>
      </c>
      <c r="R275" s="12" t="str">
        <f>TEXT(VALUE(Table1[[#This Row],[Content.Column8]])*1000,"#,##0")</f>
        <v>7,289</v>
      </c>
      <c r="S275" s="12" t="str">
        <f>TEXT(VALUE(Table1[[#This Row],[Content.Column9]])*1000,"#,##0")</f>
        <v>24,628</v>
      </c>
      <c r="T275" s="12" t="str">
        <f>TEXT(VALUE(Table1[[#This Row],[Content.Column10]])*1000,"#,##0")</f>
        <v>24,636</v>
      </c>
      <c r="U275" s="13" t="str">
        <f>TEXT(VALUE(Table1[[#This Row],[Content.Column11]])*1000,"#,##0")</f>
        <v>59,850</v>
      </c>
      <c r="V275" s="13" t="str">
        <f>TEXT(VALUE(Table1[[#This Row],[Content.Column12]])*1000,"#,##0")</f>
        <v>27,511</v>
      </c>
      <c r="W275" s="13" t="str">
        <f>TEXT(VALUE(Table1[[#This Row],[Content.Column13]])*1000,"#,##0")</f>
        <v>87,361</v>
      </c>
      <c r="X275" s="13" t="str">
        <f>TEXT(VALUE(Table1[[#This Row],[Content.Column14]])*1000,"#,##0")</f>
        <v>90,058</v>
      </c>
      <c r="Y275" s="14" t="str">
        <f>TEXT(VALUE(Table1[[#This Row],[Content.Column3]])*1000,"#,##0")</f>
        <v>77,189</v>
      </c>
      <c r="Z275" s="14" t="str">
        <f>TEXT(VALUE(Table1[[#This Row],[Content.Column4]])*1000,"#,##0")</f>
        <v>34,800</v>
      </c>
      <c r="AA275" s="14" t="str">
        <f>TEXT(VALUE(Table1[[#This Row],[Content.Column5]])*1000,"#,##0")</f>
        <v>111,989</v>
      </c>
      <c r="AB275" s="14" t="str">
        <f>TEXT(VALUE(Table1[[#This Row],[Content.Column6]])*1000,"#,##0")</f>
        <v>114,693</v>
      </c>
    </row>
    <row r="276" spans="1:28" x14ac:dyDescent="0.3">
      <c r="A276" t="s">
        <v>90</v>
      </c>
      <c r="B276" t="s">
        <v>91</v>
      </c>
      <c r="C276" s="6">
        <v>539.94100000000003</v>
      </c>
      <c r="D276" s="1">
        <v>141.053</v>
      </c>
      <c r="E276" s="1">
        <v>680.995</v>
      </c>
      <c r="F276" s="1">
        <v>702.10799999999995</v>
      </c>
      <c r="G276" s="2">
        <v>82.581999999999994</v>
      </c>
      <c r="H276" s="2">
        <v>10.36</v>
      </c>
      <c r="I276" s="2">
        <v>92.941999999999993</v>
      </c>
      <c r="J276" s="2">
        <v>93.289000000000001</v>
      </c>
      <c r="K276" s="3">
        <v>457.36</v>
      </c>
      <c r="L276" s="3">
        <v>130.69300000000001</v>
      </c>
      <c r="M276" s="3">
        <v>588.053</v>
      </c>
      <c r="N276" s="3">
        <v>608.81899999999996</v>
      </c>
      <c r="O276">
        <v>2014</v>
      </c>
      <c r="Q276" s="12" t="str">
        <f>TEXT(VALUE(Table1[[#This Row],[Content.Column7]])*1000,"#,##0")</f>
        <v>82,582</v>
      </c>
      <c r="R276" s="12" t="str">
        <f>TEXT(VALUE(Table1[[#This Row],[Content.Column8]])*1000,"#,##0")</f>
        <v>10,360</v>
      </c>
      <c r="S276" s="12" t="str">
        <f>TEXT(VALUE(Table1[[#This Row],[Content.Column9]])*1000,"#,##0")</f>
        <v>92,942</v>
      </c>
      <c r="T276" s="12" t="str">
        <f>TEXT(VALUE(Table1[[#This Row],[Content.Column10]])*1000,"#,##0")</f>
        <v>93,289</v>
      </c>
      <c r="U276" s="13" t="str">
        <f>TEXT(VALUE(Table1[[#This Row],[Content.Column11]])*1000,"#,##0")</f>
        <v>457,360</v>
      </c>
      <c r="V276" s="13" t="str">
        <f>TEXT(VALUE(Table1[[#This Row],[Content.Column12]])*1000,"#,##0")</f>
        <v>130,693</v>
      </c>
      <c r="W276" s="13" t="str">
        <f>TEXT(VALUE(Table1[[#This Row],[Content.Column13]])*1000,"#,##0")</f>
        <v>588,053</v>
      </c>
      <c r="X276" s="13" t="str">
        <f>TEXT(VALUE(Table1[[#This Row],[Content.Column14]])*1000,"#,##0")</f>
        <v>608,819</v>
      </c>
      <c r="Y276" s="14" t="str">
        <f>TEXT(VALUE(Table1[[#This Row],[Content.Column3]])*1000,"#,##0")</f>
        <v>539,941</v>
      </c>
      <c r="Z276" s="14" t="str">
        <f>TEXT(VALUE(Table1[[#This Row],[Content.Column4]])*1000,"#,##0")</f>
        <v>141,053</v>
      </c>
      <c r="AA276" s="14" t="str">
        <f>TEXT(VALUE(Table1[[#This Row],[Content.Column5]])*1000,"#,##0")</f>
        <v>680,995</v>
      </c>
      <c r="AB276" s="14" t="str">
        <f>TEXT(VALUE(Table1[[#This Row],[Content.Column6]])*1000,"#,##0")</f>
        <v>702,108</v>
      </c>
    </row>
    <row r="277" spans="1:28" x14ac:dyDescent="0.3">
      <c r="A277" t="s">
        <v>92</v>
      </c>
      <c r="B277" t="s">
        <v>93</v>
      </c>
      <c r="C277" s="6">
        <v>2257.7820000000002</v>
      </c>
      <c r="D277" s="1">
        <v>674.80899999999997</v>
      </c>
      <c r="E277" s="1">
        <v>2932.59</v>
      </c>
      <c r="F277" s="1">
        <v>3012.0450000000001</v>
      </c>
      <c r="G277" s="2">
        <v>344.35599999999999</v>
      </c>
      <c r="H277" s="2">
        <v>89.096999999999994</v>
      </c>
      <c r="I277" s="2">
        <v>433.452</v>
      </c>
      <c r="J277" s="2">
        <v>434.36900000000003</v>
      </c>
      <c r="K277" s="3">
        <v>1913.4269999999999</v>
      </c>
      <c r="L277" s="3">
        <v>585.71199999999999</v>
      </c>
      <c r="M277" s="3">
        <v>2499.1379999999999</v>
      </c>
      <c r="N277" s="3">
        <v>2577.6770000000001</v>
      </c>
      <c r="O277">
        <v>2014</v>
      </c>
      <c r="Q277" s="12" t="str">
        <f>TEXT(VALUE(Table1[[#This Row],[Content.Column7]])*1000,"#,##0")</f>
        <v>344,356</v>
      </c>
      <c r="R277" s="12" t="str">
        <f>TEXT(VALUE(Table1[[#This Row],[Content.Column8]])*1000,"#,##0")</f>
        <v>89,097</v>
      </c>
      <c r="S277" s="12" t="str">
        <f>TEXT(VALUE(Table1[[#This Row],[Content.Column9]])*1000,"#,##0")</f>
        <v>433,452</v>
      </c>
      <c r="T277" s="12" t="str">
        <f>TEXT(VALUE(Table1[[#This Row],[Content.Column10]])*1000,"#,##0")</f>
        <v>434,369</v>
      </c>
      <c r="U277" s="13" t="str">
        <f>TEXT(VALUE(Table1[[#This Row],[Content.Column11]])*1000,"#,##0")</f>
        <v>1,913,427</v>
      </c>
      <c r="V277" s="13" t="str">
        <f>TEXT(VALUE(Table1[[#This Row],[Content.Column12]])*1000,"#,##0")</f>
        <v>585,712</v>
      </c>
      <c r="W277" s="13" t="str">
        <f>TEXT(VALUE(Table1[[#This Row],[Content.Column13]])*1000,"#,##0")</f>
        <v>2,499,138</v>
      </c>
      <c r="X277" s="13" t="str">
        <f>TEXT(VALUE(Table1[[#This Row],[Content.Column14]])*1000,"#,##0")</f>
        <v>2,577,677</v>
      </c>
      <c r="Y277" s="14" t="str">
        <f>TEXT(VALUE(Table1[[#This Row],[Content.Column3]])*1000,"#,##0")</f>
        <v>2,257,782</v>
      </c>
      <c r="Z277" s="14" t="str">
        <f>TEXT(VALUE(Table1[[#This Row],[Content.Column4]])*1000,"#,##0")</f>
        <v>674,809</v>
      </c>
      <c r="AA277" s="14" t="str">
        <f>TEXT(VALUE(Table1[[#This Row],[Content.Column5]])*1000,"#,##0")</f>
        <v>2,932,590</v>
      </c>
      <c r="AB277" s="14" t="str">
        <f>TEXT(VALUE(Table1[[#This Row],[Content.Column6]])*1000,"#,##0")</f>
        <v>3,012,045</v>
      </c>
    </row>
    <row r="278" spans="1:28" x14ac:dyDescent="0.3">
      <c r="A278" t="s">
        <v>94</v>
      </c>
      <c r="B278" t="s">
        <v>95</v>
      </c>
      <c r="C278" s="6">
        <v>1236.5999999999999</v>
      </c>
      <c r="D278" s="1">
        <v>566.947</v>
      </c>
      <c r="E278" s="1">
        <v>1803.546</v>
      </c>
      <c r="F278" s="1">
        <v>1844.46</v>
      </c>
      <c r="G278" s="2">
        <v>201.98599999999999</v>
      </c>
      <c r="H278" s="2">
        <v>107.82599999999999</v>
      </c>
      <c r="I278" s="2">
        <v>309.81200000000001</v>
      </c>
      <c r="J278" s="2">
        <v>310.40499999999997</v>
      </c>
      <c r="K278" s="3">
        <v>1034.614</v>
      </c>
      <c r="L278" s="3">
        <v>459.12099999999998</v>
      </c>
      <c r="M278" s="3">
        <v>1493.7339999999999</v>
      </c>
      <c r="N278" s="3">
        <v>1534.0550000000001</v>
      </c>
      <c r="O278">
        <v>2014</v>
      </c>
      <c r="Q278" s="12" t="str">
        <f>TEXT(VALUE(Table1[[#This Row],[Content.Column7]])*1000,"#,##0")</f>
        <v>201,986</v>
      </c>
      <c r="R278" s="12" t="str">
        <f>TEXT(VALUE(Table1[[#This Row],[Content.Column8]])*1000,"#,##0")</f>
        <v>107,826</v>
      </c>
      <c r="S278" s="12" t="str">
        <f>TEXT(VALUE(Table1[[#This Row],[Content.Column9]])*1000,"#,##0")</f>
        <v>309,812</v>
      </c>
      <c r="T278" s="12" t="str">
        <f>TEXT(VALUE(Table1[[#This Row],[Content.Column10]])*1000,"#,##0")</f>
        <v>310,405</v>
      </c>
      <c r="U278" s="13" t="str">
        <f>TEXT(VALUE(Table1[[#This Row],[Content.Column11]])*1000,"#,##0")</f>
        <v>1,034,614</v>
      </c>
      <c r="V278" s="13" t="str">
        <f>TEXT(VALUE(Table1[[#This Row],[Content.Column12]])*1000,"#,##0")</f>
        <v>459,121</v>
      </c>
      <c r="W278" s="13" t="str">
        <f>TEXT(VALUE(Table1[[#This Row],[Content.Column13]])*1000,"#,##0")</f>
        <v>1,493,734</v>
      </c>
      <c r="X278" s="13" t="str">
        <f>TEXT(VALUE(Table1[[#This Row],[Content.Column14]])*1000,"#,##0")</f>
        <v>1,534,055</v>
      </c>
      <c r="Y278" s="14" t="str">
        <f>TEXT(VALUE(Table1[[#This Row],[Content.Column3]])*1000,"#,##0")</f>
        <v>1,236,600</v>
      </c>
      <c r="Z278" s="14" t="str">
        <f>TEXT(VALUE(Table1[[#This Row],[Content.Column4]])*1000,"#,##0")</f>
        <v>566,947</v>
      </c>
      <c r="AA278" s="14" t="str">
        <f>TEXT(VALUE(Table1[[#This Row],[Content.Column5]])*1000,"#,##0")</f>
        <v>1,803,546</v>
      </c>
      <c r="AB278" s="14" t="str">
        <f>TEXT(VALUE(Table1[[#This Row],[Content.Column6]])*1000,"#,##0")</f>
        <v>1,844,460</v>
      </c>
    </row>
    <row r="279" spans="1:28" x14ac:dyDescent="0.3">
      <c r="A279" t="s">
        <v>96</v>
      </c>
      <c r="B279" t="s">
        <v>97</v>
      </c>
      <c r="C279" s="6">
        <v>685.89</v>
      </c>
      <c r="D279" s="1">
        <v>347.83600000000001</v>
      </c>
      <c r="E279" s="1">
        <v>1033.7260000000001</v>
      </c>
      <c r="F279" s="1">
        <v>1065.932</v>
      </c>
      <c r="G279" s="2">
        <v>150.05000000000001</v>
      </c>
      <c r="H279" s="2">
        <v>91.241</v>
      </c>
      <c r="I279" s="2">
        <v>241.291</v>
      </c>
      <c r="J279" s="2">
        <v>248.756</v>
      </c>
      <c r="K279" s="3">
        <v>535.84</v>
      </c>
      <c r="L279" s="3">
        <v>256.59500000000003</v>
      </c>
      <c r="M279" s="3">
        <v>792.43600000000004</v>
      </c>
      <c r="N279" s="3">
        <v>817.17600000000004</v>
      </c>
      <c r="O279">
        <v>2014</v>
      </c>
      <c r="Q279" s="12" t="str">
        <f>TEXT(VALUE(Table1[[#This Row],[Content.Column7]])*1000,"#,##0")</f>
        <v>150,050</v>
      </c>
      <c r="R279" s="12" t="str">
        <f>TEXT(VALUE(Table1[[#This Row],[Content.Column8]])*1000,"#,##0")</f>
        <v>91,241</v>
      </c>
      <c r="S279" s="12" t="str">
        <f>TEXT(VALUE(Table1[[#This Row],[Content.Column9]])*1000,"#,##0")</f>
        <v>241,291</v>
      </c>
      <c r="T279" s="12" t="str">
        <f>TEXT(VALUE(Table1[[#This Row],[Content.Column10]])*1000,"#,##0")</f>
        <v>248,756</v>
      </c>
      <c r="U279" s="13" t="str">
        <f>TEXT(VALUE(Table1[[#This Row],[Content.Column11]])*1000,"#,##0")</f>
        <v>535,840</v>
      </c>
      <c r="V279" s="13" t="str">
        <f>TEXT(VALUE(Table1[[#This Row],[Content.Column12]])*1000,"#,##0")</f>
        <v>256,595</v>
      </c>
      <c r="W279" s="13" t="str">
        <f>TEXT(VALUE(Table1[[#This Row],[Content.Column13]])*1000,"#,##0")</f>
        <v>792,436</v>
      </c>
      <c r="X279" s="13" t="str">
        <f>TEXT(VALUE(Table1[[#This Row],[Content.Column14]])*1000,"#,##0")</f>
        <v>817,176</v>
      </c>
      <c r="Y279" s="14" t="str">
        <f>TEXT(VALUE(Table1[[#This Row],[Content.Column3]])*1000,"#,##0")</f>
        <v>685,890</v>
      </c>
      <c r="Z279" s="14" t="str">
        <f>TEXT(VALUE(Table1[[#This Row],[Content.Column4]])*1000,"#,##0")</f>
        <v>347,836</v>
      </c>
      <c r="AA279" s="14" t="str">
        <f>TEXT(VALUE(Table1[[#This Row],[Content.Column5]])*1000,"#,##0")</f>
        <v>1,033,726</v>
      </c>
      <c r="AB279" s="14" t="str">
        <f>TEXT(VALUE(Table1[[#This Row],[Content.Column6]])*1000,"#,##0")</f>
        <v>1,065,932</v>
      </c>
    </row>
    <row r="280" spans="1:28" x14ac:dyDescent="0.3">
      <c r="A280" t="s">
        <v>98</v>
      </c>
      <c r="B280" t="s">
        <v>99</v>
      </c>
      <c r="C280" s="6">
        <v>2089.893</v>
      </c>
      <c r="D280" s="1">
        <v>995.74300000000005</v>
      </c>
      <c r="E280" s="1">
        <v>3085.636</v>
      </c>
      <c r="F280" s="1">
        <v>3183.904</v>
      </c>
      <c r="G280" s="2">
        <v>380.71699999999998</v>
      </c>
      <c r="H280" s="2">
        <v>229.649</v>
      </c>
      <c r="I280" s="2">
        <v>610.36599999999999</v>
      </c>
      <c r="J280" s="2">
        <v>634.221</v>
      </c>
      <c r="K280" s="3">
        <v>1709.1759999999999</v>
      </c>
      <c r="L280" s="3">
        <v>766.09400000000005</v>
      </c>
      <c r="M280" s="3">
        <v>2475.27</v>
      </c>
      <c r="N280" s="3">
        <v>2549.683</v>
      </c>
      <c r="O280">
        <v>2014</v>
      </c>
      <c r="Q280" s="12" t="str">
        <f>TEXT(VALUE(Table1[[#This Row],[Content.Column7]])*1000,"#,##0")</f>
        <v>380,717</v>
      </c>
      <c r="R280" s="12" t="str">
        <f>TEXT(VALUE(Table1[[#This Row],[Content.Column8]])*1000,"#,##0")</f>
        <v>229,649</v>
      </c>
      <c r="S280" s="12" t="str">
        <f>TEXT(VALUE(Table1[[#This Row],[Content.Column9]])*1000,"#,##0")</f>
        <v>610,366</v>
      </c>
      <c r="T280" s="12" t="str">
        <f>TEXT(VALUE(Table1[[#This Row],[Content.Column10]])*1000,"#,##0")</f>
        <v>634,221</v>
      </c>
      <c r="U280" s="13" t="str">
        <f>TEXT(VALUE(Table1[[#This Row],[Content.Column11]])*1000,"#,##0")</f>
        <v>1,709,176</v>
      </c>
      <c r="V280" s="13" t="str">
        <f>TEXT(VALUE(Table1[[#This Row],[Content.Column12]])*1000,"#,##0")</f>
        <v>766,094</v>
      </c>
      <c r="W280" s="13" t="str">
        <f>TEXT(VALUE(Table1[[#This Row],[Content.Column13]])*1000,"#,##0")</f>
        <v>2,475,270</v>
      </c>
      <c r="X280" s="13" t="str">
        <f>TEXT(VALUE(Table1[[#This Row],[Content.Column14]])*1000,"#,##0")</f>
        <v>2,549,683</v>
      </c>
      <c r="Y280" s="14" t="str">
        <f>TEXT(VALUE(Table1[[#This Row],[Content.Column3]])*1000,"#,##0")</f>
        <v>2,089,893</v>
      </c>
      <c r="Z280" s="14" t="str">
        <f>TEXT(VALUE(Table1[[#This Row],[Content.Column4]])*1000,"#,##0")</f>
        <v>995,743</v>
      </c>
      <c r="AA280" s="14" t="str">
        <f>TEXT(VALUE(Table1[[#This Row],[Content.Column5]])*1000,"#,##0")</f>
        <v>3,085,636</v>
      </c>
      <c r="AB280" s="14" t="str">
        <f>TEXT(VALUE(Table1[[#This Row],[Content.Column6]])*1000,"#,##0")</f>
        <v>3,183,904</v>
      </c>
    </row>
    <row r="281" spans="1:28" x14ac:dyDescent="0.3">
      <c r="A281" t="s">
        <v>100</v>
      </c>
      <c r="B281" t="s">
        <v>101</v>
      </c>
      <c r="C281" s="6">
        <v>1524.845</v>
      </c>
      <c r="D281" s="1">
        <v>736.351</v>
      </c>
      <c r="E281" s="1">
        <v>2261.1970000000001</v>
      </c>
      <c r="F281" s="1">
        <v>2341.8609999999999</v>
      </c>
      <c r="G281" s="2">
        <v>282.01100000000002</v>
      </c>
      <c r="H281" s="2">
        <v>177.839</v>
      </c>
      <c r="I281" s="2">
        <v>459.851</v>
      </c>
      <c r="J281" s="2">
        <v>481.32799999999997</v>
      </c>
      <c r="K281" s="3">
        <v>1242.8340000000001</v>
      </c>
      <c r="L281" s="3">
        <v>558.51199999999994</v>
      </c>
      <c r="M281" s="3">
        <v>1801.346</v>
      </c>
      <c r="N281" s="3">
        <v>1860.5340000000001</v>
      </c>
      <c r="O281">
        <v>2014</v>
      </c>
      <c r="Q281" s="12" t="str">
        <f>TEXT(VALUE(Table1[[#This Row],[Content.Column7]])*1000,"#,##0")</f>
        <v>282,011</v>
      </c>
      <c r="R281" s="12" t="str">
        <f>TEXT(VALUE(Table1[[#This Row],[Content.Column8]])*1000,"#,##0")</f>
        <v>177,839</v>
      </c>
      <c r="S281" s="12" t="str">
        <f>TEXT(VALUE(Table1[[#This Row],[Content.Column9]])*1000,"#,##0")</f>
        <v>459,851</v>
      </c>
      <c r="T281" s="12" t="str">
        <f>TEXT(VALUE(Table1[[#This Row],[Content.Column10]])*1000,"#,##0")</f>
        <v>481,328</v>
      </c>
      <c r="U281" s="13" t="str">
        <f>TEXT(VALUE(Table1[[#This Row],[Content.Column11]])*1000,"#,##0")</f>
        <v>1,242,834</v>
      </c>
      <c r="V281" s="13" t="str">
        <f>TEXT(VALUE(Table1[[#This Row],[Content.Column12]])*1000,"#,##0")</f>
        <v>558,512</v>
      </c>
      <c r="W281" s="13" t="str">
        <f>TEXT(VALUE(Table1[[#This Row],[Content.Column13]])*1000,"#,##0")</f>
        <v>1,801,346</v>
      </c>
      <c r="X281" s="13" t="str">
        <f>TEXT(VALUE(Table1[[#This Row],[Content.Column14]])*1000,"#,##0")</f>
        <v>1,860,534</v>
      </c>
      <c r="Y281" s="14" t="str">
        <f>TEXT(VALUE(Table1[[#This Row],[Content.Column3]])*1000,"#,##0")</f>
        <v>1,524,845</v>
      </c>
      <c r="Z281" s="14" t="str">
        <f>TEXT(VALUE(Table1[[#This Row],[Content.Column4]])*1000,"#,##0")</f>
        <v>736,351</v>
      </c>
      <c r="AA281" s="14" t="str">
        <f>TEXT(VALUE(Table1[[#This Row],[Content.Column5]])*1000,"#,##0")</f>
        <v>2,261,197</v>
      </c>
      <c r="AB281" s="14" t="str">
        <f>TEXT(VALUE(Table1[[#This Row],[Content.Column6]])*1000,"#,##0")</f>
        <v>2,341,861</v>
      </c>
    </row>
    <row r="282" spans="1:28" x14ac:dyDescent="0.3">
      <c r="A282" t="s">
        <v>102</v>
      </c>
      <c r="B282" t="s">
        <v>103</v>
      </c>
      <c r="C282" s="6">
        <v>1340.1769999999999</v>
      </c>
      <c r="D282" s="1">
        <v>607.16999999999996</v>
      </c>
      <c r="E282" s="1">
        <v>1947.348</v>
      </c>
      <c r="F282" s="1">
        <v>2017.2</v>
      </c>
      <c r="G282" s="2">
        <v>218.87</v>
      </c>
      <c r="H282" s="2">
        <v>129.34200000000001</v>
      </c>
      <c r="I282" s="2">
        <v>348.21199999999999</v>
      </c>
      <c r="J282" s="2">
        <v>368.096</v>
      </c>
      <c r="K282" s="3">
        <v>1121.307</v>
      </c>
      <c r="L282" s="3">
        <v>477.82799999999997</v>
      </c>
      <c r="M282" s="3">
        <v>1599.136</v>
      </c>
      <c r="N282" s="3">
        <v>1649.105</v>
      </c>
      <c r="O282">
        <v>2014</v>
      </c>
      <c r="Q282" s="12" t="str">
        <f>TEXT(VALUE(Table1[[#This Row],[Content.Column7]])*1000,"#,##0")</f>
        <v>218,870</v>
      </c>
      <c r="R282" s="12" t="str">
        <f>TEXT(VALUE(Table1[[#This Row],[Content.Column8]])*1000,"#,##0")</f>
        <v>129,342</v>
      </c>
      <c r="S282" s="12" t="str">
        <f>TEXT(VALUE(Table1[[#This Row],[Content.Column9]])*1000,"#,##0")</f>
        <v>348,212</v>
      </c>
      <c r="T282" s="12" t="str">
        <f>TEXT(VALUE(Table1[[#This Row],[Content.Column10]])*1000,"#,##0")</f>
        <v>368,096</v>
      </c>
      <c r="U282" s="13" t="str">
        <f>TEXT(VALUE(Table1[[#This Row],[Content.Column11]])*1000,"#,##0")</f>
        <v>1,121,307</v>
      </c>
      <c r="V282" s="13" t="str">
        <f>TEXT(VALUE(Table1[[#This Row],[Content.Column12]])*1000,"#,##0")</f>
        <v>477,828</v>
      </c>
      <c r="W282" s="13" t="str">
        <f>TEXT(VALUE(Table1[[#This Row],[Content.Column13]])*1000,"#,##0")</f>
        <v>1,599,136</v>
      </c>
      <c r="X282" s="13" t="str">
        <f>TEXT(VALUE(Table1[[#This Row],[Content.Column14]])*1000,"#,##0")</f>
        <v>1,649,105</v>
      </c>
      <c r="Y282" s="14" t="str">
        <f>TEXT(VALUE(Table1[[#This Row],[Content.Column3]])*1000,"#,##0")</f>
        <v>1,340,177</v>
      </c>
      <c r="Z282" s="14" t="str">
        <f>TEXT(VALUE(Table1[[#This Row],[Content.Column4]])*1000,"#,##0")</f>
        <v>607,170</v>
      </c>
      <c r="AA282" s="14" t="str">
        <f>TEXT(VALUE(Table1[[#This Row],[Content.Column5]])*1000,"#,##0")</f>
        <v>1,947,348</v>
      </c>
      <c r="AB282" s="14" t="str">
        <f>TEXT(VALUE(Table1[[#This Row],[Content.Column6]])*1000,"#,##0")</f>
        <v>2,017,200</v>
      </c>
    </row>
    <row r="283" spans="1:28" x14ac:dyDescent="0.3">
      <c r="A283" t="s">
        <v>104</v>
      </c>
      <c r="B283" t="s">
        <v>105</v>
      </c>
      <c r="C283" s="6">
        <v>1651.9190000000001</v>
      </c>
      <c r="D283" s="1">
        <v>752.05200000000002</v>
      </c>
      <c r="E283" s="1">
        <v>2403.9699999999998</v>
      </c>
      <c r="F283" s="1">
        <v>2486.752</v>
      </c>
      <c r="G283" s="2">
        <v>276.88400000000001</v>
      </c>
      <c r="H283" s="2">
        <v>180.90299999999999</v>
      </c>
      <c r="I283" s="2">
        <v>457.78699999999998</v>
      </c>
      <c r="J283" s="2">
        <v>481.64499999999998</v>
      </c>
      <c r="K283" s="3">
        <v>1375.0350000000001</v>
      </c>
      <c r="L283" s="3">
        <v>571.149</v>
      </c>
      <c r="M283" s="3">
        <v>1946.184</v>
      </c>
      <c r="N283" s="3">
        <v>2005.107</v>
      </c>
      <c r="O283">
        <v>2014</v>
      </c>
      <c r="Q283" s="12" t="str">
        <f>TEXT(VALUE(Table1[[#This Row],[Content.Column7]])*1000,"#,##0")</f>
        <v>276,884</v>
      </c>
      <c r="R283" s="12" t="str">
        <f>TEXT(VALUE(Table1[[#This Row],[Content.Column8]])*1000,"#,##0")</f>
        <v>180,903</v>
      </c>
      <c r="S283" s="12" t="str">
        <f>TEXT(VALUE(Table1[[#This Row],[Content.Column9]])*1000,"#,##0")</f>
        <v>457,787</v>
      </c>
      <c r="T283" s="12" t="str">
        <f>TEXT(VALUE(Table1[[#This Row],[Content.Column10]])*1000,"#,##0")</f>
        <v>481,645</v>
      </c>
      <c r="U283" s="13" t="str">
        <f>TEXT(VALUE(Table1[[#This Row],[Content.Column11]])*1000,"#,##0")</f>
        <v>1,375,035</v>
      </c>
      <c r="V283" s="13" t="str">
        <f>TEXT(VALUE(Table1[[#This Row],[Content.Column12]])*1000,"#,##0")</f>
        <v>571,149</v>
      </c>
      <c r="W283" s="13" t="str">
        <f>TEXT(VALUE(Table1[[#This Row],[Content.Column13]])*1000,"#,##0")</f>
        <v>1,946,184</v>
      </c>
      <c r="X283" s="13" t="str">
        <f>TEXT(VALUE(Table1[[#This Row],[Content.Column14]])*1000,"#,##0")</f>
        <v>2,005,107</v>
      </c>
      <c r="Y283" s="14" t="str">
        <f>TEXT(VALUE(Table1[[#This Row],[Content.Column3]])*1000,"#,##0")</f>
        <v>1,651,919</v>
      </c>
      <c r="Z283" s="14" t="str">
        <f>TEXT(VALUE(Table1[[#This Row],[Content.Column4]])*1000,"#,##0")</f>
        <v>752,052</v>
      </c>
      <c r="AA283" s="14" t="str">
        <f>TEXT(VALUE(Table1[[#This Row],[Content.Column5]])*1000,"#,##0")</f>
        <v>2,403,970</v>
      </c>
      <c r="AB283" s="14" t="str">
        <f>TEXT(VALUE(Table1[[#This Row],[Content.Column6]])*1000,"#,##0")</f>
        <v>2,486,752</v>
      </c>
    </row>
    <row r="284" spans="1:28" x14ac:dyDescent="0.3">
      <c r="A284" t="s">
        <v>106</v>
      </c>
      <c r="B284" t="s">
        <v>107</v>
      </c>
      <c r="C284" s="6">
        <v>1690.222</v>
      </c>
      <c r="D284" s="1">
        <v>866.61099999999999</v>
      </c>
      <c r="E284" s="1">
        <v>2556.8310000000001</v>
      </c>
      <c r="F284" s="1">
        <v>2659.308</v>
      </c>
      <c r="G284" s="2">
        <v>243.55699999999999</v>
      </c>
      <c r="H284" s="2">
        <v>186.16900000000001</v>
      </c>
      <c r="I284" s="2">
        <v>429.726</v>
      </c>
      <c r="J284" s="2">
        <v>449.43099999999998</v>
      </c>
      <c r="K284" s="3">
        <v>1446.664</v>
      </c>
      <c r="L284" s="3">
        <v>680.44200000000001</v>
      </c>
      <c r="M284" s="3">
        <v>2127.105</v>
      </c>
      <c r="N284" s="3">
        <v>2209.877</v>
      </c>
      <c r="O284">
        <v>2014</v>
      </c>
      <c r="Q284" s="12" t="str">
        <f>TEXT(VALUE(Table1[[#This Row],[Content.Column7]])*1000,"#,##0")</f>
        <v>243,557</v>
      </c>
      <c r="R284" s="12" t="str">
        <f>TEXT(VALUE(Table1[[#This Row],[Content.Column8]])*1000,"#,##0")</f>
        <v>186,169</v>
      </c>
      <c r="S284" s="12" t="str">
        <f>TEXT(VALUE(Table1[[#This Row],[Content.Column9]])*1000,"#,##0")</f>
        <v>429,726</v>
      </c>
      <c r="T284" s="12" t="str">
        <f>TEXT(VALUE(Table1[[#This Row],[Content.Column10]])*1000,"#,##0")</f>
        <v>449,431</v>
      </c>
      <c r="U284" s="13" t="str">
        <f>TEXT(VALUE(Table1[[#This Row],[Content.Column11]])*1000,"#,##0")</f>
        <v>1,446,664</v>
      </c>
      <c r="V284" s="13" t="str">
        <f>TEXT(VALUE(Table1[[#This Row],[Content.Column12]])*1000,"#,##0")</f>
        <v>680,442</v>
      </c>
      <c r="W284" s="13" t="str">
        <f>TEXT(VALUE(Table1[[#This Row],[Content.Column13]])*1000,"#,##0")</f>
        <v>2,127,105</v>
      </c>
      <c r="X284" s="13" t="str">
        <f>TEXT(VALUE(Table1[[#This Row],[Content.Column14]])*1000,"#,##0")</f>
        <v>2,209,877</v>
      </c>
      <c r="Y284" s="14" t="str">
        <f>TEXT(VALUE(Table1[[#This Row],[Content.Column3]])*1000,"#,##0")</f>
        <v>1,690,222</v>
      </c>
      <c r="Z284" s="14" t="str">
        <f>TEXT(VALUE(Table1[[#This Row],[Content.Column4]])*1000,"#,##0")</f>
        <v>866,611</v>
      </c>
      <c r="AA284" s="14" t="str">
        <f>TEXT(VALUE(Table1[[#This Row],[Content.Column5]])*1000,"#,##0")</f>
        <v>2,556,831</v>
      </c>
      <c r="AB284" s="14" t="str">
        <f>TEXT(VALUE(Table1[[#This Row],[Content.Column6]])*1000,"#,##0")</f>
        <v>2,659,308</v>
      </c>
    </row>
    <row r="285" spans="1:28" x14ac:dyDescent="0.3">
      <c r="A285" t="s">
        <v>108</v>
      </c>
      <c r="B285" t="s">
        <v>109</v>
      </c>
      <c r="C285" s="6">
        <v>3494.8110000000001</v>
      </c>
      <c r="D285" s="1">
        <v>1241.8520000000001</v>
      </c>
      <c r="E285" s="1">
        <v>4736.6620000000003</v>
      </c>
      <c r="F285" s="1">
        <v>4857.3109999999997</v>
      </c>
      <c r="G285" s="2">
        <v>546.77099999999996</v>
      </c>
      <c r="H285" s="2">
        <v>197.01900000000001</v>
      </c>
      <c r="I285" s="2">
        <v>743.79</v>
      </c>
      <c r="J285" s="2">
        <v>745.58</v>
      </c>
      <c r="K285" s="3">
        <v>2948.0410000000002</v>
      </c>
      <c r="L285" s="3">
        <v>1044.8330000000001</v>
      </c>
      <c r="M285" s="3">
        <v>3992.8719999999998</v>
      </c>
      <c r="N285" s="3">
        <v>4111.732</v>
      </c>
      <c r="O285">
        <v>2014</v>
      </c>
      <c r="Q285" s="12" t="str">
        <f>TEXT(VALUE(Table1[[#This Row],[Content.Column7]])*1000,"#,##0")</f>
        <v>546,771</v>
      </c>
      <c r="R285" s="12" t="str">
        <f>TEXT(VALUE(Table1[[#This Row],[Content.Column8]])*1000,"#,##0")</f>
        <v>197,019</v>
      </c>
      <c r="S285" s="12" t="str">
        <f>TEXT(VALUE(Table1[[#This Row],[Content.Column9]])*1000,"#,##0")</f>
        <v>743,790</v>
      </c>
      <c r="T285" s="12" t="str">
        <f>TEXT(VALUE(Table1[[#This Row],[Content.Column10]])*1000,"#,##0")</f>
        <v>745,580</v>
      </c>
      <c r="U285" s="13" t="str">
        <f>TEXT(VALUE(Table1[[#This Row],[Content.Column11]])*1000,"#,##0")</f>
        <v>2,948,041</v>
      </c>
      <c r="V285" s="13" t="str">
        <f>TEXT(VALUE(Table1[[#This Row],[Content.Column12]])*1000,"#,##0")</f>
        <v>1,044,833</v>
      </c>
      <c r="W285" s="13" t="str">
        <f>TEXT(VALUE(Table1[[#This Row],[Content.Column13]])*1000,"#,##0")</f>
        <v>3,992,872</v>
      </c>
      <c r="X285" s="13" t="str">
        <f>TEXT(VALUE(Table1[[#This Row],[Content.Column14]])*1000,"#,##0")</f>
        <v>4,111,732</v>
      </c>
      <c r="Y285" s="14" t="str">
        <f>TEXT(VALUE(Table1[[#This Row],[Content.Column3]])*1000,"#,##0")</f>
        <v>3,494,811</v>
      </c>
      <c r="Z285" s="14" t="str">
        <f>TEXT(VALUE(Table1[[#This Row],[Content.Column4]])*1000,"#,##0")</f>
        <v>1,241,852</v>
      </c>
      <c r="AA285" s="14" t="str">
        <f>TEXT(VALUE(Table1[[#This Row],[Content.Column5]])*1000,"#,##0")</f>
        <v>4,736,662</v>
      </c>
      <c r="AB285" s="14" t="str">
        <f>TEXT(VALUE(Table1[[#This Row],[Content.Column6]])*1000,"#,##0")</f>
        <v>4,857,311</v>
      </c>
    </row>
    <row r="286" spans="1:28" x14ac:dyDescent="0.3">
      <c r="A286" t="s">
        <v>110</v>
      </c>
      <c r="B286" t="s">
        <v>111</v>
      </c>
      <c r="C286" s="6">
        <v>2649.797</v>
      </c>
      <c r="D286" s="1">
        <v>1258.241</v>
      </c>
      <c r="E286" s="1">
        <v>3908.038</v>
      </c>
      <c r="F286" s="1">
        <v>4046.69</v>
      </c>
      <c r="G286" s="2">
        <v>368.40199999999999</v>
      </c>
      <c r="H286" s="2">
        <v>246.49100000000001</v>
      </c>
      <c r="I286" s="2">
        <v>614.89300000000003</v>
      </c>
      <c r="J286" s="2">
        <v>636.07000000000005</v>
      </c>
      <c r="K286" s="3">
        <v>2281.395</v>
      </c>
      <c r="L286" s="3">
        <v>1011.75</v>
      </c>
      <c r="M286" s="3">
        <v>3293.145</v>
      </c>
      <c r="N286" s="3">
        <v>3410.62</v>
      </c>
      <c r="O286">
        <v>2014</v>
      </c>
      <c r="Q286" s="12" t="str">
        <f>TEXT(VALUE(Table1[[#This Row],[Content.Column7]])*1000,"#,##0")</f>
        <v>368,402</v>
      </c>
      <c r="R286" s="12" t="str">
        <f>TEXT(VALUE(Table1[[#This Row],[Content.Column8]])*1000,"#,##0")</f>
        <v>246,491</v>
      </c>
      <c r="S286" s="12" t="str">
        <f>TEXT(VALUE(Table1[[#This Row],[Content.Column9]])*1000,"#,##0")</f>
        <v>614,893</v>
      </c>
      <c r="T286" s="12" t="str">
        <f>TEXT(VALUE(Table1[[#This Row],[Content.Column10]])*1000,"#,##0")</f>
        <v>636,070</v>
      </c>
      <c r="U286" s="13" t="str">
        <f>TEXT(VALUE(Table1[[#This Row],[Content.Column11]])*1000,"#,##0")</f>
        <v>2,281,395</v>
      </c>
      <c r="V286" s="13" t="str">
        <f>TEXT(VALUE(Table1[[#This Row],[Content.Column12]])*1000,"#,##0")</f>
        <v>1,011,750</v>
      </c>
      <c r="W286" s="13" t="str">
        <f>TEXT(VALUE(Table1[[#This Row],[Content.Column13]])*1000,"#,##0")</f>
        <v>3,293,145</v>
      </c>
      <c r="X286" s="13" t="str">
        <f>TEXT(VALUE(Table1[[#This Row],[Content.Column14]])*1000,"#,##0")</f>
        <v>3,410,620</v>
      </c>
      <c r="Y286" s="14" t="str">
        <f>TEXT(VALUE(Table1[[#This Row],[Content.Column3]])*1000,"#,##0")</f>
        <v>2,649,797</v>
      </c>
      <c r="Z286" s="14" t="str">
        <f>TEXT(VALUE(Table1[[#This Row],[Content.Column4]])*1000,"#,##0")</f>
        <v>1,258,241</v>
      </c>
      <c r="AA286" s="14" t="str">
        <f>TEXT(VALUE(Table1[[#This Row],[Content.Column5]])*1000,"#,##0")</f>
        <v>3,908,038</v>
      </c>
      <c r="AB286" s="14" t="str">
        <f>TEXT(VALUE(Table1[[#This Row],[Content.Column6]])*1000,"#,##0")</f>
        <v>4,046,690</v>
      </c>
    </row>
    <row r="287" spans="1:28" x14ac:dyDescent="0.3">
      <c r="A287" t="s">
        <v>112</v>
      </c>
      <c r="B287" t="s">
        <v>113</v>
      </c>
      <c r="C287" s="6">
        <v>1522.721</v>
      </c>
      <c r="D287" s="1">
        <v>829.71</v>
      </c>
      <c r="E287" s="1">
        <v>2352.4319999999998</v>
      </c>
      <c r="F287" s="1">
        <v>2478.2190000000001</v>
      </c>
      <c r="G287" s="2">
        <v>246.179</v>
      </c>
      <c r="H287" s="2">
        <v>180.255</v>
      </c>
      <c r="I287" s="2">
        <v>426.435</v>
      </c>
      <c r="J287" s="2">
        <v>469.976</v>
      </c>
      <c r="K287" s="3">
        <v>1276.5419999999999</v>
      </c>
      <c r="L287" s="3">
        <v>649.45500000000004</v>
      </c>
      <c r="M287" s="3">
        <v>1925.9970000000001</v>
      </c>
      <c r="N287" s="3">
        <v>2008.2429999999999</v>
      </c>
      <c r="O287">
        <v>2014</v>
      </c>
      <c r="Q287" s="12" t="str">
        <f>TEXT(VALUE(Table1[[#This Row],[Content.Column7]])*1000,"#,##0")</f>
        <v>246,179</v>
      </c>
      <c r="R287" s="12" t="str">
        <f>TEXT(VALUE(Table1[[#This Row],[Content.Column8]])*1000,"#,##0")</f>
        <v>180,255</v>
      </c>
      <c r="S287" s="12" t="str">
        <f>TEXT(VALUE(Table1[[#This Row],[Content.Column9]])*1000,"#,##0")</f>
        <v>426,435</v>
      </c>
      <c r="T287" s="12" t="str">
        <f>TEXT(VALUE(Table1[[#This Row],[Content.Column10]])*1000,"#,##0")</f>
        <v>469,976</v>
      </c>
      <c r="U287" s="13" t="str">
        <f>TEXT(VALUE(Table1[[#This Row],[Content.Column11]])*1000,"#,##0")</f>
        <v>1,276,542</v>
      </c>
      <c r="V287" s="13" t="str">
        <f>TEXT(VALUE(Table1[[#This Row],[Content.Column12]])*1000,"#,##0")</f>
        <v>649,455</v>
      </c>
      <c r="W287" s="13" t="str">
        <f>TEXT(VALUE(Table1[[#This Row],[Content.Column13]])*1000,"#,##0")</f>
        <v>1,925,997</v>
      </c>
      <c r="X287" s="13" t="str">
        <f>TEXT(VALUE(Table1[[#This Row],[Content.Column14]])*1000,"#,##0")</f>
        <v>2,008,243</v>
      </c>
      <c r="Y287" s="14" t="str">
        <f>TEXT(VALUE(Table1[[#This Row],[Content.Column3]])*1000,"#,##0")</f>
        <v>1,522,721</v>
      </c>
      <c r="Z287" s="14" t="str">
        <f>TEXT(VALUE(Table1[[#This Row],[Content.Column4]])*1000,"#,##0")</f>
        <v>829,710</v>
      </c>
      <c r="AA287" s="14" t="str">
        <f>TEXT(VALUE(Table1[[#This Row],[Content.Column5]])*1000,"#,##0")</f>
        <v>2,352,432</v>
      </c>
      <c r="AB287" s="14" t="str">
        <f>TEXT(VALUE(Table1[[#This Row],[Content.Column6]])*1000,"#,##0")</f>
        <v>2,478,219</v>
      </c>
    </row>
    <row r="288" spans="1:28" x14ac:dyDescent="0.3">
      <c r="A288" t="s">
        <v>114</v>
      </c>
      <c r="B288" t="s">
        <v>115</v>
      </c>
      <c r="C288" s="6">
        <v>786.85299999999995</v>
      </c>
      <c r="D288" s="1">
        <v>421.83199999999999</v>
      </c>
      <c r="E288" s="1">
        <v>1208.684</v>
      </c>
      <c r="F288" s="1">
        <v>1292.672</v>
      </c>
      <c r="G288" s="2">
        <v>192.27500000000001</v>
      </c>
      <c r="H288" s="2">
        <v>136.48099999999999</v>
      </c>
      <c r="I288" s="2">
        <v>328.75599999999997</v>
      </c>
      <c r="J288" s="2">
        <v>371.66800000000001</v>
      </c>
      <c r="K288" s="3">
        <v>594.577</v>
      </c>
      <c r="L288" s="3">
        <v>285.351</v>
      </c>
      <c r="M288" s="3">
        <v>879.92899999999997</v>
      </c>
      <c r="N288" s="3">
        <v>921.00400000000002</v>
      </c>
      <c r="O288">
        <v>2014</v>
      </c>
      <c r="Q288" s="12" t="str">
        <f>TEXT(VALUE(Table1[[#This Row],[Content.Column7]])*1000,"#,##0")</f>
        <v>192,275</v>
      </c>
      <c r="R288" s="12" t="str">
        <f>TEXT(VALUE(Table1[[#This Row],[Content.Column8]])*1000,"#,##0")</f>
        <v>136,481</v>
      </c>
      <c r="S288" s="12" t="str">
        <f>TEXT(VALUE(Table1[[#This Row],[Content.Column9]])*1000,"#,##0")</f>
        <v>328,756</v>
      </c>
      <c r="T288" s="12" t="str">
        <f>TEXT(VALUE(Table1[[#This Row],[Content.Column10]])*1000,"#,##0")</f>
        <v>371,668</v>
      </c>
      <c r="U288" s="13" t="str">
        <f>TEXT(VALUE(Table1[[#This Row],[Content.Column11]])*1000,"#,##0")</f>
        <v>594,577</v>
      </c>
      <c r="V288" s="13" t="str">
        <f>TEXT(VALUE(Table1[[#This Row],[Content.Column12]])*1000,"#,##0")</f>
        <v>285,351</v>
      </c>
      <c r="W288" s="13" t="str">
        <f>TEXT(VALUE(Table1[[#This Row],[Content.Column13]])*1000,"#,##0")</f>
        <v>879,929</v>
      </c>
      <c r="X288" s="13" t="str">
        <f>TEXT(VALUE(Table1[[#This Row],[Content.Column14]])*1000,"#,##0")</f>
        <v>921,004</v>
      </c>
      <c r="Y288" s="14" t="str">
        <f>TEXT(VALUE(Table1[[#This Row],[Content.Column3]])*1000,"#,##0")</f>
        <v>786,853</v>
      </c>
      <c r="Z288" s="14" t="str">
        <f>TEXT(VALUE(Table1[[#This Row],[Content.Column4]])*1000,"#,##0")</f>
        <v>421,832</v>
      </c>
      <c r="AA288" s="14" t="str">
        <f>TEXT(VALUE(Table1[[#This Row],[Content.Column5]])*1000,"#,##0")</f>
        <v>1,208,684</v>
      </c>
      <c r="AB288" s="14" t="str">
        <f>TEXT(VALUE(Table1[[#This Row],[Content.Column6]])*1000,"#,##0")</f>
        <v>1,292,672</v>
      </c>
    </row>
    <row r="289" spans="1:28" x14ac:dyDescent="0.3">
      <c r="A289" t="s">
        <v>116</v>
      </c>
      <c r="B289" t="s">
        <v>117</v>
      </c>
      <c r="C289" s="6">
        <v>1644.4590000000001</v>
      </c>
      <c r="D289" s="1">
        <v>792.63199999999995</v>
      </c>
      <c r="E289" s="1">
        <v>2437.0889999999999</v>
      </c>
      <c r="F289" s="1">
        <v>2540.1689999999999</v>
      </c>
      <c r="G289" s="2">
        <v>376.82499999999999</v>
      </c>
      <c r="H289" s="2">
        <v>222.3</v>
      </c>
      <c r="I289" s="2">
        <v>599.125</v>
      </c>
      <c r="J289" s="2">
        <v>638.59699999999998</v>
      </c>
      <c r="K289" s="3">
        <v>1267.634</v>
      </c>
      <c r="L289" s="3">
        <v>570.33100000000002</v>
      </c>
      <c r="M289" s="3">
        <v>1837.9649999999999</v>
      </c>
      <c r="N289" s="3">
        <v>1901.5719999999999</v>
      </c>
      <c r="O289">
        <v>2014</v>
      </c>
      <c r="Q289" s="12" t="str">
        <f>TEXT(VALUE(Table1[[#This Row],[Content.Column7]])*1000,"#,##0")</f>
        <v>376,825</v>
      </c>
      <c r="R289" s="12" t="str">
        <f>TEXT(VALUE(Table1[[#This Row],[Content.Column8]])*1000,"#,##0")</f>
        <v>222,300</v>
      </c>
      <c r="S289" s="12" t="str">
        <f>TEXT(VALUE(Table1[[#This Row],[Content.Column9]])*1000,"#,##0")</f>
        <v>599,125</v>
      </c>
      <c r="T289" s="12" t="str">
        <f>TEXT(VALUE(Table1[[#This Row],[Content.Column10]])*1000,"#,##0")</f>
        <v>638,597</v>
      </c>
      <c r="U289" s="13" t="str">
        <f>TEXT(VALUE(Table1[[#This Row],[Content.Column11]])*1000,"#,##0")</f>
        <v>1,267,634</v>
      </c>
      <c r="V289" s="13" t="str">
        <f>TEXT(VALUE(Table1[[#This Row],[Content.Column12]])*1000,"#,##0")</f>
        <v>570,331</v>
      </c>
      <c r="W289" s="13" t="str">
        <f>TEXT(VALUE(Table1[[#This Row],[Content.Column13]])*1000,"#,##0")</f>
        <v>1,837,965</v>
      </c>
      <c r="X289" s="13" t="str">
        <f>TEXT(VALUE(Table1[[#This Row],[Content.Column14]])*1000,"#,##0")</f>
        <v>1,901,572</v>
      </c>
      <c r="Y289" s="14" t="str">
        <f>TEXT(VALUE(Table1[[#This Row],[Content.Column3]])*1000,"#,##0")</f>
        <v>1,644,459</v>
      </c>
      <c r="Z289" s="14" t="str">
        <f>TEXT(VALUE(Table1[[#This Row],[Content.Column4]])*1000,"#,##0")</f>
        <v>792,632</v>
      </c>
      <c r="AA289" s="14" t="str">
        <f>TEXT(VALUE(Table1[[#This Row],[Content.Column5]])*1000,"#,##0")</f>
        <v>2,437,089</v>
      </c>
      <c r="AB289" s="14" t="str">
        <f>TEXT(VALUE(Table1[[#This Row],[Content.Column6]])*1000,"#,##0")</f>
        <v>2,540,169</v>
      </c>
    </row>
    <row r="290" spans="1:28" x14ac:dyDescent="0.3">
      <c r="A290" t="s">
        <v>118</v>
      </c>
      <c r="B290" t="s">
        <v>119</v>
      </c>
      <c r="C290" s="6">
        <v>16650.274000000001</v>
      </c>
      <c r="D290" s="1">
        <v>7635.5659999999998</v>
      </c>
      <c r="E290" s="1">
        <v>24285.839</v>
      </c>
      <c r="F290" s="1">
        <v>25137.178</v>
      </c>
      <c r="G290" s="2">
        <v>2713.44</v>
      </c>
      <c r="H290" s="2">
        <v>1618.9079999999999</v>
      </c>
      <c r="I290" s="2">
        <v>4332.3490000000002</v>
      </c>
      <c r="J290" s="2">
        <v>4515.1009999999997</v>
      </c>
      <c r="K290" s="3">
        <v>13936.834000000001</v>
      </c>
      <c r="L290" s="3">
        <v>6016.6580000000004</v>
      </c>
      <c r="M290" s="3">
        <v>19953.490000000002</v>
      </c>
      <c r="N290" s="3">
        <v>20622.077000000001</v>
      </c>
      <c r="O290">
        <v>2014</v>
      </c>
      <c r="Q290" s="12" t="str">
        <f>TEXT(VALUE(Table1[[#This Row],[Content.Column7]])*1000,"#,##0")</f>
        <v>2,713,440</v>
      </c>
      <c r="R290" s="12" t="str">
        <f>TEXT(VALUE(Table1[[#This Row],[Content.Column8]])*1000,"#,##0")</f>
        <v>1,618,908</v>
      </c>
      <c r="S290" s="12" t="str">
        <f>TEXT(VALUE(Table1[[#This Row],[Content.Column9]])*1000,"#,##0")</f>
        <v>4,332,349</v>
      </c>
      <c r="T290" s="12" t="str">
        <f>TEXT(VALUE(Table1[[#This Row],[Content.Column10]])*1000,"#,##0")</f>
        <v>4,515,101</v>
      </c>
      <c r="U290" s="13" t="str">
        <f>TEXT(VALUE(Table1[[#This Row],[Content.Column11]])*1000,"#,##0")</f>
        <v>13,936,834</v>
      </c>
      <c r="V290" s="13" t="str">
        <f>TEXT(VALUE(Table1[[#This Row],[Content.Column12]])*1000,"#,##0")</f>
        <v>6,016,658</v>
      </c>
      <c r="W290" s="13" t="str">
        <f>TEXT(VALUE(Table1[[#This Row],[Content.Column13]])*1000,"#,##0")</f>
        <v>19,953,490</v>
      </c>
      <c r="X290" s="13" t="str">
        <f>TEXT(VALUE(Table1[[#This Row],[Content.Column14]])*1000,"#,##0")</f>
        <v>20,622,077</v>
      </c>
      <c r="Y290" s="14" t="str">
        <f>TEXT(VALUE(Table1[[#This Row],[Content.Column3]])*1000,"#,##0")</f>
        <v>16,650,274</v>
      </c>
      <c r="Z290" s="14" t="str">
        <f>TEXT(VALUE(Table1[[#This Row],[Content.Column4]])*1000,"#,##0")</f>
        <v>7,635,566</v>
      </c>
      <c r="AA290" s="14" t="str">
        <f>TEXT(VALUE(Table1[[#This Row],[Content.Column5]])*1000,"#,##0")</f>
        <v>24,285,839</v>
      </c>
      <c r="AB290" s="14" t="str">
        <f>TEXT(VALUE(Table1[[#This Row],[Content.Column6]])*1000,"#,##0")</f>
        <v>25,137,178</v>
      </c>
    </row>
    <row r="291" spans="1:28" x14ac:dyDescent="0.3">
      <c r="A291" t="s">
        <v>120</v>
      </c>
      <c r="B291" t="s">
        <v>121</v>
      </c>
      <c r="C291" s="6">
        <v>19081.584999999999</v>
      </c>
      <c r="D291" s="1">
        <v>8850.0290000000005</v>
      </c>
      <c r="E291" s="1">
        <v>27931.613000000001</v>
      </c>
      <c r="F291" s="1">
        <v>28970.019</v>
      </c>
      <c r="G291" s="2">
        <v>3282.54</v>
      </c>
      <c r="H291" s="2">
        <v>1977.6890000000001</v>
      </c>
      <c r="I291" s="2">
        <v>5260.23</v>
      </c>
      <c r="J291" s="2">
        <v>5525.3670000000002</v>
      </c>
      <c r="K291" s="3">
        <v>15799.045</v>
      </c>
      <c r="L291" s="3">
        <v>6872.3410000000003</v>
      </c>
      <c r="M291" s="3">
        <v>22671.383000000002</v>
      </c>
      <c r="N291" s="3">
        <v>23444.652999999998</v>
      </c>
      <c r="O291">
        <v>2014</v>
      </c>
      <c r="Q291" s="12" t="str">
        <f>TEXT(VALUE(Table1[[#This Row],[Content.Column7]])*1000,"#,##0")</f>
        <v>3,282,540</v>
      </c>
      <c r="R291" s="12" t="str">
        <f>TEXT(VALUE(Table1[[#This Row],[Content.Column8]])*1000,"#,##0")</f>
        <v>1,977,689</v>
      </c>
      <c r="S291" s="12" t="str">
        <f>TEXT(VALUE(Table1[[#This Row],[Content.Column9]])*1000,"#,##0")</f>
        <v>5,260,230</v>
      </c>
      <c r="T291" s="12" t="str">
        <f>TEXT(VALUE(Table1[[#This Row],[Content.Column10]])*1000,"#,##0")</f>
        <v>5,525,367</v>
      </c>
      <c r="U291" s="13" t="str">
        <f>TEXT(VALUE(Table1[[#This Row],[Content.Column11]])*1000,"#,##0")</f>
        <v>15,799,045</v>
      </c>
      <c r="V291" s="13" t="str">
        <f>TEXT(VALUE(Table1[[#This Row],[Content.Column12]])*1000,"#,##0")</f>
        <v>6,872,341</v>
      </c>
      <c r="W291" s="13" t="str">
        <f>TEXT(VALUE(Table1[[#This Row],[Content.Column13]])*1000,"#,##0")</f>
        <v>22,671,383</v>
      </c>
      <c r="X291" s="13" t="str">
        <f>TEXT(VALUE(Table1[[#This Row],[Content.Column14]])*1000,"#,##0")</f>
        <v>23,444,653</v>
      </c>
      <c r="Y291" s="14" t="str">
        <f>TEXT(VALUE(Table1[[#This Row],[Content.Column3]])*1000,"#,##0")</f>
        <v>19,081,585</v>
      </c>
      <c r="Z291" s="14" t="str">
        <f>TEXT(VALUE(Table1[[#This Row],[Content.Column4]])*1000,"#,##0")</f>
        <v>8,850,029</v>
      </c>
      <c r="AA291" s="14" t="str">
        <f>TEXT(VALUE(Table1[[#This Row],[Content.Column5]])*1000,"#,##0")</f>
        <v>27,931,613</v>
      </c>
      <c r="AB291" s="14" t="str">
        <f>TEXT(VALUE(Table1[[#This Row],[Content.Column6]])*1000,"#,##0")</f>
        <v>28,970,019</v>
      </c>
    </row>
    <row r="292" spans="1:28" x14ac:dyDescent="0.3">
      <c r="A292" t="s">
        <v>26</v>
      </c>
      <c r="B292" t="s">
        <v>27</v>
      </c>
      <c r="C292" s="6">
        <v>379.34500000000003</v>
      </c>
      <c r="D292" s="1">
        <v>59.853999999999999</v>
      </c>
      <c r="E292" s="1">
        <v>439.19900000000001</v>
      </c>
      <c r="F292" s="1">
        <v>455.505</v>
      </c>
      <c r="G292" s="2">
        <v>13.236000000000001</v>
      </c>
      <c r="H292" s="2">
        <v>2.391</v>
      </c>
      <c r="I292" s="2">
        <v>15.627000000000001</v>
      </c>
      <c r="J292" s="2">
        <v>15.654999999999999</v>
      </c>
      <c r="K292" s="3">
        <v>366.11</v>
      </c>
      <c r="L292" s="3">
        <v>57.463000000000001</v>
      </c>
      <c r="M292" s="3">
        <v>423.572</v>
      </c>
      <c r="N292" s="3">
        <v>439.85</v>
      </c>
      <c r="O292">
        <v>2015</v>
      </c>
      <c r="Q292" s="12" t="str">
        <f>TEXT(VALUE(Table1[[#This Row],[Content.Column7]])*1000,"#,##0")</f>
        <v>13,236</v>
      </c>
      <c r="R292" s="12" t="str">
        <f>TEXT(VALUE(Table1[[#This Row],[Content.Column8]])*1000,"#,##0")</f>
        <v>2,391</v>
      </c>
      <c r="S292" s="12" t="str">
        <f>TEXT(VALUE(Table1[[#This Row],[Content.Column9]])*1000,"#,##0")</f>
        <v>15,627</v>
      </c>
      <c r="T292" s="12" t="str">
        <f>TEXT(VALUE(Table1[[#This Row],[Content.Column10]])*1000,"#,##0")</f>
        <v>15,655</v>
      </c>
      <c r="U292" s="13" t="str">
        <f>TEXT(VALUE(Table1[[#This Row],[Content.Column11]])*1000,"#,##0")</f>
        <v>366,110</v>
      </c>
      <c r="V292" s="13" t="str">
        <f>TEXT(VALUE(Table1[[#This Row],[Content.Column12]])*1000,"#,##0")</f>
        <v>57,463</v>
      </c>
      <c r="W292" s="13" t="str">
        <f>TEXT(VALUE(Table1[[#This Row],[Content.Column13]])*1000,"#,##0")</f>
        <v>423,572</v>
      </c>
      <c r="X292" s="13" t="str">
        <f>TEXT(VALUE(Table1[[#This Row],[Content.Column14]])*1000,"#,##0")</f>
        <v>439,850</v>
      </c>
      <c r="Y292" s="14" t="str">
        <f>TEXT(VALUE(Table1[[#This Row],[Content.Column3]])*1000,"#,##0")</f>
        <v>379,345</v>
      </c>
      <c r="Z292" s="14" t="str">
        <f>TEXT(VALUE(Table1[[#This Row],[Content.Column4]])*1000,"#,##0")</f>
        <v>59,854</v>
      </c>
      <c r="AA292" s="14" t="str">
        <f>TEXT(VALUE(Table1[[#This Row],[Content.Column5]])*1000,"#,##0")</f>
        <v>439,199</v>
      </c>
      <c r="AB292" s="14" t="str">
        <f>TEXT(VALUE(Table1[[#This Row],[Content.Column6]])*1000,"#,##0")</f>
        <v>455,505</v>
      </c>
    </row>
    <row r="293" spans="1:28" x14ac:dyDescent="0.3">
      <c r="A293" t="s">
        <v>28</v>
      </c>
      <c r="B293" t="s">
        <v>29</v>
      </c>
      <c r="C293" s="6">
        <v>35.15</v>
      </c>
      <c r="D293" s="1">
        <v>15.438000000000001</v>
      </c>
      <c r="E293" s="1">
        <v>50.588000000000001</v>
      </c>
      <c r="F293" s="1">
        <v>52.183999999999997</v>
      </c>
      <c r="G293" s="2">
        <v>7.0339999999999998</v>
      </c>
      <c r="H293" s="2">
        <v>3.972</v>
      </c>
      <c r="I293" s="2">
        <v>11.006</v>
      </c>
      <c r="J293" s="2">
        <v>11.02</v>
      </c>
      <c r="K293" s="3">
        <v>28.116</v>
      </c>
      <c r="L293" s="3">
        <v>11.465999999999999</v>
      </c>
      <c r="M293" s="3">
        <v>39.582000000000001</v>
      </c>
      <c r="N293" s="3">
        <v>41.164000000000001</v>
      </c>
      <c r="O293">
        <v>2015</v>
      </c>
      <c r="Q293" s="12" t="str">
        <f>TEXT(VALUE(Table1[[#This Row],[Content.Column7]])*1000,"#,##0")</f>
        <v>7,034</v>
      </c>
      <c r="R293" s="12" t="str">
        <f>TEXT(VALUE(Table1[[#This Row],[Content.Column8]])*1000,"#,##0")</f>
        <v>3,972</v>
      </c>
      <c r="S293" s="12" t="str">
        <f>TEXT(VALUE(Table1[[#This Row],[Content.Column9]])*1000,"#,##0")</f>
        <v>11,006</v>
      </c>
      <c r="T293" s="12" t="str">
        <f>TEXT(VALUE(Table1[[#This Row],[Content.Column10]])*1000,"#,##0")</f>
        <v>11,020</v>
      </c>
      <c r="U293" s="13" t="str">
        <f>TEXT(VALUE(Table1[[#This Row],[Content.Column11]])*1000,"#,##0")</f>
        <v>28,116</v>
      </c>
      <c r="V293" s="13" t="str">
        <f>TEXT(VALUE(Table1[[#This Row],[Content.Column12]])*1000,"#,##0")</f>
        <v>11,466</v>
      </c>
      <c r="W293" s="13" t="str">
        <f>TEXT(VALUE(Table1[[#This Row],[Content.Column13]])*1000,"#,##0")</f>
        <v>39,582</v>
      </c>
      <c r="X293" s="13" t="str">
        <f>TEXT(VALUE(Table1[[#This Row],[Content.Column14]])*1000,"#,##0")</f>
        <v>41,164</v>
      </c>
      <c r="Y293" s="14" t="str">
        <f>TEXT(VALUE(Table1[[#This Row],[Content.Column3]])*1000,"#,##0")</f>
        <v>35,150</v>
      </c>
      <c r="Z293" s="14" t="str">
        <f>TEXT(VALUE(Table1[[#This Row],[Content.Column4]])*1000,"#,##0")</f>
        <v>15,438</v>
      </c>
      <c r="AA293" s="14" t="str">
        <f>TEXT(VALUE(Table1[[#This Row],[Content.Column5]])*1000,"#,##0")</f>
        <v>50,588</v>
      </c>
      <c r="AB293" s="14" t="str">
        <f>TEXT(VALUE(Table1[[#This Row],[Content.Column6]])*1000,"#,##0")</f>
        <v>52,184</v>
      </c>
    </row>
    <row r="294" spans="1:28" x14ac:dyDescent="0.3">
      <c r="A294" t="s">
        <v>30</v>
      </c>
      <c r="B294" t="s">
        <v>31</v>
      </c>
      <c r="C294" s="6">
        <v>85.55</v>
      </c>
      <c r="D294" s="1">
        <v>43.000999999999998</v>
      </c>
      <c r="E294" s="1">
        <v>128.55000000000001</v>
      </c>
      <c r="F294" s="1">
        <v>133.54300000000001</v>
      </c>
      <c r="G294" s="2">
        <v>14.598000000000001</v>
      </c>
      <c r="H294" s="2">
        <v>8.1129999999999995</v>
      </c>
      <c r="I294" s="2">
        <v>22.712</v>
      </c>
      <c r="J294" s="2">
        <v>22.762</v>
      </c>
      <c r="K294" s="3">
        <v>70.950999999999993</v>
      </c>
      <c r="L294" s="3">
        <v>34.887</v>
      </c>
      <c r="M294" s="3">
        <v>105.839</v>
      </c>
      <c r="N294" s="3">
        <v>110.78100000000001</v>
      </c>
      <c r="O294">
        <v>2015</v>
      </c>
      <c r="Q294" s="12" t="str">
        <f>TEXT(VALUE(Table1[[#This Row],[Content.Column7]])*1000,"#,##0")</f>
        <v>14,598</v>
      </c>
      <c r="R294" s="12" t="str">
        <f>TEXT(VALUE(Table1[[#This Row],[Content.Column8]])*1000,"#,##0")</f>
        <v>8,113</v>
      </c>
      <c r="S294" s="12" t="str">
        <f>TEXT(VALUE(Table1[[#This Row],[Content.Column9]])*1000,"#,##0")</f>
        <v>22,712</v>
      </c>
      <c r="T294" s="12" t="str">
        <f>TEXT(VALUE(Table1[[#This Row],[Content.Column10]])*1000,"#,##0")</f>
        <v>22,762</v>
      </c>
      <c r="U294" s="13" t="str">
        <f>TEXT(VALUE(Table1[[#This Row],[Content.Column11]])*1000,"#,##0")</f>
        <v>70,951</v>
      </c>
      <c r="V294" s="13" t="str">
        <f>TEXT(VALUE(Table1[[#This Row],[Content.Column12]])*1000,"#,##0")</f>
        <v>34,887</v>
      </c>
      <c r="W294" s="13" t="str">
        <f>TEXT(VALUE(Table1[[#This Row],[Content.Column13]])*1000,"#,##0")</f>
        <v>105,839</v>
      </c>
      <c r="X294" s="13" t="str">
        <f>TEXT(VALUE(Table1[[#This Row],[Content.Column14]])*1000,"#,##0")</f>
        <v>110,781</v>
      </c>
      <c r="Y294" s="14" t="str">
        <f>TEXT(VALUE(Table1[[#This Row],[Content.Column3]])*1000,"#,##0")</f>
        <v>85,550</v>
      </c>
      <c r="Z294" s="14" t="str">
        <f>TEXT(VALUE(Table1[[#This Row],[Content.Column4]])*1000,"#,##0")</f>
        <v>43,001</v>
      </c>
      <c r="AA294" s="14" t="str">
        <f>TEXT(VALUE(Table1[[#This Row],[Content.Column5]])*1000,"#,##0")</f>
        <v>128,550</v>
      </c>
      <c r="AB294" s="14" t="str">
        <f>TEXT(VALUE(Table1[[#This Row],[Content.Column6]])*1000,"#,##0")</f>
        <v>133,543</v>
      </c>
    </row>
    <row r="295" spans="1:28" x14ac:dyDescent="0.3">
      <c r="A295" t="s">
        <v>32</v>
      </c>
      <c r="B295" t="s">
        <v>33</v>
      </c>
      <c r="C295" s="6">
        <v>45.924999999999997</v>
      </c>
      <c r="D295" s="1">
        <v>25.161999999999999</v>
      </c>
      <c r="E295" s="1">
        <v>71.085999999999999</v>
      </c>
      <c r="F295" s="1">
        <v>73.161000000000001</v>
      </c>
      <c r="G295" s="2">
        <v>6.577</v>
      </c>
      <c r="H295" s="2">
        <v>4.2709999999999999</v>
      </c>
      <c r="I295" s="2">
        <v>10.848000000000001</v>
      </c>
      <c r="J295" s="2">
        <v>10.885999999999999</v>
      </c>
      <c r="K295" s="3">
        <v>39.347999999999999</v>
      </c>
      <c r="L295" s="3">
        <v>20.890999999999998</v>
      </c>
      <c r="M295" s="3">
        <v>60.238</v>
      </c>
      <c r="N295" s="3">
        <v>62.274999999999999</v>
      </c>
      <c r="O295">
        <v>2015</v>
      </c>
      <c r="Q295" s="12" t="str">
        <f>TEXT(VALUE(Table1[[#This Row],[Content.Column7]])*1000,"#,##0")</f>
        <v>6,577</v>
      </c>
      <c r="R295" s="12" t="str">
        <f>TEXT(VALUE(Table1[[#This Row],[Content.Column8]])*1000,"#,##0")</f>
        <v>4,271</v>
      </c>
      <c r="S295" s="12" t="str">
        <f>TEXT(VALUE(Table1[[#This Row],[Content.Column9]])*1000,"#,##0")</f>
        <v>10,848</v>
      </c>
      <c r="T295" s="12" t="str">
        <f>TEXT(VALUE(Table1[[#This Row],[Content.Column10]])*1000,"#,##0")</f>
        <v>10,886</v>
      </c>
      <c r="U295" s="13" t="str">
        <f>TEXT(VALUE(Table1[[#This Row],[Content.Column11]])*1000,"#,##0")</f>
        <v>39,348</v>
      </c>
      <c r="V295" s="13" t="str">
        <f>TEXT(VALUE(Table1[[#This Row],[Content.Column12]])*1000,"#,##0")</f>
        <v>20,891</v>
      </c>
      <c r="W295" s="13" t="str">
        <f>TEXT(VALUE(Table1[[#This Row],[Content.Column13]])*1000,"#,##0")</f>
        <v>60,238</v>
      </c>
      <c r="X295" s="13" t="str">
        <f>TEXT(VALUE(Table1[[#This Row],[Content.Column14]])*1000,"#,##0")</f>
        <v>62,275</v>
      </c>
      <c r="Y295" s="14" t="str">
        <f>TEXT(VALUE(Table1[[#This Row],[Content.Column3]])*1000,"#,##0")</f>
        <v>45,925</v>
      </c>
      <c r="Z295" s="14" t="str">
        <f>TEXT(VALUE(Table1[[#This Row],[Content.Column4]])*1000,"#,##0")</f>
        <v>25,162</v>
      </c>
      <c r="AA295" s="14" t="str">
        <f>TEXT(VALUE(Table1[[#This Row],[Content.Column5]])*1000,"#,##0")</f>
        <v>71,086</v>
      </c>
      <c r="AB295" s="14" t="str">
        <f>TEXT(VALUE(Table1[[#This Row],[Content.Column6]])*1000,"#,##0")</f>
        <v>73,161</v>
      </c>
    </row>
    <row r="296" spans="1:28" x14ac:dyDescent="0.3">
      <c r="A296" t="s">
        <v>34</v>
      </c>
      <c r="B296" t="s">
        <v>35</v>
      </c>
      <c r="C296" s="6">
        <v>83.063000000000002</v>
      </c>
      <c r="D296" s="1">
        <v>31.308</v>
      </c>
      <c r="E296" s="1">
        <v>114.371</v>
      </c>
      <c r="F296" s="1">
        <v>117.152</v>
      </c>
      <c r="G296" s="2">
        <v>16.056999999999999</v>
      </c>
      <c r="H296" s="2">
        <v>4.4649999999999999</v>
      </c>
      <c r="I296" s="2">
        <v>20.523</v>
      </c>
      <c r="J296" s="2">
        <v>20.594000000000001</v>
      </c>
      <c r="K296" s="3">
        <v>67.006</v>
      </c>
      <c r="L296" s="3">
        <v>26.841999999999999</v>
      </c>
      <c r="M296" s="3">
        <v>93.847999999999999</v>
      </c>
      <c r="N296" s="3">
        <v>96.558000000000007</v>
      </c>
      <c r="O296">
        <v>2015</v>
      </c>
      <c r="Q296" s="12" t="str">
        <f>TEXT(VALUE(Table1[[#This Row],[Content.Column7]])*1000,"#,##0")</f>
        <v>16,057</v>
      </c>
      <c r="R296" s="12" t="str">
        <f>TEXT(VALUE(Table1[[#This Row],[Content.Column8]])*1000,"#,##0")</f>
        <v>4,465</v>
      </c>
      <c r="S296" s="12" t="str">
        <f>TEXT(VALUE(Table1[[#This Row],[Content.Column9]])*1000,"#,##0")</f>
        <v>20,523</v>
      </c>
      <c r="T296" s="12" t="str">
        <f>TEXT(VALUE(Table1[[#This Row],[Content.Column10]])*1000,"#,##0")</f>
        <v>20,594</v>
      </c>
      <c r="U296" s="13" t="str">
        <f>TEXT(VALUE(Table1[[#This Row],[Content.Column11]])*1000,"#,##0")</f>
        <v>67,006</v>
      </c>
      <c r="V296" s="13" t="str">
        <f>TEXT(VALUE(Table1[[#This Row],[Content.Column12]])*1000,"#,##0")</f>
        <v>26,842</v>
      </c>
      <c r="W296" s="13" t="str">
        <f>TEXT(VALUE(Table1[[#This Row],[Content.Column13]])*1000,"#,##0")</f>
        <v>93,848</v>
      </c>
      <c r="X296" s="13" t="str">
        <f>TEXT(VALUE(Table1[[#This Row],[Content.Column14]])*1000,"#,##0")</f>
        <v>96,558</v>
      </c>
      <c r="Y296" s="14" t="str">
        <f>TEXT(VALUE(Table1[[#This Row],[Content.Column3]])*1000,"#,##0")</f>
        <v>83,063</v>
      </c>
      <c r="Z296" s="14" t="str">
        <f>TEXT(VALUE(Table1[[#This Row],[Content.Column4]])*1000,"#,##0")</f>
        <v>31,308</v>
      </c>
      <c r="AA296" s="14" t="str">
        <f>TEXT(VALUE(Table1[[#This Row],[Content.Column5]])*1000,"#,##0")</f>
        <v>114,371</v>
      </c>
      <c r="AB296" s="14" t="str">
        <f>TEXT(VALUE(Table1[[#This Row],[Content.Column6]])*1000,"#,##0")</f>
        <v>117,152</v>
      </c>
    </row>
    <row r="297" spans="1:28" x14ac:dyDescent="0.3">
      <c r="A297" t="s">
        <v>36</v>
      </c>
      <c r="B297" t="s">
        <v>37</v>
      </c>
      <c r="C297" s="6">
        <v>66.92</v>
      </c>
      <c r="D297" s="1">
        <v>37.898000000000003</v>
      </c>
      <c r="E297" s="1">
        <v>104.818</v>
      </c>
      <c r="F297" s="1">
        <v>108.914</v>
      </c>
      <c r="G297" s="2">
        <v>8.5549999999999997</v>
      </c>
      <c r="H297" s="2">
        <v>5.8689999999999998</v>
      </c>
      <c r="I297" s="2">
        <v>14.423999999999999</v>
      </c>
      <c r="J297" s="2">
        <v>14.465999999999999</v>
      </c>
      <c r="K297" s="3">
        <v>58.365000000000002</v>
      </c>
      <c r="L297" s="3">
        <v>32.029000000000003</v>
      </c>
      <c r="M297" s="3">
        <v>90.393000000000001</v>
      </c>
      <c r="N297" s="3">
        <v>94.448999999999998</v>
      </c>
      <c r="O297">
        <v>2015</v>
      </c>
      <c r="Q297" s="12" t="str">
        <f>TEXT(VALUE(Table1[[#This Row],[Content.Column7]])*1000,"#,##0")</f>
        <v>8,555</v>
      </c>
      <c r="R297" s="12" t="str">
        <f>TEXT(VALUE(Table1[[#This Row],[Content.Column8]])*1000,"#,##0")</f>
        <v>5,869</v>
      </c>
      <c r="S297" s="12" t="str">
        <f>TEXT(VALUE(Table1[[#This Row],[Content.Column9]])*1000,"#,##0")</f>
        <v>14,424</v>
      </c>
      <c r="T297" s="12" t="str">
        <f>TEXT(VALUE(Table1[[#This Row],[Content.Column10]])*1000,"#,##0")</f>
        <v>14,466</v>
      </c>
      <c r="U297" s="13" t="str">
        <f>TEXT(VALUE(Table1[[#This Row],[Content.Column11]])*1000,"#,##0")</f>
        <v>58,365</v>
      </c>
      <c r="V297" s="13" t="str">
        <f>TEXT(VALUE(Table1[[#This Row],[Content.Column12]])*1000,"#,##0")</f>
        <v>32,029</v>
      </c>
      <c r="W297" s="13" t="str">
        <f>TEXT(VALUE(Table1[[#This Row],[Content.Column13]])*1000,"#,##0")</f>
        <v>90,393</v>
      </c>
      <c r="X297" s="13" t="str">
        <f>TEXT(VALUE(Table1[[#This Row],[Content.Column14]])*1000,"#,##0")</f>
        <v>94,449</v>
      </c>
      <c r="Y297" s="14" t="str">
        <f>TEXT(VALUE(Table1[[#This Row],[Content.Column3]])*1000,"#,##0")</f>
        <v>66,920</v>
      </c>
      <c r="Z297" s="14" t="str">
        <f>TEXT(VALUE(Table1[[#This Row],[Content.Column4]])*1000,"#,##0")</f>
        <v>37,898</v>
      </c>
      <c r="AA297" s="14" t="str">
        <f>TEXT(VALUE(Table1[[#This Row],[Content.Column5]])*1000,"#,##0")</f>
        <v>104,818</v>
      </c>
      <c r="AB297" s="14" t="str">
        <f>TEXT(VALUE(Table1[[#This Row],[Content.Column6]])*1000,"#,##0")</f>
        <v>108,914</v>
      </c>
    </row>
    <row r="298" spans="1:28" x14ac:dyDescent="0.3">
      <c r="A298" t="s">
        <v>38</v>
      </c>
      <c r="B298" t="s">
        <v>39</v>
      </c>
      <c r="C298" s="6">
        <v>263.88299999999998</v>
      </c>
      <c r="D298" s="1">
        <v>77.17</v>
      </c>
      <c r="E298" s="1">
        <v>341.053</v>
      </c>
      <c r="F298" s="1">
        <v>353.55200000000002</v>
      </c>
      <c r="G298" s="2">
        <v>35.304000000000002</v>
      </c>
      <c r="H298" s="2">
        <v>8.8670000000000009</v>
      </c>
      <c r="I298" s="2">
        <v>44.170999999999999</v>
      </c>
      <c r="J298" s="2">
        <v>44.454000000000001</v>
      </c>
      <c r="K298" s="3">
        <v>228.57900000000001</v>
      </c>
      <c r="L298" s="3">
        <v>68.302999999999997</v>
      </c>
      <c r="M298" s="3">
        <v>296.88200000000001</v>
      </c>
      <c r="N298" s="3">
        <v>309.09800000000001</v>
      </c>
      <c r="O298">
        <v>2015</v>
      </c>
      <c r="Q298" s="12" t="str">
        <f>TEXT(VALUE(Table1[[#This Row],[Content.Column7]])*1000,"#,##0")</f>
        <v>35,304</v>
      </c>
      <c r="R298" s="12" t="str">
        <f>TEXT(VALUE(Table1[[#This Row],[Content.Column8]])*1000,"#,##0")</f>
        <v>8,867</v>
      </c>
      <c r="S298" s="12" t="str">
        <f>TEXT(VALUE(Table1[[#This Row],[Content.Column9]])*1000,"#,##0")</f>
        <v>44,171</v>
      </c>
      <c r="T298" s="12" t="str">
        <f>TEXT(VALUE(Table1[[#This Row],[Content.Column10]])*1000,"#,##0")</f>
        <v>44,454</v>
      </c>
      <c r="U298" s="13" t="str">
        <f>TEXT(VALUE(Table1[[#This Row],[Content.Column11]])*1000,"#,##0")</f>
        <v>228,579</v>
      </c>
      <c r="V298" s="13" t="str">
        <f>TEXT(VALUE(Table1[[#This Row],[Content.Column12]])*1000,"#,##0")</f>
        <v>68,303</v>
      </c>
      <c r="W298" s="13" t="str">
        <f>TEXT(VALUE(Table1[[#This Row],[Content.Column13]])*1000,"#,##0")</f>
        <v>296,882</v>
      </c>
      <c r="X298" s="13" t="str">
        <f>TEXT(VALUE(Table1[[#This Row],[Content.Column14]])*1000,"#,##0")</f>
        <v>309,098</v>
      </c>
      <c r="Y298" s="14" t="str">
        <f>TEXT(VALUE(Table1[[#This Row],[Content.Column3]])*1000,"#,##0")</f>
        <v>263,883</v>
      </c>
      <c r="Z298" s="14" t="str">
        <f>TEXT(VALUE(Table1[[#This Row],[Content.Column4]])*1000,"#,##0")</f>
        <v>77,170</v>
      </c>
      <c r="AA298" s="14" t="str">
        <f>TEXT(VALUE(Table1[[#This Row],[Content.Column5]])*1000,"#,##0")</f>
        <v>341,053</v>
      </c>
      <c r="AB298" s="14" t="str">
        <f>TEXT(VALUE(Table1[[#This Row],[Content.Column6]])*1000,"#,##0")</f>
        <v>353,552</v>
      </c>
    </row>
    <row r="299" spans="1:28" x14ac:dyDescent="0.3">
      <c r="A299" t="s">
        <v>40</v>
      </c>
      <c r="B299" t="s">
        <v>41</v>
      </c>
      <c r="C299" s="6">
        <v>78.078999999999994</v>
      </c>
      <c r="D299" s="1">
        <v>38.350999999999999</v>
      </c>
      <c r="E299" s="1">
        <v>116.431</v>
      </c>
      <c r="F299" s="1">
        <v>119.50700000000001</v>
      </c>
      <c r="G299" s="2">
        <v>15.663</v>
      </c>
      <c r="H299" s="2">
        <v>7.6879999999999997</v>
      </c>
      <c r="I299" s="2">
        <v>23.350999999999999</v>
      </c>
      <c r="J299" s="2">
        <v>23.391999999999999</v>
      </c>
      <c r="K299" s="3">
        <v>62.415999999999997</v>
      </c>
      <c r="L299" s="3">
        <v>30.663</v>
      </c>
      <c r="M299" s="3">
        <v>93.078999999999994</v>
      </c>
      <c r="N299" s="3">
        <v>96.114999999999995</v>
      </c>
      <c r="O299">
        <v>2015</v>
      </c>
      <c r="Q299" s="12" t="str">
        <f>TEXT(VALUE(Table1[[#This Row],[Content.Column7]])*1000,"#,##0")</f>
        <v>15,663</v>
      </c>
      <c r="R299" s="12" t="str">
        <f>TEXT(VALUE(Table1[[#This Row],[Content.Column8]])*1000,"#,##0")</f>
        <v>7,688</v>
      </c>
      <c r="S299" s="12" t="str">
        <f>TEXT(VALUE(Table1[[#This Row],[Content.Column9]])*1000,"#,##0")</f>
        <v>23,351</v>
      </c>
      <c r="T299" s="12" t="str">
        <f>TEXT(VALUE(Table1[[#This Row],[Content.Column10]])*1000,"#,##0")</f>
        <v>23,392</v>
      </c>
      <c r="U299" s="13" t="str">
        <f>TEXT(VALUE(Table1[[#This Row],[Content.Column11]])*1000,"#,##0")</f>
        <v>62,416</v>
      </c>
      <c r="V299" s="13" t="str">
        <f>TEXT(VALUE(Table1[[#This Row],[Content.Column12]])*1000,"#,##0")</f>
        <v>30,663</v>
      </c>
      <c r="W299" s="13" t="str">
        <f>TEXT(VALUE(Table1[[#This Row],[Content.Column13]])*1000,"#,##0")</f>
        <v>93,079</v>
      </c>
      <c r="X299" s="13" t="str">
        <f>TEXT(VALUE(Table1[[#This Row],[Content.Column14]])*1000,"#,##0")</f>
        <v>96,115</v>
      </c>
      <c r="Y299" s="14" t="str">
        <f>TEXT(VALUE(Table1[[#This Row],[Content.Column3]])*1000,"#,##0")</f>
        <v>78,079</v>
      </c>
      <c r="Z299" s="14" t="str">
        <f>TEXT(VALUE(Table1[[#This Row],[Content.Column4]])*1000,"#,##0")</f>
        <v>38,351</v>
      </c>
      <c r="AA299" s="14" t="str">
        <f>TEXT(VALUE(Table1[[#This Row],[Content.Column5]])*1000,"#,##0")</f>
        <v>116,431</v>
      </c>
      <c r="AB299" s="14" t="str">
        <f>TEXT(VALUE(Table1[[#This Row],[Content.Column6]])*1000,"#,##0")</f>
        <v>119,507</v>
      </c>
    </row>
    <row r="300" spans="1:28" x14ac:dyDescent="0.3">
      <c r="A300" t="s">
        <v>42</v>
      </c>
      <c r="B300" t="s">
        <v>43</v>
      </c>
      <c r="C300" s="6">
        <v>92.387</v>
      </c>
      <c r="D300" s="1">
        <v>35.982999999999997</v>
      </c>
      <c r="E300" s="1">
        <v>128.37</v>
      </c>
      <c r="F300" s="1">
        <v>131.31299999999999</v>
      </c>
      <c r="G300" s="2">
        <v>13.605</v>
      </c>
      <c r="H300" s="2">
        <v>4.3230000000000004</v>
      </c>
      <c r="I300" s="2">
        <v>17.928000000000001</v>
      </c>
      <c r="J300" s="2">
        <v>17.946999999999999</v>
      </c>
      <c r="K300" s="3">
        <v>78.781999999999996</v>
      </c>
      <c r="L300" s="3">
        <v>31.66</v>
      </c>
      <c r="M300" s="3">
        <v>110.44199999999999</v>
      </c>
      <c r="N300" s="3">
        <v>113.366</v>
      </c>
      <c r="O300">
        <v>2015</v>
      </c>
      <c r="Q300" s="12" t="str">
        <f>TEXT(VALUE(Table1[[#This Row],[Content.Column7]])*1000,"#,##0")</f>
        <v>13,605</v>
      </c>
      <c r="R300" s="12" t="str">
        <f>TEXT(VALUE(Table1[[#This Row],[Content.Column8]])*1000,"#,##0")</f>
        <v>4,323</v>
      </c>
      <c r="S300" s="12" t="str">
        <f>TEXT(VALUE(Table1[[#This Row],[Content.Column9]])*1000,"#,##0")</f>
        <v>17,928</v>
      </c>
      <c r="T300" s="12" t="str">
        <f>TEXT(VALUE(Table1[[#This Row],[Content.Column10]])*1000,"#,##0")</f>
        <v>17,947</v>
      </c>
      <c r="U300" s="13" t="str">
        <f>TEXT(VALUE(Table1[[#This Row],[Content.Column11]])*1000,"#,##0")</f>
        <v>78,782</v>
      </c>
      <c r="V300" s="13" t="str">
        <f>TEXT(VALUE(Table1[[#This Row],[Content.Column12]])*1000,"#,##0")</f>
        <v>31,660</v>
      </c>
      <c r="W300" s="13" t="str">
        <f>TEXT(VALUE(Table1[[#This Row],[Content.Column13]])*1000,"#,##0")</f>
        <v>110,442</v>
      </c>
      <c r="X300" s="13" t="str">
        <f>TEXT(VALUE(Table1[[#This Row],[Content.Column14]])*1000,"#,##0")</f>
        <v>113,366</v>
      </c>
      <c r="Y300" s="14" t="str">
        <f>TEXT(VALUE(Table1[[#This Row],[Content.Column3]])*1000,"#,##0")</f>
        <v>92,387</v>
      </c>
      <c r="Z300" s="14" t="str">
        <f>TEXT(VALUE(Table1[[#This Row],[Content.Column4]])*1000,"#,##0")</f>
        <v>35,983</v>
      </c>
      <c r="AA300" s="14" t="str">
        <f>TEXT(VALUE(Table1[[#This Row],[Content.Column5]])*1000,"#,##0")</f>
        <v>128,370</v>
      </c>
      <c r="AB300" s="14" t="str">
        <f>TEXT(VALUE(Table1[[#This Row],[Content.Column6]])*1000,"#,##0")</f>
        <v>131,313</v>
      </c>
    </row>
    <row r="301" spans="1:28" x14ac:dyDescent="0.3">
      <c r="A301" t="s">
        <v>44</v>
      </c>
      <c r="B301" t="s">
        <v>45</v>
      </c>
      <c r="C301" s="6">
        <v>68.748999999999995</v>
      </c>
      <c r="D301" s="1">
        <v>33.671999999999997</v>
      </c>
      <c r="E301" s="1">
        <v>102.42100000000001</v>
      </c>
      <c r="F301" s="1">
        <v>105.46</v>
      </c>
      <c r="G301" s="2">
        <v>14.369</v>
      </c>
      <c r="H301" s="2">
        <v>7.7069999999999999</v>
      </c>
      <c r="I301" s="2">
        <v>22.074999999999999</v>
      </c>
      <c r="J301" s="2">
        <v>22.282</v>
      </c>
      <c r="K301" s="3">
        <v>54.38</v>
      </c>
      <c r="L301" s="3">
        <v>25.966000000000001</v>
      </c>
      <c r="M301" s="3">
        <v>80.344999999999999</v>
      </c>
      <c r="N301" s="3">
        <v>83.177999999999997</v>
      </c>
      <c r="O301">
        <v>2015</v>
      </c>
      <c r="Q301" s="12" t="str">
        <f>TEXT(VALUE(Table1[[#This Row],[Content.Column7]])*1000,"#,##0")</f>
        <v>14,369</v>
      </c>
      <c r="R301" s="12" t="str">
        <f>TEXT(VALUE(Table1[[#This Row],[Content.Column8]])*1000,"#,##0")</f>
        <v>7,707</v>
      </c>
      <c r="S301" s="12" t="str">
        <f>TEXT(VALUE(Table1[[#This Row],[Content.Column9]])*1000,"#,##0")</f>
        <v>22,075</v>
      </c>
      <c r="T301" s="12" t="str">
        <f>TEXT(VALUE(Table1[[#This Row],[Content.Column10]])*1000,"#,##0")</f>
        <v>22,282</v>
      </c>
      <c r="U301" s="13" t="str">
        <f>TEXT(VALUE(Table1[[#This Row],[Content.Column11]])*1000,"#,##0")</f>
        <v>54,380</v>
      </c>
      <c r="V301" s="13" t="str">
        <f>TEXT(VALUE(Table1[[#This Row],[Content.Column12]])*1000,"#,##0")</f>
        <v>25,966</v>
      </c>
      <c r="W301" s="13" t="str">
        <f>TEXT(VALUE(Table1[[#This Row],[Content.Column13]])*1000,"#,##0")</f>
        <v>80,345</v>
      </c>
      <c r="X301" s="13" t="str">
        <f>TEXT(VALUE(Table1[[#This Row],[Content.Column14]])*1000,"#,##0")</f>
        <v>83,178</v>
      </c>
      <c r="Y301" s="14" t="str">
        <f>TEXT(VALUE(Table1[[#This Row],[Content.Column3]])*1000,"#,##0")</f>
        <v>68,749</v>
      </c>
      <c r="Z301" s="14" t="str">
        <f>TEXT(VALUE(Table1[[#This Row],[Content.Column4]])*1000,"#,##0")</f>
        <v>33,672</v>
      </c>
      <c r="AA301" s="14" t="str">
        <f>TEXT(VALUE(Table1[[#This Row],[Content.Column5]])*1000,"#,##0")</f>
        <v>102,421</v>
      </c>
      <c r="AB301" s="14" t="str">
        <f>TEXT(VALUE(Table1[[#This Row],[Content.Column6]])*1000,"#,##0")</f>
        <v>105,460</v>
      </c>
    </row>
    <row r="302" spans="1:28" x14ac:dyDescent="0.3">
      <c r="A302" t="s">
        <v>46</v>
      </c>
      <c r="B302" t="s">
        <v>47</v>
      </c>
      <c r="C302" s="6">
        <v>49.164000000000001</v>
      </c>
      <c r="D302" s="1">
        <v>30.727</v>
      </c>
      <c r="E302" s="1">
        <v>79.891000000000005</v>
      </c>
      <c r="F302" s="1">
        <v>81.888999999999996</v>
      </c>
      <c r="G302" s="2">
        <v>12.794</v>
      </c>
      <c r="H302" s="2">
        <v>8.9770000000000003</v>
      </c>
      <c r="I302" s="2">
        <v>21.771000000000001</v>
      </c>
      <c r="J302" s="2">
        <v>21.774999999999999</v>
      </c>
      <c r="K302" s="3">
        <v>36.369999999999997</v>
      </c>
      <c r="L302" s="3">
        <v>21.751000000000001</v>
      </c>
      <c r="M302" s="3">
        <v>58.121000000000002</v>
      </c>
      <c r="N302" s="3">
        <v>60.113999999999997</v>
      </c>
      <c r="O302">
        <v>2015</v>
      </c>
      <c r="Q302" s="12" t="str">
        <f>TEXT(VALUE(Table1[[#This Row],[Content.Column7]])*1000,"#,##0")</f>
        <v>12,794</v>
      </c>
      <c r="R302" s="12" t="str">
        <f>TEXT(VALUE(Table1[[#This Row],[Content.Column8]])*1000,"#,##0")</f>
        <v>8,977</v>
      </c>
      <c r="S302" s="12" t="str">
        <f>TEXT(VALUE(Table1[[#This Row],[Content.Column9]])*1000,"#,##0")</f>
        <v>21,771</v>
      </c>
      <c r="T302" s="12" t="str">
        <f>TEXT(VALUE(Table1[[#This Row],[Content.Column10]])*1000,"#,##0")</f>
        <v>21,775</v>
      </c>
      <c r="U302" s="13" t="str">
        <f>TEXT(VALUE(Table1[[#This Row],[Content.Column11]])*1000,"#,##0")</f>
        <v>36,370</v>
      </c>
      <c r="V302" s="13" t="str">
        <f>TEXT(VALUE(Table1[[#This Row],[Content.Column12]])*1000,"#,##0")</f>
        <v>21,751</v>
      </c>
      <c r="W302" s="13" t="str">
        <f>TEXT(VALUE(Table1[[#This Row],[Content.Column13]])*1000,"#,##0")</f>
        <v>58,121</v>
      </c>
      <c r="X302" s="13" t="str">
        <f>TEXT(VALUE(Table1[[#This Row],[Content.Column14]])*1000,"#,##0")</f>
        <v>60,114</v>
      </c>
      <c r="Y302" s="14" t="str">
        <f>TEXT(VALUE(Table1[[#This Row],[Content.Column3]])*1000,"#,##0")</f>
        <v>49,164</v>
      </c>
      <c r="Z302" s="14" t="str">
        <f>TEXT(VALUE(Table1[[#This Row],[Content.Column4]])*1000,"#,##0")</f>
        <v>30,727</v>
      </c>
      <c r="AA302" s="14" t="str">
        <f>TEXT(VALUE(Table1[[#This Row],[Content.Column5]])*1000,"#,##0")</f>
        <v>79,891</v>
      </c>
      <c r="AB302" s="14" t="str">
        <f>TEXT(VALUE(Table1[[#This Row],[Content.Column6]])*1000,"#,##0")</f>
        <v>81,889</v>
      </c>
    </row>
    <row r="303" spans="1:28" x14ac:dyDescent="0.3">
      <c r="A303" t="s">
        <v>48</v>
      </c>
      <c r="B303" t="s">
        <v>49</v>
      </c>
      <c r="C303" s="6">
        <v>79.828999999999994</v>
      </c>
      <c r="D303" s="1">
        <v>28.826000000000001</v>
      </c>
      <c r="E303" s="1">
        <v>108.654</v>
      </c>
      <c r="F303" s="1">
        <v>112.962</v>
      </c>
      <c r="G303" s="2">
        <v>14.244</v>
      </c>
      <c r="H303" s="2">
        <v>5.43</v>
      </c>
      <c r="I303" s="2">
        <v>19.673999999999999</v>
      </c>
      <c r="J303" s="2">
        <v>19.724</v>
      </c>
      <c r="K303" s="3">
        <v>65.584999999999994</v>
      </c>
      <c r="L303" s="3">
        <v>23.396000000000001</v>
      </c>
      <c r="M303" s="3">
        <v>88.980999999999995</v>
      </c>
      <c r="N303" s="3">
        <v>93.238</v>
      </c>
      <c r="O303">
        <v>2015</v>
      </c>
      <c r="Q303" s="12" t="str">
        <f>TEXT(VALUE(Table1[[#This Row],[Content.Column7]])*1000,"#,##0")</f>
        <v>14,244</v>
      </c>
      <c r="R303" s="12" t="str">
        <f>TEXT(VALUE(Table1[[#This Row],[Content.Column8]])*1000,"#,##0")</f>
        <v>5,430</v>
      </c>
      <c r="S303" s="12" t="str">
        <f>TEXT(VALUE(Table1[[#This Row],[Content.Column9]])*1000,"#,##0")</f>
        <v>19,674</v>
      </c>
      <c r="T303" s="12" t="str">
        <f>TEXT(VALUE(Table1[[#This Row],[Content.Column10]])*1000,"#,##0")</f>
        <v>19,724</v>
      </c>
      <c r="U303" s="13" t="str">
        <f>TEXT(VALUE(Table1[[#This Row],[Content.Column11]])*1000,"#,##0")</f>
        <v>65,585</v>
      </c>
      <c r="V303" s="13" t="str">
        <f>TEXT(VALUE(Table1[[#This Row],[Content.Column12]])*1000,"#,##0")</f>
        <v>23,396</v>
      </c>
      <c r="W303" s="13" t="str">
        <f>TEXT(VALUE(Table1[[#This Row],[Content.Column13]])*1000,"#,##0")</f>
        <v>88,981</v>
      </c>
      <c r="X303" s="13" t="str">
        <f>TEXT(VALUE(Table1[[#This Row],[Content.Column14]])*1000,"#,##0")</f>
        <v>93,238</v>
      </c>
      <c r="Y303" s="14" t="str">
        <f>TEXT(VALUE(Table1[[#This Row],[Content.Column3]])*1000,"#,##0")</f>
        <v>79,829</v>
      </c>
      <c r="Z303" s="14" t="str">
        <f>TEXT(VALUE(Table1[[#This Row],[Content.Column4]])*1000,"#,##0")</f>
        <v>28,826</v>
      </c>
      <c r="AA303" s="14" t="str">
        <f>TEXT(VALUE(Table1[[#This Row],[Content.Column5]])*1000,"#,##0")</f>
        <v>108,654</v>
      </c>
      <c r="AB303" s="14" t="str">
        <f>TEXT(VALUE(Table1[[#This Row],[Content.Column6]])*1000,"#,##0")</f>
        <v>112,962</v>
      </c>
    </row>
    <row r="304" spans="1:28" x14ac:dyDescent="0.3">
      <c r="A304" t="s">
        <v>50</v>
      </c>
      <c r="B304" t="s">
        <v>51</v>
      </c>
      <c r="C304" s="6">
        <v>97.194000000000003</v>
      </c>
      <c r="D304" s="1">
        <v>37.374000000000002</v>
      </c>
      <c r="E304" s="1">
        <v>134.56800000000001</v>
      </c>
      <c r="F304" s="1">
        <v>137.59800000000001</v>
      </c>
      <c r="G304" s="2">
        <v>17.728999999999999</v>
      </c>
      <c r="H304" s="2">
        <v>3.2770000000000001</v>
      </c>
      <c r="I304" s="2">
        <v>21.006</v>
      </c>
      <c r="J304" s="2">
        <v>21.062000000000001</v>
      </c>
      <c r="K304" s="3">
        <v>79.463999999999999</v>
      </c>
      <c r="L304" s="3">
        <v>34.097999999999999</v>
      </c>
      <c r="M304" s="3">
        <v>113.562</v>
      </c>
      <c r="N304" s="3">
        <v>116.536</v>
      </c>
      <c r="O304">
        <v>2015</v>
      </c>
      <c r="Q304" s="12" t="str">
        <f>TEXT(VALUE(Table1[[#This Row],[Content.Column7]])*1000,"#,##0")</f>
        <v>17,729</v>
      </c>
      <c r="R304" s="12" t="str">
        <f>TEXT(VALUE(Table1[[#This Row],[Content.Column8]])*1000,"#,##0")</f>
        <v>3,277</v>
      </c>
      <c r="S304" s="12" t="str">
        <f>TEXT(VALUE(Table1[[#This Row],[Content.Column9]])*1000,"#,##0")</f>
        <v>21,006</v>
      </c>
      <c r="T304" s="12" t="str">
        <f>TEXT(VALUE(Table1[[#This Row],[Content.Column10]])*1000,"#,##0")</f>
        <v>21,062</v>
      </c>
      <c r="U304" s="13" t="str">
        <f>TEXT(VALUE(Table1[[#This Row],[Content.Column11]])*1000,"#,##0")</f>
        <v>79,464</v>
      </c>
      <c r="V304" s="13" t="str">
        <f>TEXT(VALUE(Table1[[#This Row],[Content.Column12]])*1000,"#,##0")</f>
        <v>34,098</v>
      </c>
      <c r="W304" s="13" t="str">
        <f>TEXT(VALUE(Table1[[#This Row],[Content.Column13]])*1000,"#,##0")</f>
        <v>113,562</v>
      </c>
      <c r="X304" s="13" t="str">
        <f>TEXT(VALUE(Table1[[#This Row],[Content.Column14]])*1000,"#,##0")</f>
        <v>116,536</v>
      </c>
      <c r="Y304" s="14" t="str">
        <f>TEXT(VALUE(Table1[[#This Row],[Content.Column3]])*1000,"#,##0")</f>
        <v>97,194</v>
      </c>
      <c r="Z304" s="14" t="str">
        <f>TEXT(VALUE(Table1[[#This Row],[Content.Column4]])*1000,"#,##0")</f>
        <v>37,374</v>
      </c>
      <c r="AA304" s="14" t="str">
        <f>TEXT(VALUE(Table1[[#This Row],[Content.Column5]])*1000,"#,##0")</f>
        <v>134,568</v>
      </c>
      <c r="AB304" s="14" t="str">
        <f>TEXT(VALUE(Table1[[#This Row],[Content.Column6]])*1000,"#,##0")</f>
        <v>137,598</v>
      </c>
    </row>
    <row r="305" spans="1:28" x14ac:dyDescent="0.3">
      <c r="A305" t="s">
        <v>52</v>
      </c>
      <c r="B305" t="s">
        <v>53</v>
      </c>
      <c r="C305" s="6">
        <v>44.93</v>
      </c>
      <c r="D305" s="1">
        <v>22.928000000000001</v>
      </c>
      <c r="E305" s="1">
        <v>67.858000000000004</v>
      </c>
      <c r="F305" s="1">
        <v>70.668999999999997</v>
      </c>
      <c r="G305" s="2">
        <v>9.3659999999999997</v>
      </c>
      <c r="H305" s="2">
        <v>3.6019999999999999</v>
      </c>
      <c r="I305" s="2">
        <v>12.968999999999999</v>
      </c>
      <c r="J305" s="2">
        <v>12.99</v>
      </c>
      <c r="K305" s="3">
        <v>35.564</v>
      </c>
      <c r="L305" s="3">
        <v>19.326000000000001</v>
      </c>
      <c r="M305" s="3">
        <v>54.889000000000003</v>
      </c>
      <c r="N305" s="3">
        <v>57.679000000000002</v>
      </c>
      <c r="O305">
        <v>2015</v>
      </c>
      <c r="Q305" s="12" t="str">
        <f>TEXT(VALUE(Table1[[#This Row],[Content.Column7]])*1000,"#,##0")</f>
        <v>9,366</v>
      </c>
      <c r="R305" s="12" t="str">
        <f>TEXT(VALUE(Table1[[#This Row],[Content.Column8]])*1000,"#,##0")</f>
        <v>3,602</v>
      </c>
      <c r="S305" s="12" t="str">
        <f>TEXT(VALUE(Table1[[#This Row],[Content.Column9]])*1000,"#,##0")</f>
        <v>12,969</v>
      </c>
      <c r="T305" s="12" t="str">
        <f>TEXT(VALUE(Table1[[#This Row],[Content.Column10]])*1000,"#,##0")</f>
        <v>12,990</v>
      </c>
      <c r="U305" s="13" t="str">
        <f>TEXT(VALUE(Table1[[#This Row],[Content.Column11]])*1000,"#,##0")</f>
        <v>35,564</v>
      </c>
      <c r="V305" s="13" t="str">
        <f>TEXT(VALUE(Table1[[#This Row],[Content.Column12]])*1000,"#,##0")</f>
        <v>19,326</v>
      </c>
      <c r="W305" s="13" t="str">
        <f>TEXT(VALUE(Table1[[#This Row],[Content.Column13]])*1000,"#,##0")</f>
        <v>54,889</v>
      </c>
      <c r="X305" s="13" t="str">
        <f>TEXT(VALUE(Table1[[#This Row],[Content.Column14]])*1000,"#,##0")</f>
        <v>57,679</v>
      </c>
      <c r="Y305" s="14" t="str">
        <f>TEXT(VALUE(Table1[[#This Row],[Content.Column3]])*1000,"#,##0")</f>
        <v>44,930</v>
      </c>
      <c r="Z305" s="14" t="str">
        <f>TEXT(VALUE(Table1[[#This Row],[Content.Column4]])*1000,"#,##0")</f>
        <v>22,928</v>
      </c>
      <c r="AA305" s="14" t="str">
        <f>TEXT(VALUE(Table1[[#This Row],[Content.Column5]])*1000,"#,##0")</f>
        <v>67,858</v>
      </c>
      <c r="AB305" s="14" t="str">
        <f>TEXT(VALUE(Table1[[#This Row],[Content.Column6]])*1000,"#,##0")</f>
        <v>70,669</v>
      </c>
    </row>
    <row r="306" spans="1:28" x14ac:dyDescent="0.3">
      <c r="A306" t="s">
        <v>54</v>
      </c>
      <c r="B306" t="s">
        <v>55</v>
      </c>
      <c r="C306" s="6">
        <v>47.67</v>
      </c>
      <c r="D306" s="1">
        <v>23.359000000000002</v>
      </c>
      <c r="E306" s="1">
        <v>71.028999999999996</v>
      </c>
      <c r="F306" s="1">
        <v>73.477000000000004</v>
      </c>
      <c r="G306" s="2">
        <v>5.8869999999999996</v>
      </c>
      <c r="H306" s="2">
        <v>4.9160000000000004</v>
      </c>
      <c r="I306" s="2">
        <v>10.803000000000001</v>
      </c>
      <c r="J306" s="2">
        <v>10.821999999999999</v>
      </c>
      <c r="K306" s="3">
        <v>41.783000000000001</v>
      </c>
      <c r="L306" s="3">
        <v>18.443000000000001</v>
      </c>
      <c r="M306" s="3">
        <v>60.225999999999999</v>
      </c>
      <c r="N306" s="3">
        <v>62.655000000000001</v>
      </c>
      <c r="O306">
        <v>2015</v>
      </c>
      <c r="Q306" s="12" t="str">
        <f>TEXT(VALUE(Table1[[#This Row],[Content.Column7]])*1000,"#,##0")</f>
        <v>5,887</v>
      </c>
      <c r="R306" s="12" t="str">
        <f>TEXT(VALUE(Table1[[#This Row],[Content.Column8]])*1000,"#,##0")</f>
        <v>4,916</v>
      </c>
      <c r="S306" s="12" t="str">
        <f>TEXT(VALUE(Table1[[#This Row],[Content.Column9]])*1000,"#,##0")</f>
        <v>10,803</v>
      </c>
      <c r="T306" s="12" t="str">
        <f>TEXT(VALUE(Table1[[#This Row],[Content.Column10]])*1000,"#,##0")</f>
        <v>10,822</v>
      </c>
      <c r="U306" s="13" t="str">
        <f>TEXT(VALUE(Table1[[#This Row],[Content.Column11]])*1000,"#,##0")</f>
        <v>41,783</v>
      </c>
      <c r="V306" s="13" t="str">
        <f>TEXT(VALUE(Table1[[#This Row],[Content.Column12]])*1000,"#,##0")</f>
        <v>18,443</v>
      </c>
      <c r="W306" s="13" t="str">
        <f>TEXT(VALUE(Table1[[#This Row],[Content.Column13]])*1000,"#,##0")</f>
        <v>60,226</v>
      </c>
      <c r="X306" s="13" t="str">
        <f>TEXT(VALUE(Table1[[#This Row],[Content.Column14]])*1000,"#,##0")</f>
        <v>62,655</v>
      </c>
      <c r="Y306" s="14" t="str">
        <f>TEXT(VALUE(Table1[[#This Row],[Content.Column3]])*1000,"#,##0")</f>
        <v>47,670</v>
      </c>
      <c r="Z306" s="14" t="str">
        <f>TEXT(VALUE(Table1[[#This Row],[Content.Column4]])*1000,"#,##0")</f>
        <v>23,359</v>
      </c>
      <c r="AA306" s="14" t="str">
        <f>TEXT(VALUE(Table1[[#This Row],[Content.Column5]])*1000,"#,##0")</f>
        <v>71,029</v>
      </c>
      <c r="AB306" s="14" t="str">
        <f>TEXT(VALUE(Table1[[#This Row],[Content.Column6]])*1000,"#,##0")</f>
        <v>73,477</v>
      </c>
    </row>
    <row r="307" spans="1:28" x14ac:dyDescent="0.3">
      <c r="A307" t="s">
        <v>56</v>
      </c>
      <c r="B307" t="s">
        <v>57</v>
      </c>
      <c r="C307" s="6">
        <v>52.000999999999998</v>
      </c>
      <c r="D307" s="1">
        <v>27.059000000000001</v>
      </c>
      <c r="E307" s="1">
        <v>79.058000000000007</v>
      </c>
      <c r="F307" s="1">
        <v>81.335999999999999</v>
      </c>
      <c r="G307" s="2">
        <v>10.901999999999999</v>
      </c>
      <c r="H307" s="2">
        <v>5.6189999999999998</v>
      </c>
      <c r="I307" s="2">
        <v>16.521000000000001</v>
      </c>
      <c r="J307" s="2">
        <v>16.547999999999998</v>
      </c>
      <c r="K307" s="3">
        <v>41.098999999999997</v>
      </c>
      <c r="L307" s="3">
        <v>21.44</v>
      </c>
      <c r="M307" s="3">
        <v>62.536999999999999</v>
      </c>
      <c r="N307" s="3">
        <v>64.787999999999997</v>
      </c>
      <c r="O307">
        <v>2015</v>
      </c>
      <c r="Q307" s="12" t="str">
        <f>TEXT(VALUE(Table1[[#This Row],[Content.Column7]])*1000,"#,##0")</f>
        <v>10,902</v>
      </c>
      <c r="R307" s="12" t="str">
        <f>TEXT(VALUE(Table1[[#This Row],[Content.Column8]])*1000,"#,##0")</f>
        <v>5,619</v>
      </c>
      <c r="S307" s="12" t="str">
        <f>TEXT(VALUE(Table1[[#This Row],[Content.Column9]])*1000,"#,##0")</f>
        <v>16,521</v>
      </c>
      <c r="T307" s="12" t="str">
        <f>TEXT(VALUE(Table1[[#This Row],[Content.Column10]])*1000,"#,##0")</f>
        <v>16,548</v>
      </c>
      <c r="U307" s="13" t="str">
        <f>TEXT(VALUE(Table1[[#This Row],[Content.Column11]])*1000,"#,##0")</f>
        <v>41,099</v>
      </c>
      <c r="V307" s="13" t="str">
        <f>TEXT(VALUE(Table1[[#This Row],[Content.Column12]])*1000,"#,##0")</f>
        <v>21,440</v>
      </c>
      <c r="W307" s="13" t="str">
        <f>TEXT(VALUE(Table1[[#This Row],[Content.Column13]])*1000,"#,##0")</f>
        <v>62,537</v>
      </c>
      <c r="X307" s="13" t="str">
        <f>TEXT(VALUE(Table1[[#This Row],[Content.Column14]])*1000,"#,##0")</f>
        <v>64,788</v>
      </c>
      <c r="Y307" s="14" t="str">
        <f>TEXT(VALUE(Table1[[#This Row],[Content.Column3]])*1000,"#,##0")</f>
        <v>52,001</v>
      </c>
      <c r="Z307" s="14" t="str">
        <f>TEXT(VALUE(Table1[[#This Row],[Content.Column4]])*1000,"#,##0")</f>
        <v>27,059</v>
      </c>
      <c r="AA307" s="14" t="str">
        <f>TEXT(VALUE(Table1[[#This Row],[Content.Column5]])*1000,"#,##0")</f>
        <v>79,058</v>
      </c>
      <c r="AB307" s="14" t="str">
        <f>TEXT(VALUE(Table1[[#This Row],[Content.Column6]])*1000,"#,##0")</f>
        <v>81,336</v>
      </c>
    </row>
    <row r="308" spans="1:28" x14ac:dyDescent="0.3">
      <c r="A308" t="s">
        <v>58</v>
      </c>
      <c r="B308" t="s">
        <v>59</v>
      </c>
      <c r="C308" s="6">
        <v>135.15899999999999</v>
      </c>
      <c r="D308" s="1">
        <v>45.91</v>
      </c>
      <c r="E308" s="1">
        <v>181.06899999999999</v>
      </c>
      <c r="F308" s="1">
        <v>184.303</v>
      </c>
      <c r="G308" s="2">
        <v>14.606999999999999</v>
      </c>
      <c r="H308" s="2">
        <v>8.8810000000000002</v>
      </c>
      <c r="I308" s="2">
        <v>23.488</v>
      </c>
      <c r="J308" s="2">
        <v>23.564</v>
      </c>
      <c r="K308" s="3">
        <v>120.55200000000001</v>
      </c>
      <c r="L308" s="3">
        <v>37.029000000000003</v>
      </c>
      <c r="M308" s="3">
        <v>157.58099999999999</v>
      </c>
      <c r="N308" s="3">
        <v>160.739</v>
      </c>
      <c r="O308">
        <v>2015</v>
      </c>
      <c r="Q308" s="12" t="str">
        <f>TEXT(VALUE(Table1[[#This Row],[Content.Column7]])*1000,"#,##0")</f>
        <v>14,607</v>
      </c>
      <c r="R308" s="12" t="str">
        <f>TEXT(VALUE(Table1[[#This Row],[Content.Column8]])*1000,"#,##0")</f>
        <v>8,881</v>
      </c>
      <c r="S308" s="12" t="str">
        <f>TEXT(VALUE(Table1[[#This Row],[Content.Column9]])*1000,"#,##0")</f>
        <v>23,488</v>
      </c>
      <c r="T308" s="12" t="str">
        <f>TEXT(VALUE(Table1[[#This Row],[Content.Column10]])*1000,"#,##0")</f>
        <v>23,564</v>
      </c>
      <c r="U308" s="13" t="str">
        <f>TEXT(VALUE(Table1[[#This Row],[Content.Column11]])*1000,"#,##0")</f>
        <v>120,552</v>
      </c>
      <c r="V308" s="13" t="str">
        <f>TEXT(VALUE(Table1[[#This Row],[Content.Column12]])*1000,"#,##0")</f>
        <v>37,029</v>
      </c>
      <c r="W308" s="13" t="str">
        <f>TEXT(VALUE(Table1[[#This Row],[Content.Column13]])*1000,"#,##0")</f>
        <v>157,581</v>
      </c>
      <c r="X308" s="13" t="str">
        <f>TEXT(VALUE(Table1[[#This Row],[Content.Column14]])*1000,"#,##0")</f>
        <v>160,739</v>
      </c>
      <c r="Y308" s="14" t="str">
        <f>TEXT(VALUE(Table1[[#This Row],[Content.Column3]])*1000,"#,##0")</f>
        <v>135,159</v>
      </c>
      <c r="Z308" s="14" t="str">
        <f>TEXT(VALUE(Table1[[#This Row],[Content.Column4]])*1000,"#,##0")</f>
        <v>45,910</v>
      </c>
      <c r="AA308" s="14" t="str">
        <f>TEXT(VALUE(Table1[[#This Row],[Content.Column5]])*1000,"#,##0")</f>
        <v>181,069</v>
      </c>
      <c r="AB308" s="14" t="str">
        <f>TEXT(VALUE(Table1[[#This Row],[Content.Column6]])*1000,"#,##0")</f>
        <v>184,303</v>
      </c>
    </row>
    <row r="309" spans="1:28" x14ac:dyDescent="0.3">
      <c r="A309" t="s">
        <v>60</v>
      </c>
      <c r="B309" t="s">
        <v>61</v>
      </c>
      <c r="C309" s="6">
        <v>115.871</v>
      </c>
      <c r="D309" s="1">
        <v>45.210999999999999</v>
      </c>
      <c r="E309" s="1">
        <v>161.08199999999999</v>
      </c>
      <c r="F309" s="1">
        <v>163.376</v>
      </c>
      <c r="G309" s="2">
        <v>10.249000000000001</v>
      </c>
      <c r="H309" s="2">
        <v>3.7749999999999999</v>
      </c>
      <c r="I309" s="2">
        <v>14.023999999999999</v>
      </c>
      <c r="J309" s="2">
        <v>14.042</v>
      </c>
      <c r="K309" s="3">
        <v>105.622</v>
      </c>
      <c r="L309" s="3">
        <v>41.435000000000002</v>
      </c>
      <c r="M309" s="3">
        <v>147.05699999999999</v>
      </c>
      <c r="N309" s="3">
        <v>149.334</v>
      </c>
      <c r="O309">
        <v>2015</v>
      </c>
      <c r="Q309" s="12" t="str">
        <f>TEXT(VALUE(Table1[[#This Row],[Content.Column7]])*1000,"#,##0")</f>
        <v>10,249</v>
      </c>
      <c r="R309" s="12" t="str">
        <f>TEXT(VALUE(Table1[[#This Row],[Content.Column8]])*1000,"#,##0")</f>
        <v>3,775</v>
      </c>
      <c r="S309" s="12" t="str">
        <f>TEXT(VALUE(Table1[[#This Row],[Content.Column9]])*1000,"#,##0")</f>
        <v>14,024</v>
      </c>
      <c r="T309" s="12" t="str">
        <f>TEXT(VALUE(Table1[[#This Row],[Content.Column10]])*1000,"#,##0")</f>
        <v>14,042</v>
      </c>
      <c r="U309" s="13" t="str">
        <f>TEXT(VALUE(Table1[[#This Row],[Content.Column11]])*1000,"#,##0")</f>
        <v>105,622</v>
      </c>
      <c r="V309" s="13" t="str">
        <f>TEXT(VALUE(Table1[[#This Row],[Content.Column12]])*1000,"#,##0")</f>
        <v>41,435</v>
      </c>
      <c r="W309" s="13" t="str">
        <f>TEXT(VALUE(Table1[[#This Row],[Content.Column13]])*1000,"#,##0")</f>
        <v>147,057</v>
      </c>
      <c r="X309" s="13" t="str">
        <f>TEXT(VALUE(Table1[[#This Row],[Content.Column14]])*1000,"#,##0")</f>
        <v>149,334</v>
      </c>
      <c r="Y309" s="14" t="str">
        <f>TEXT(VALUE(Table1[[#This Row],[Content.Column3]])*1000,"#,##0")</f>
        <v>115,871</v>
      </c>
      <c r="Z309" s="14" t="str">
        <f>TEXT(VALUE(Table1[[#This Row],[Content.Column4]])*1000,"#,##0")</f>
        <v>45,211</v>
      </c>
      <c r="AA309" s="14" t="str">
        <f>TEXT(VALUE(Table1[[#This Row],[Content.Column5]])*1000,"#,##0")</f>
        <v>161,082</v>
      </c>
      <c r="AB309" s="14" t="str">
        <f>TEXT(VALUE(Table1[[#This Row],[Content.Column6]])*1000,"#,##0")</f>
        <v>163,376</v>
      </c>
    </row>
    <row r="310" spans="1:28" x14ac:dyDescent="0.3">
      <c r="A310" t="s">
        <v>62</v>
      </c>
      <c r="B310" t="s">
        <v>63</v>
      </c>
      <c r="C310" s="6">
        <v>178.17</v>
      </c>
      <c r="D310" s="1">
        <v>44.396999999999998</v>
      </c>
      <c r="E310" s="1">
        <v>222.56700000000001</v>
      </c>
      <c r="F310" s="1">
        <v>228.624</v>
      </c>
      <c r="G310" s="2">
        <v>22.338000000000001</v>
      </c>
      <c r="H310" s="2">
        <v>5.2560000000000002</v>
      </c>
      <c r="I310" s="2">
        <v>27.594000000000001</v>
      </c>
      <c r="J310" s="2">
        <v>27.603999999999999</v>
      </c>
      <c r="K310" s="3">
        <v>155.83199999999999</v>
      </c>
      <c r="L310" s="3">
        <v>39.140999999999998</v>
      </c>
      <c r="M310" s="3">
        <v>194.97300000000001</v>
      </c>
      <c r="N310" s="3">
        <v>201.02099999999999</v>
      </c>
      <c r="O310">
        <v>2015</v>
      </c>
      <c r="Q310" s="12" t="str">
        <f>TEXT(VALUE(Table1[[#This Row],[Content.Column7]])*1000,"#,##0")</f>
        <v>22,338</v>
      </c>
      <c r="R310" s="12" t="str">
        <f>TEXT(VALUE(Table1[[#This Row],[Content.Column8]])*1000,"#,##0")</f>
        <v>5,256</v>
      </c>
      <c r="S310" s="12" t="str">
        <f>TEXT(VALUE(Table1[[#This Row],[Content.Column9]])*1000,"#,##0")</f>
        <v>27,594</v>
      </c>
      <c r="T310" s="12" t="str">
        <f>TEXT(VALUE(Table1[[#This Row],[Content.Column10]])*1000,"#,##0")</f>
        <v>27,604</v>
      </c>
      <c r="U310" s="13" t="str">
        <f>TEXT(VALUE(Table1[[#This Row],[Content.Column11]])*1000,"#,##0")</f>
        <v>155,832</v>
      </c>
      <c r="V310" s="13" t="str">
        <f>TEXT(VALUE(Table1[[#This Row],[Content.Column12]])*1000,"#,##0")</f>
        <v>39,141</v>
      </c>
      <c r="W310" s="13" t="str">
        <f>TEXT(VALUE(Table1[[#This Row],[Content.Column13]])*1000,"#,##0")</f>
        <v>194,973</v>
      </c>
      <c r="X310" s="13" t="str">
        <f>TEXT(VALUE(Table1[[#This Row],[Content.Column14]])*1000,"#,##0")</f>
        <v>201,021</v>
      </c>
      <c r="Y310" s="14" t="str">
        <f>TEXT(VALUE(Table1[[#This Row],[Content.Column3]])*1000,"#,##0")</f>
        <v>178,170</v>
      </c>
      <c r="Z310" s="14" t="str">
        <f>TEXT(VALUE(Table1[[#This Row],[Content.Column4]])*1000,"#,##0")</f>
        <v>44,397</v>
      </c>
      <c r="AA310" s="14" t="str">
        <f>TEXT(VALUE(Table1[[#This Row],[Content.Column5]])*1000,"#,##0")</f>
        <v>222,567</v>
      </c>
      <c r="AB310" s="14" t="str">
        <f>TEXT(VALUE(Table1[[#This Row],[Content.Column6]])*1000,"#,##0")</f>
        <v>228,624</v>
      </c>
    </row>
    <row r="311" spans="1:28" x14ac:dyDescent="0.3">
      <c r="A311" t="s">
        <v>64</v>
      </c>
      <c r="B311" t="s">
        <v>65</v>
      </c>
      <c r="C311" s="6">
        <v>92.64</v>
      </c>
      <c r="D311" s="1">
        <v>35.134999999999998</v>
      </c>
      <c r="E311" s="1">
        <v>127.77500000000001</v>
      </c>
      <c r="F311" s="1">
        <v>132.523</v>
      </c>
      <c r="G311" s="2">
        <v>13.634</v>
      </c>
      <c r="H311" s="2">
        <v>6.0149999999999997</v>
      </c>
      <c r="I311" s="2">
        <v>19.649000000000001</v>
      </c>
      <c r="J311" s="2">
        <v>19.655000000000001</v>
      </c>
      <c r="K311" s="3">
        <v>79.006</v>
      </c>
      <c r="L311" s="3">
        <v>29.119</v>
      </c>
      <c r="M311" s="3">
        <v>108.126</v>
      </c>
      <c r="N311" s="3">
        <v>112.869</v>
      </c>
      <c r="O311">
        <v>2015</v>
      </c>
      <c r="Q311" s="12" t="str">
        <f>TEXT(VALUE(Table1[[#This Row],[Content.Column7]])*1000,"#,##0")</f>
        <v>13,634</v>
      </c>
      <c r="R311" s="12" t="str">
        <f>TEXT(VALUE(Table1[[#This Row],[Content.Column8]])*1000,"#,##0")</f>
        <v>6,015</v>
      </c>
      <c r="S311" s="12" t="str">
        <f>TEXT(VALUE(Table1[[#This Row],[Content.Column9]])*1000,"#,##0")</f>
        <v>19,649</v>
      </c>
      <c r="T311" s="12" t="str">
        <f>TEXT(VALUE(Table1[[#This Row],[Content.Column10]])*1000,"#,##0")</f>
        <v>19,655</v>
      </c>
      <c r="U311" s="13" t="str">
        <f>TEXT(VALUE(Table1[[#This Row],[Content.Column11]])*1000,"#,##0")</f>
        <v>79,006</v>
      </c>
      <c r="V311" s="13" t="str">
        <f>TEXT(VALUE(Table1[[#This Row],[Content.Column12]])*1000,"#,##0")</f>
        <v>29,119</v>
      </c>
      <c r="W311" s="13" t="str">
        <f>TEXT(VALUE(Table1[[#This Row],[Content.Column13]])*1000,"#,##0")</f>
        <v>108,126</v>
      </c>
      <c r="X311" s="13" t="str">
        <f>TEXT(VALUE(Table1[[#This Row],[Content.Column14]])*1000,"#,##0")</f>
        <v>112,869</v>
      </c>
      <c r="Y311" s="14" t="str">
        <f>TEXT(VALUE(Table1[[#This Row],[Content.Column3]])*1000,"#,##0")</f>
        <v>92,640</v>
      </c>
      <c r="Z311" s="14" t="str">
        <f>TEXT(VALUE(Table1[[#This Row],[Content.Column4]])*1000,"#,##0")</f>
        <v>35,135</v>
      </c>
      <c r="AA311" s="14" t="str">
        <f>TEXT(VALUE(Table1[[#This Row],[Content.Column5]])*1000,"#,##0")</f>
        <v>127,775</v>
      </c>
      <c r="AB311" s="14" t="str">
        <f>TEXT(VALUE(Table1[[#This Row],[Content.Column6]])*1000,"#,##0")</f>
        <v>132,523</v>
      </c>
    </row>
    <row r="312" spans="1:28" x14ac:dyDescent="0.3">
      <c r="A312" t="s">
        <v>66</v>
      </c>
      <c r="B312" t="s">
        <v>67</v>
      </c>
      <c r="C312" s="6">
        <v>51.546999999999997</v>
      </c>
      <c r="D312" s="1">
        <v>30.120999999999999</v>
      </c>
      <c r="E312" s="1">
        <v>81.668000000000006</v>
      </c>
      <c r="F312" s="1">
        <v>83.552000000000007</v>
      </c>
      <c r="G312" s="2">
        <v>7.2290000000000001</v>
      </c>
      <c r="H312" s="2">
        <v>4.8579999999999997</v>
      </c>
      <c r="I312" s="2">
        <v>12.087</v>
      </c>
      <c r="J312" s="2">
        <v>12.112</v>
      </c>
      <c r="K312" s="3">
        <v>44.317</v>
      </c>
      <c r="L312" s="3">
        <v>25.263999999999999</v>
      </c>
      <c r="M312" s="3">
        <v>69.581000000000003</v>
      </c>
      <c r="N312" s="3">
        <v>71.44</v>
      </c>
      <c r="O312">
        <v>2015</v>
      </c>
      <c r="Q312" s="12" t="str">
        <f>TEXT(VALUE(Table1[[#This Row],[Content.Column7]])*1000,"#,##0")</f>
        <v>7,229</v>
      </c>
      <c r="R312" s="12" t="str">
        <f>TEXT(VALUE(Table1[[#This Row],[Content.Column8]])*1000,"#,##0")</f>
        <v>4,858</v>
      </c>
      <c r="S312" s="12" t="str">
        <f>TEXT(VALUE(Table1[[#This Row],[Content.Column9]])*1000,"#,##0")</f>
        <v>12,087</v>
      </c>
      <c r="T312" s="12" t="str">
        <f>TEXT(VALUE(Table1[[#This Row],[Content.Column10]])*1000,"#,##0")</f>
        <v>12,112</v>
      </c>
      <c r="U312" s="13" t="str">
        <f>TEXT(VALUE(Table1[[#This Row],[Content.Column11]])*1000,"#,##0")</f>
        <v>44,317</v>
      </c>
      <c r="V312" s="13" t="str">
        <f>TEXT(VALUE(Table1[[#This Row],[Content.Column12]])*1000,"#,##0")</f>
        <v>25,264</v>
      </c>
      <c r="W312" s="13" t="str">
        <f>TEXT(VALUE(Table1[[#This Row],[Content.Column13]])*1000,"#,##0")</f>
        <v>69,581</v>
      </c>
      <c r="X312" s="13" t="str">
        <f>TEXT(VALUE(Table1[[#This Row],[Content.Column14]])*1000,"#,##0")</f>
        <v>71,440</v>
      </c>
      <c r="Y312" s="14" t="str">
        <f>TEXT(VALUE(Table1[[#This Row],[Content.Column3]])*1000,"#,##0")</f>
        <v>51,547</v>
      </c>
      <c r="Z312" s="14" t="str">
        <f>TEXT(VALUE(Table1[[#This Row],[Content.Column4]])*1000,"#,##0")</f>
        <v>30,121</v>
      </c>
      <c r="AA312" s="14" t="str">
        <f>TEXT(VALUE(Table1[[#This Row],[Content.Column5]])*1000,"#,##0")</f>
        <v>81,668</v>
      </c>
      <c r="AB312" s="14" t="str">
        <f>TEXT(VALUE(Table1[[#This Row],[Content.Column6]])*1000,"#,##0")</f>
        <v>83,552</v>
      </c>
    </row>
    <row r="313" spans="1:28" x14ac:dyDescent="0.3">
      <c r="A313" t="s">
        <v>68</v>
      </c>
      <c r="B313" t="s">
        <v>69</v>
      </c>
      <c r="C313" s="6">
        <v>107.91800000000001</v>
      </c>
      <c r="D313" s="1">
        <v>45.213000000000001</v>
      </c>
      <c r="E313" s="1">
        <v>153.131</v>
      </c>
      <c r="F313" s="1">
        <v>162.47900000000001</v>
      </c>
      <c r="G313" s="2">
        <v>27.42</v>
      </c>
      <c r="H313" s="2">
        <v>8.9610000000000003</v>
      </c>
      <c r="I313" s="2">
        <v>36.381</v>
      </c>
      <c r="J313" s="2">
        <v>36.447000000000003</v>
      </c>
      <c r="K313" s="3">
        <v>80.498000000000005</v>
      </c>
      <c r="L313" s="3">
        <v>36.252000000000002</v>
      </c>
      <c r="M313" s="3">
        <v>116.75</v>
      </c>
      <c r="N313" s="3">
        <v>126.03100000000001</v>
      </c>
      <c r="O313">
        <v>2015</v>
      </c>
      <c r="Q313" s="12" t="str">
        <f>TEXT(VALUE(Table1[[#This Row],[Content.Column7]])*1000,"#,##0")</f>
        <v>27,420</v>
      </c>
      <c r="R313" s="12" t="str">
        <f>TEXT(VALUE(Table1[[#This Row],[Content.Column8]])*1000,"#,##0")</f>
        <v>8,961</v>
      </c>
      <c r="S313" s="12" t="str">
        <f>TEXT(VALUE(Table1[[#This Row],[Content.Column9]])*1000,"#,##0")</f>
        <v>36,381</v>
      </c>
      <c r="T313" s="12" t="str">
        <f>TEXT(VALUE(Table1[[#This Row],[Content.Column10]])*1000,"#,##0")</f>
        <v>36,447</v>
      </c>
      <c r="U313" s="13" t="str">
        <f>TEXT(VALUE(Table1[[#This Row],[Content.Column11]])*1000,"#,##0")</f>
        <v>80,498</v>
      </c>
      <c r="V313" s="13" t="str">
        <f>TEXT(VALUE(Table1[[#This Row],[Content.Column12]])*1000,"#,##0")</f>
        <v>36,252</v>
      </c>
      <c r="W313" s="13" t="str">
        <f>TEXT(VALUE(Table1[[#This Row],[Content.Column13]])*1000,"#,##0")</f>
        <v>116,750</v>
      </c>
      <c r="X313" s="13" t="str">
        <f>TEXT(VALUE(Table1[[#This Row],[Content.Column14]])*1000,"#,##0")</f>
        <v>126,031</v>
      </c>
      <c r="Y313" s="14" t="str">
        <f>TEXT(VALUE(Table1[[#This Row],[Content.Column3]])*1000,"#,##0")</f>
        <v>107,918</v>
      </c>
      <c r="Z313" s="14" t="str">
        <f>TEXT(VALUE(Table1[[#This Row],[Content.Column4]])*1000,"#,##0")</f>
        <v>45,213</v>
      </c>
      <c r="AA313" s="14" t="str">
        <f>TEXT(VALUE(Table1[[#This Row],[Content.Column5]])*1000,"#,##0")</f>
        <v>153,131</v>
      </c>
      <c r="AB313" s="14" t="str">
        <f>TEXT(VALUE(Table1[[#This Row],[Content.Column6]])*1000,"#,##0")</f>
        <v>162,479</v>
      </c>
    </row>
    <row r="314" spans="1:28" x14ac:dyDescent="0.3">
      <c r="A314" t="s">
        <v>70</v>
      </c>
      <c r="B314" t="s">
        <v>71</v>
      </c>
      <c r="C314" s="6">
        <v>42.192999999999998</v>
      </c>
      <c r="D314" s="1">
        <v>25.102</v>
      </c>
      <c r="E314" s="1">
        <v>67.295000000000002</v>
      </c>
      <c r="F314" s="1">
        <v>69.728999999999999</v>
      </c>
      <c r="G314" s="2">
        <v>10.096</v>
      </c>
      <c r="H314" s="2">
        <v>6.6589999999999998</v>
      </c>
      <c r="I314" s="2">
        <v>16.754999999999999</v>
      </c>
      <c r="J314" s="2">
        <v>17.106999999999999</v>
      </c>
      <c r="K314" s="3">
        <v>32.097000000000001</v>
      </c>
      <c r="L314" s="3">
        <v>18.443000000000001</v>
      </c>
      <c r="M314" s="3">
        <v>50.54</v>
      </c>
      <c r="N314" s="3">
        <v>52.622999999999998</v>
      </c>
      <c r="O314">
        <v>2015</v>
      </c>
      <c r="Q314" s="12" t="str">
        <f>TEXT(VALUE(Table1[[#This Row],[Content.Column7]])*1000,"#,##0")</f>
        <v>10,096</v>
      </c>
      <c r="R314" s="12" t="str">
        <f>TEXT(VALUE(Table1[[#This Row],[Content.Column8]])*1000,"#,##0")</f>
        <v>6,659</v>
      </c>
      <c r="S314" s="12" t="str">
        <f>TEXT(VALUE(Table1[[#This Row],[Content.Column9]])*1000,"#,##0")</f>
        <v>16,755</v>
      </c>
      <c r="T314" s="12" t="str">
        <f>TEXT(VALUE(Table1[[#This Row],[Content.Column10]])*1000,"#,##0")</f>
        <v>17,107</v>
      </c>
      <c r="U314" s="13" t="str">
        <f>TEXT(VALUE(Table1[[#This Row],[Content.Column11]])*1000,"#,##0")</f>
        <v>32,097</v>
      </c>
      <c r="V314" s="13" t="str">
        <f>TEXT(VALUE(Table1[[#This Row],[Content.Column12]])*1000,"#,##0")</f>
        <v>18,443</v>
      </c>
      <c r="W314" s="13" t="str">
        <f>TEXT(VALUE(Table1[[#This Row],[Content.Column13]])*1000,"#,##0")</f>
        <v>50,540</v>
      </c>
      <c r="X314" s="13" t="str">
        <f>TEXT(VALUE(Table1[[#This Row],[Content.Column14]])*1000,"#,##0")</f>
        <v>52,623</v>
      </c>
      <c r="Y314" s="14" t="str">
        <f>TEXT(VALUE(Table1[[#This Row],[Content.Column3]])*1000,"#,##0")</f>
        <v>42,193</v>
      </c>
      <c r="Z314" s="14" t="str">
        <f>TEXT(VALUE(Table1[[#This Row],[Content.Column4]])*1000,"#,##0")</f>
        <v>25,102</v>
      </c>
      <c r="AA314" s="14" t="str">
        <f>TEXT(VALUE(Table1[[#This Row],[Content.Column5]])*1000,"#,##0")</f>
        <v>67,295</v>
      </c>
      <c r="AB314" s="14" t="str">
        <f>TEXT(VALUE(Table1[[#This Row],[Content.Column6]])*1000,"#,##0")</f>
        <v>69,729</v>
      </c>
    </row>
    <row r="315" spans="1:28" x14ac:dyDescent="0.3">
      <c r="A315" t="s">
        <v>72</v>
      </c>
      <c r="B315" t="s">
        <v>73</v>
      </c>
      <c r="C315" s="6">
        <v>54.082000000000001</v>
      </c>
      <c r="D315" s="1">
        <v>24.870999999999999</v>
      </c>
      <c r="E315" s="1">
        <v>78.953999999999994</v>
      </c>
      <c r="F315" s="1">
        <v>80.869</v>
      </c>
      <c r="G315" s="2">
        <v>6.5529999999999999</v>
      </c>
      <c r="H315" s="2">
        <v>3.2410000000000001</v>
      </c>
      <c r="I315" s="2">
        <v>9.7940000000000005</v>
      </c>
      <c r="J315" s="2">
        <v>9.8119999999999994</v>
      </c>
      <c r="K315" s="3">
        <v>47.529000000000003</v>
      </c>
      <c r="L315" s="3">
        <v>21.63</v>
      </c>
      <c r="M315" s="3">
        <v>69.159000000000006</v>
      </c>
      <c r="N315" s="3">
        <v>71.057000000000002</v>
      </c>
      <c r="O315">
        <v>2015</v>
      </c>
      <c r="Q315" s="12" t="str">
        <f>TEXT(VALUE(Table1[[#This Row],[Content.Column7]])*1000,"#,##0")</f>
        <v>6,553</v>
      </c>
      <c r="R315" s="12" t="str">
        <f>TEXT(VALUE(Table1[[#This Row],[Content.Column8]])*1000,"#,##0")</f>
        <v>3,241</v>
      </c>
      <c r="S315" s="12" t="str">
        <f>TEXT(VALUE(Table1[[#This Row],[Content.Column9]])*1000,"#,##0")</f>
        <v>9,794</v>
      </c>
      <c r="T315" s="12" t="str">
        <f>TEXT(VALUE(Table1[[#This Row],[Content.Column10]])*1000,"#,##0")</f>
        <v>9,812</v>
      </c>
      <c r="U315" s="13" t="str">
        <f>TEXT(VALUE(Table1[[#This Row],[Content.Column11]])*1000,"#,##0")</f>
        <v>47,529</v>
      </c>
      <c r="V315" s="13" t="str">
        <f>TEXT(VALUE(Table1[[#This Row],[Content.Column12]])*1000,"#,##0")</f>
        <v>21,630</v>
      </c>
      <c r="W315" s="13" t="str">
        <f>TEXT(VALUE(Table1[[#This Row],[Content.Column13]])*1000,"#,##0")</f>
        <v>69,159</v>
      </c>
      <c r="X315" s="13" t="str">
        <f>TEXT(VALUE(Table1[[#This Row],[Content.Column14]])*1000,"#,##0")</f>
        <v>71,057</v>
      </c>
      <c r="Y315" s="14" t="str">
        <f>TEXT(VALUE(Table1[[#This Row],[Content.Column3]])*1000,"#,##0")</f>
        <v>54,082</v>
      </c>
      <c r="Z315" s="14" t="str">
        <f>TEXT(VALUE(Table1[[#This Row],[Content.Column4]])*1000,"#,##0")</f>
        <v>24,871</v>
      </c>
      <c r="AA315" s="14" t="str">
        <f>TEXT(VALUE(Table1[[#This Row],[Content.Column5]])*1000,"#,##0")</f>
        <v>78,954</v>
      </c>
      <c r="AB315" s="14" t="str">
        <f>TEXT(VALUE(Table1[[#This Row],[Content.Column6]])*1000,"#,##0")</f>
        <v>80,869</v>
      </c>
    </row>
    <row r="316" spans="1:28" x14ac:dyDescent="0.3">
      <c r="A316" t="s">
        <v>74</v>
      </c>
      <c r="B316" t="s">
        <v>75</v>
      </c>
      <c r="C316" s="6">
        <v>66.582999999999998</v>
      </c>
      <c r="D316" s="1">
        <v>33.006</v>
      </c>
      <c r="E316" s="1">
        <v>99.59</v>
      </c>
      <c r="F316" s="1">
        <v>101.83199999999999</v>
      </c>
      <c r="G316" s="2">
        <v>16.117999999999999</v>
      </c>
      <c r="H316" s="2">
        <v>5.8959999999999999</v>
      </c>
      <c r="I316" s="2">
        <v>22.015000000000001</v>
      </c>
      <c r="J316" s="2">
        <v>22.027999999999999</v>
      </c>
      <c r="K316" s="3">
        <v>50.465000000000003</v>
      </c>
      <c r="L316" s="3">
        <v>27.11</v>
      </c>
      <c r="M316" s="3">
        <v>77.575000000000003</v>
      </c>
      <c r="N316" s="3">
        <v>79.804000000000002</v>
      </c>
      <c r="O316">
        <v>2015</v>
      </c>
      <c r="Q316" s="12" t="str">
        <f>TEXT(VALUE(Table1[[#This Row],[Content.Column7]])*1000,"#,##0")</f>
        <v>16,118</v>
      </c>
      <c r="R316" s="12" t="str">
        <f>TEXT(VALUE(Table1[[#This Row],[Content.Column8]])*1000,"#,##0")</f>
        <v>5,896</v>
      </c>
      <c r="S316" s="12" t="str">
        <f>TEXT(VALUE(Table1[[#This Row],[Content.Column9]])*1000,"#,##0")</f>
        <v>22,015</v>
      </c>
      <c r="T316" s="12" t="str">
        <f>TEXT(VALUE(Table1[[#This Row],[Content.Column10]])*1000,"#,##0")</f>
        <v>22,028</v>
      </c>
      <c r="U316" s="13" t="str">
        <f>TEXT(VALUE(Table1[[#This Row],[Content.Column11]])*1000,"#,##0")</f>
        <v>50,465</v>
      </c>
      <c r="V316" s="13" t="str">
        <f>TEXT(VALUE(Table1[[#This Row],[Content.Column12]])*1000,"#,##0")</f>
        <v>27,110</v>
      </c>
      <c r="W316" s="13" t="str">
        <f>TEXT(VALUE(Table1[[#This Row],[Content.Column13]])*1000,"#,##0")</f>
        <v>77,575</v>
      </c>
      <c r="X316" s="13" t="str">
        <f>TEXT(VALUE(Table1[[#This Row],[Content.Column14]])*1000,"#,##0")</f>
        <v>79,804</v>
      </c>
      <c r="Y316" s="14" t="str">
        <f>TEXT(VALUE(Table1[[#This Row],[Content.Column3]])*1000,"#,##0")</f>
        <v>66,583</v>
      </c>
      <c r="Z316" s="14" t="str">
        <f>TEXT(VALUE(Table1[[#This Row],[Content.Column4]])*1000,"#,##0")</f>
        <v>33,006</v>
      </c>
      <c r="AA316" s="14" t="str">
        <f>TEXT(VALUE(Table1[[#This Row],[Content.Column5]])*1000,"#,##0")</f>
        <v>99,590</v>
      </c>
      <c r="AB316" s="14" t="str">
        <f>TEXT(VALUE(Table1[[#This Row],[Content.Column6]])*1000,"#,##0")</f>
        <v>101,832</v>
      </c>
    </row>
    <row r="317" spans="1:28" x14ac:dyDescent="0.3">
      <c r="A317" t="s">
        <v>76</v>
      </c>
      <c r="B317" t="s">
        <v>77</v>
      </c>
      <c r="C317" s="6">
        <v>51.113</v>
      </c>
      <c r="D317" s="1">
        <v>25.777000000000001</v>
      </c>
      <c r="E317" s="1">
        <v>76.89</v>
      </c>
      <c r="F317" s="1">
        <v>79.225999999999999</v>
      </c>
      <c r="G317" s="2">
        <v>11.324999999999999</v>
      </c>
      <c r="H317" s="2">
        <v>6.0650000000000004</v>
      </c>
      <c r="I317" s="2">
        <v>17.390999999999998</v>
      </c>
      <c r="J317" s="2">
        <v>17.398</v>
      </c>
      <c r="K317" s="3">
        <v>39.787999999999997</v>
      </c>
      <c r="L317" s="3">
        <v>19.710999999999999</v>
      </c>
      <c r="M317" s="3">
        <v>59.499000000000002</v>
      </c>
      <c r="N317" s="3">
        <v>61.828000000000003</v>
      </c>
      <c r="O317">
        <v>2015</v>
      </c>
      <c r="Q317" s="12" t="str">
        <f>TEXT(VALUE(Table1[[#This Row],[Content.Column7]])*1000,"#,##0")</f>
        <v>11,325</v>
      </c>
      <c r="R317" s="12" t="str">
        <f>TEXT(VALUE(Table1[[#This Row],[Content.Column8]])*1000,"#,##0")</f>
        <v>6,065</v>
      </c>
      <c r="S317" s="12" t="str">
        <f>TEXT(VALUE(Table1[[#This Row],[Content.Column9]])*1000,"#,##0")</f>
        <v>17,391</v>
      </c>
      <c r="T317" s="12" t="str">
        <f>TEXT(VALUE(Table1[[#This Row],[Content.Column10]])*1000,"#,##0")</f>
        <v>17,398</v>
      </c>
      <c r="U317" s="13" t="str">
        <f>TEXT(VALUE(Table1[[#This Row],[Content.Column11]])*1000,"#,##0")</f>
        <v>39,788</v>
      </c>
      <c r="V317" s="13" t="str">
        <f>TEXT(VALUE(Table1[[#This Row],[Content.Column12]])*1000,"#,##0")</f>
        <v>19,711</v>
      </c>
      <c r="W317" s="13" t="str">
        <f>TEXT(VALUE(Table1[[#This Row],[Content.Column13]])*1000,"#,##0")</f>
        <v>59,499</v>
      </c>
      <c r="X317" s="13" t="str">
        <f>TEXT(VALUE(Table1[[#This Row],[Content.Column14]])*1000,"#,##0")</f>
        <v>61,828</v>
      </c>
      <c r="Y317" s="14" t="str">
        <f>TEXT(VALUE(Table1[[#This Row],[Content.Column3]])*1000,"#,##0")</f>
        <v>51,113</v>
      </c>
      <c r="Z317" s="14" t="str">
        <f>TEXT(VALUE(Table1[[#This Row],[Content.Column4]])*1000,"#,##0")</f>
        <v>25,777</v>
      </c>
      <c r="AA317" s="14" t="str">
        <f>TEXT(VALUE(Table1[[#This Row],[Content.Column5]])*1000,"#,##0")</f>
        <v>76,890</v>
      </c>
      <c r="AB317" s="14" t="str">
        <f>TEXT(VALUE(Table1[[#This Row],[Content.Column6]])*1000,"#,##0")</f>
        <v>79,226</v>
      </c>
    </row>
    <row r="318" spans="1:28" x14ac:dyDescent="0.3">
      <c r="A318" t="s">
        <v>78</v>
      </c>
      <c r="B318" t="s">
        <v>79</v>
      </c>
      <c r="C318" s="6">
        <v>56.793999999999997</v>
      </c>
      <c r="D318" s="1">
        <v>24.233000000000001</v>
      </c>
      <c r="E318" s="1">
        <v>81.027000000000001</v>
      </c>
      <c r="F318" s="1">
        <v>84.073999999999998</v>
      </c>
      <c r="G318" s="2">
        <v>6.6360000000000001</v>
      </c>
      <c r="H318" s="2">
        <v>2.7360000000000002</v>
      </c>
      <c r="I318" s="2">
        <v>9.3710000000000004</v>
      </c>
      <c r="J318" s="2">
        <v>9.3989999999999991</v>
      </c>
      <c r="K318" s="3">
        <v>50.158000000000001</v>
      </c>
      <c r="L318" s="3">
        <v>21.497</v>
      </c>
      <c r="M318" s="3">
        <v>71.655000000000001</v>
      </c>
      <c r="N318" s="3">
        <v>74.674999999999997</v>
      </c>
      <c r="O318">
        <v>2015</v>
      </c>
      <c r="Q318" s="12" t="str">
        <f>TEXT(VALUE(Table1[[#This Row],[Content.Column7]])*1000,"#,##0")</f>
        <v>6,636</v>
      </c>
      <c r="R318" s="12" t="str">
        <f>TEXT(VALUE(Table1[[#This Row],[Content.Column8]])*1000,"#,##0")</f>
        <v>2,736</v>
      </c>
      <c r="S318" s="12" t="str">
        <f>TEXT(VALUE(Table1[[#This Row],[Content.Column9]])*1000,"#,##0")</f>
        <v>9,371</v>
      </c>
      <c r="T318" s="12" t="str">
        <f>TEXT(VALUE(Table1[[#This Row],[Content.Column10]])*1000,"#,##0")</f>
        <v>9,399</v>
      </c>
      <c r="U318" s="13" t="str">
        <f>TEXT(VALUE(Table1[[#This Row],[Content.Column11]])*1000,"#,##0")</f>
        <v>50,158</v>
      </c>
      <c r="V318" s="13" t="str">
        <f>TEXT(VALUE(Table1[[#This Row],[Content.Column12]])*1000,"#,##0")</f>
        <v>21,497</v>
      </c>
      <c r="W318" s="13" t="str">
        <f>TEXT(VALUE(Table1[[#This Row],[Content.Column13]])*1000,"#,##0")</f>
        <v>71,655</v>
      </c>
      <c r="X318" s="13" t="str">
        <f>TEXT(VALUE(Table1[[#This Row],[Content.Column14]])*1000,"#,##0")</f>
        <v>74,675</v>
      </c>
      <c r="Y318" s="14" t="str">
        <f>TEXT(VALUE(Table1[[#This Row],[Content.Column3]])*1000,"#,##0")</f>
        <v>56,794</v>
      </c>
      <c r="Z318" s="14" t="str">
        <f>TEXT(VALUE(Table1[[#This Row],[Content.Column4]])*1000,"#,##0")</f>
        <v>24,233</v>
      </c>
      <c r="AA318" s="14" t="str">
        <f>TEXT(VALUE(Table1[[#This Row],[Content.Column5]])*1000,"#,##0")</f>
        <v>81,027</v>
      </c>
      <c r="AB318" s="14" t="str">
        <f>TEXT(VALUE(Table1[[#This Row],[Content.Column6]])*1000,"#,##0")</f>
        <v>84,074</v>
      </c>
    </row>
    <row r="319" spans="1:28" x14ac:dyDescent="0.3">
      <c r="A319" t="s">
        <v>80</v>
      </c>
      <c r="B319" t="s">
        <v>81</v>
      </c>
      <c r="C319" s="6">
        <v>179.83699999999999</v>
      </c>
      <c r="D319" s="1">
        <v>45.256</v>
      </c>
      <c r="E319" s="1">
        <v>225.09299999999999</v>
      </c>
      <c r="F319" s="1">
        <v>232.19300000000001</v>
      </c>
      <c r="G319" s="2">
        <v>34.140999999999998</v>
      </c>
      <c r="H319" s="2">
        <v>7.242</v>
      </c>
      <c r="I319" s="2">
        <v>41.383000000000003</v>
      </c>
      <c r="J319" s="2">
        <v>41.594999999999999</v>
      </c>
      <c r="K319" s="3">
        <v>145.696</v>
      </c>
      <c r="L319" s="3">
        <v>38.014000000000003</v>
      </c>
      <c r="M319" s="3">
        <v>183.71</v>
      </c>
      <c r="N319" s="3">
        <v>190.59800000000001</v>
      </c>
      <c r="O319">
        <v>2015</v>
      </c>
      <c r="Q319" s="12" t="str">
        <f>TEXT(VALUE(Table1[[#This Row],[Content.Column7]])*1000,"#,##0")</f>
        <v>34,141</v>
      </c>
      <c r="R319" s="12" t="str">
        <f>TEXT(VALUE(Table1[[#This Row],[Content.Column8]])*1000,"#,##0")</f>
        <v>7,242</v>
      </c>
      <c r="S319" s="12" t="str">
        <f>TEXT(VALUE(Table1[[#This Row],[Content.Column9]])*1000,"#,##0")</f>
        <v>41,383</v>
      </c>
      <c r="T319" s="12" t="str">
        <f>TEXT(VALUE(Table1[[#This Row],[Content.Column10]])*1000,"#,##0")</f>
        <v>41,595</v>
      </c>
      <c r="U319" s="13" t="str">
        <f>TEXT(VALUE(Table1[[#This Row],[Content.Column11]])*1000,"#,##0")</f>
        <v>145,696</v>
      </c>
      <c r="V319" s="13" t="str">
        <f>TEXT(VALUE(Table1[[#This Row],[Content.Column12]])*1000,"#,##0")</f>
        <v>38,014</v>
      </c>
      <c r="W319" s="13" t="str">
        <f>TEXT(VALUE(Table1[[#This Row],[Content.Column13]])*1000,"#,##0")</f>
        <v>183,710</v>
      </c>
      <c r="X319" s="13" t="str">
        <f>TEXT(VALUE(Table1[[#This Row],[Content.Column14]])*1000,"#,##0")</f>
        <v>190,598</v>
      </c>
      <c r="Y319" s="14" t="str">
        <f>TEXT(VALUE(Table1[[#This Row],[Content.Column3]])*1000,"#,##0")</f>
        <v>179,837</v>
      </c>
      <c r="Z319" s="14" t="str">
        <f>TEXT(VALUE(Table1[[#This Row],[Content.Column4]])*1000,"#,##0")</f>
        <v>45,256</v>
      </c>
      <c r="AA319" s="14" t="str">
        <f>TEXT(VALUE(Table1[[#This Row],[Content.Column5]])*1000,"#,##0")</f>
        <v>225,093</v>
      </c>
      <c r="AB319" s="14" t="str">
        <f>TEXT(VALUE(Table1[[#This Row],[Content.Column6]])*1000,"#,##0")</f>
        <v>232,193</v>
      </c>
    </row>
    <row r="320" spans="1:28" x14ac:dyDescent="0.3">
      <c r="A320" t="s">
        <v>82</v>
      </c>
      <c r="B320" t="s">
        <v>83</v>
      </c>
      <c r="C320" s="6">
        <v>45.503999999999998</v>
      </c>
      <c r="D320" s="1">
        <v>24.634</v>
      </c>
      <c r="E320" s="1">
        <v>70.138000000000005</v>
      </c>
      <c r="F320" s="1">
        <v>72.108999999999995</v>
      </c>
      <c r="G320" s="2">
        <v>8.3520000000000003</v>
      </c>
      <c r="H320" s="2">
        <v>4.6239999999999997</v>
      </c>
      <c r="I320" s="2">
        <v>12.977</v>
      </c>
      <c r="J320" s="2">
        <v>13.022</v>
      </c>
      <c r="K320" s="3">
        <v>37.152000000000001</v>
      </c>
      <c r="L320" s="3">
        <v>20.010000000000002</v>
      </c>
      <c r="M320" s="3">
        <v>57.161999999999999</v>
      </c>
      <c r="N320" s="3">
        <v>59.087000000000003</v>
      </c>
      <c r="O320">
        <v>2015</v>
      </c>
      <c r="Q320" s="12" t="str">
        <f>TEXT(VALUE(Table1[[#This Row],[Content.Column7]])*1000,"#,##0")</f>
        <v>8,352</v>
      </c>
      <c r="R320" s="12" t="str">
        <f>TEXT(VALUE(Table1[[#This Row],[Content.Column8]])*1000,"#,##0")</f>
        <v>4,624</v>
      </c>
      <c r="S320" s="12" t="str">
        <f>TEXT(VALUE(Table1[[#This Row],[Content.Column9]])*1000,"#,##0")</f>
        <v>12,977</v>
      </c>
      <c r="T320" s="12" t="str">
        <f>TEXT(VALUE(Table1[[#This Row],[Content.Column10]])*1000,"#,##0")</f>
        <v>13,022</v>
      </c>
      <c r="U320" s="13" t="str">
        <f>TEXT(VALUE(Table1[[#This Row],[Content.Column11]])*1000,"#,##0")</f>
        <v>37,152</v>
      </c>
      <c r="V320" s="13" t="str">
        <f>TEXT(VALUE(Table1[[#This Row],[Content.Column12]])*1000,"#,##0")</f>
        <v>20,010</v>
      </c>
      <c r="W320" s="13" t="str">
        <f>TEXT(VALUE(Table1[[#This Row],[Content.Column13]])*1000,"#,##0")</f>
        <v>57,162</v>
      </c>
      <c r="X320" s="13" t="str">
        <f>TEXT(VALUE(Table1[[#This Row],[Content.Column14]])*1000,"#,##0")</f>
        <v>59,087</v>
      </c>
      <c r="Y320" s="14" t="str">
        <f>TEXT(VALUE(Table1[[#This Row],[Content.Column3]])*1000,"#,##0")</f>
        <v>45,504</v>
      </c>
      <c r="Z320" s="14" t="str">
        <f>TEXT(VALUE(Table1[[#This Row],[Content.Column4]])*1000,"#,##0")</f>
        <v>24,634</v>
      </c>
      <c r="AA320" s="14" t="str">
        <f>TEXT(VALUE(Table1[[#This Row],[Content.Column5]])*1000,"#,##0")</f>
        <v>70,138</v>
      </c>
      <c r="AB320" s="14" t="str">
        <f>TEXT(VALUE(Table1[[#This Row],[Content.Column6]])*1000,"#,##0")</f>
        <v>72,109</v>
      </c>
    </row>
    <row r="321" spans="1:28" x14ac:dyDescent="0.3">
      <c r="A321" t="s">
        <v>84</v>
      </c>
      <c r="B321" t="s">
        <v>85</v>
      </c>
      <c r="C321" s="6">
        <v>223.26900000000001</v>
      </c>
      <c r="D321" s="1">
        <v>52.305999999999997</v>
      </c>
      <c r="E321" s="1">
        <v>275.57400000000001</v>
      </c>
      <c r="F321" s="1">
        <v>280.91300000000001</v>
      </c>
      <c r="G321" s="2">
        <v>32.392000000000003</v>
      </c>
      <c r="H321" s="2">
        <v>10.864000000000001</v>
      </c>
      <c r="I321" s="2">
        <v>43.255000000000003</v>
      </c>
      <c r="J321" s="2">
        <v>43.292999999999999</v>
      </c>
      <c r="K321" s="3">
        <v>190.87700000000001</v>
      </c>
      <c r="L321" s="3">
        <v>41.442</v>
      </c>
      <c r="M321" s="3">
        <v>232.31899999999999</v>
      </c>
      <c r="N321" s="3">
        <v>237.62</v>
      </c>
      <c r="O321">
        <v>2015</v>
      </c>
      <c r="Q321" s="12" t="str">
        <f>TEXT(VALUE(Table1[[#This Row],[Content.Column7]])*1000,"#,##0")</f>
        <v>32,392</v>
      </c>
      <c r="R321" s="12" t="str">
        <f>TEXT(VALUE(Table1[[#This Row],[Content.Column8]])*1000,"#,##0")</f>
        <v>10,864</v>
      </c>
      <c r="S321" s="12" t="str">
        <f>TEXT(VALUE(Table1[[#This Row],[Content.Column9]])*1000,"#,##0")</f>
        <v>43,255</v>
      </c>
      <c r="T321" s="12" t="str">
        <f>TEXT(VALUE(Table1[[#This Row],[Content.Column10]])*1000,"#,##0")</f>
        <v>43,293</v>
      </c>
      <c r="U321" s="13" t="str">
        <f>TEXT(VALUE(Table1[[#This Row],[Content.Column11]])*1000,"#,##0")</f>
        <v>190,877</v>
      </c>
      <c r="V321" s="13" t="str">
        <f>TEXT(VALUE(Table1[[#This Row],[Content.Column12]])*1000,"#,##0")</f>
        <v>41,442</v>
      </c>
      <c r="W321" s="13" t="str">
        <f>TEXT(VALUE(Table1[[#This Row],[Content.Column13]])*1000,"#,##0")</f>
        <v>232,319</v>
      </c>
      <c r="X321" s="13" t="str">
        <f>TEXT(VALUE(Table1[[#This Row],[Content.Column14]])*1000,"#,##0")</f>
        <v>237,620</v>
      </c>
      <c r="Y321" s="14" t="str">
        <f>TEXT(VALUE(Table1[[#This Row],[Content.Column3]])*1000,"#,##0")</f>
        <v>223,269</v>
      </c>
      <c r="Z321" s="14" t="str">
        <f>TEXT(VALUE(Table1[[#This Row],[Content.Column4]])*1000,"#,##0")</f>
        <v>52,306</v>
      </c>
      <c r="AA321" s="14" t="str">
        <f>TEXT(VALUE(Table1[[#This Row],[Content.Column5]])*1000,"#,##0")</f>
        <v>275,574</v>
      </c>
      <c r="AB321" s="14" t="str">
        <f>TEXT(VALUE(Table1[[#This Row],[Content.Column6]])*1000,"#,##0")</f>
        <v>280,913</v>
      </c>
    </row>
    <row r="322" spans="1:28" x14ac:dyDescent="0.3">
      <c r="A322" t="s">
        <v>86</v>
      </c>
      <c r="B322" t="s">
        <v>87</v>
      </c>
      <c r="C322" s="6">
        <v>46.826999999999998</v>
      </c>
      <c r="D322" s="1">
        <v>21.355</v>
      </c>
      <c r="E322" s="1">
        <v>68.183000000000007</v>
      </c>
      <c r="F322" s="1">
        <v>70.477999999999994</v>
      </c>
      <c r="G322" s="2">
        <v>10.646000000000001</v>
      </c>
      <c r="H322" s="2">
        <v>4.9180000000000001</v>
      </c>
      <c r="I322" s="2">
        <v>15.564</v>
      </c>
      <c r="J322" s="2">
        <v>15.601000000000001</v>
      </c>
      <c r="K322" s="3">
        <v>36.180999999999997</v>
      </c>
      <c r="L322" s="3">
        <v>16.437000000000001</v>
      </c>
      <c r="M322" s="3">
        <v>52.619</v>
      </c>
      <c r="N322" s="3">
        <v>54.877000000000002</v>
      </c>
      <c r="O322">
        <v>2015</v>
      </c>
      <c r="Q322" s="12" t="str">
        <f>TEXT(VALUE(Table1[[#This Row],[Content.Column7]])*1000,"#,##0")</f>
        <v>10,646</v>
      </c>
      <c r="R322" s="12" t="str">
        <f>TEXT(VALUE(Table1[[#This Row],[Content.Column8]])*1000,"#,##0")</f>
        <v>4,918</v>
      </c>
      <c r="S322" s="12" t="str">
        <f>TEXT(VALUE(Table1[[#This Row],[Content.Column9]])*1000,"#,##0")</f>
        <v>15,564</v>
      </c>
      <c r="T322" s="12" t="str">
        <f>TEXT(VALUE(Table1[[#This Row],[Content.Column10]])*1000,"#,##0")</f>
        <v>15,601</v>
      </c>
      <c r="U322" s="13" t="str">
        <f>TEXT(VALUE(Table1[[#This Row],[Content.Column11]])*1000,"#,##0")</f>
        <v>36,181</v>
      </c>
      <c r="V322" s="13" t="str">
        <f>TEXT(VALUE(Table1[[#This Row],[Content.Column12]])*1000,"#,##0")</f>
        <v>16,437</v>
      </c>
      <c r="W322" s="13" t="str">
        <f>TEXT(VALUE(Table1[[#This Row],[Content.Column13]])*1000,"#,##0")</f>
        <v>52,619</v>
      </c>
      <c r="X322" s="13" t="str">
        <f>TEXT(VALUE(Table1[[#This Row],[Content.Column14]])*1000,"#,##0")</f>
        <v>54,877</v>
      </c>
      <c r="Y322" s="14" t="str">
        <f>TEXT(VALUE(Table1[[#This Row],[Content.Column3]])*1000,"#,##0")</f>
        <v>46,827</v>
      </c>
      <c r="Z322" s="14" t="str">
        <f>TEXT(VALUE(Table1[[#This Row],[Content.Column4]])*1000,"#,##0")</f>
        <v>21,355</v>
      </c>
      <c r="AA322" s="14" t="str">
        <f>TEXT(VALUE(Table1[[#This Row],[Content.Column5]])*1000,"#,##0")</f>
        <v>68,183</v>
      </c>
      <c r="AB322" s="14" t="str">
        <f>TEXT(VALUE(Table1[[#This Row],[Content.Column6]])*1000,"#,##0")</f>
        <v>70,478</v>
      </c>
    </row>
    <row r="323" spans="1:28" x14ac:dyDescent="0.3">
      <c r="A323" t="s">
        <v>88</v>
      </c>
      <c r="B323" t="s">
        <v>89</v>
      </c>
      <c r="C323" s="6">
        <v>81.209999999999994</v>
      </c>
      <c r="D323" s="1">
        <v>35.237000000000002</v>
      </c>
      <c r="E323" s="1">
        <v>116.447</v>
      </c>
      <c r="F323" s="1">
        <v>119.73</v>
      </c>
      <c r="G323" s="2">
        <v>17.704000000000001</v>
      </c>
      <c r="H323" s="2">
        <v>7.6559999999999997</v>
      </c>
      <c r="I323" s="2">
        <v>25.36</v>
      </c>
      <c r="J323" s="2">
        <v>25.395</v>
      </c>
      <c r="K323" s="3">
        <v>63.506999999999998</v>
      </c>
      <c r="L323" s="3">
        <v>27.581</v>
      </c>
      <c r="M323" s="3">
        <v>91.087999999999994</v>
      </c>
      <c r="N323" s="3">
        <v>94.334999999999994</v>
      </c>
      <c r="O323">
        <v>2015</v>
      </c>
      <c r="Q323" s="12" t="str">
        <f>TEXT(VALUE(Table1[[#This Row],[Content.Column7]])*1000,"#,##0")</f>
        <v>17,704</v>
      </c>
      <c r="R323" s="12" t="str">
        <f>TEXT(VALUE(Table1[[#This Row],[Content.Column8]])*1000,"#,##0")</f>
        <v>7,656</v>
      </c>
      <c r="S323" s="12" t="str">
        <f>TEXT(VALUE(Table1[[#This Row],[Content.Column9]])*1000,"#,##0")</f>
        <v>25,360</v>
      </c>
      <c r="T323" s="12" t="str">
        <f>TEXT(VALUE(Table1[[#This Row],[Content.Column10]])*1000,"#,##0")</f>
        <v>25,395</v>
      </c>
      <c r="U323" s="13" t="str">
        <f>TEXT(VALUE(Table1[[#This Row],[Content.Column11]])*1000,"#,##0")</f>
        <v>63,507</v>
      </c>
      <c r="V323" s="13" t="str">
        <f>TEXT(VALUE(Table1[[#This Row],[Content.Column12]])*1000,"#,##0")</f>
        <v>27,581</v>
      </c>
      <c r="W323" s="13" t="str">
        <f>TEXT(VALUE(Table1[[#This Row],[Content.Column13]])*1000,"#,##0")</f>
        <v>91,088</v>
      </c>
      <c r="X323" s="13" t="str">
        <f>TEXT(VALUE(Table1[[#This Row],[Content.Column14]])*1000,"#,##0")</f>
        <v>94,335</v>
      </c>
      <c r="Y323" s="14" t="str">
        <f>TEXT(VALUE(Table1[[#This Row],[Content.Column3]])*1000,"#,##0")</f>
        <v>81,210</v>
      </c>
      <c r="Z323" s="14" t="str">
        <f>TEXT(VALUE(Table1[[#This Row],[Content.Column4]])*1000,"#,##0")</f>
        <v>35,237</v>
      </c>
      <c r="AA323" s="14" t="str">
        <f>TEXT(VALUE(Table1[[#This Row],[Content.Column5]])*1000,"#,##0")</f>
        <v>116,447</v>
      </c>
      <c r="AB323" s="14" t="str">
        <f>TEXT(VALUE(Table1[[#This Row],[Content.Column6]])*1000,"#,##0")</f>
        <v>119,730</v>
      </c>
    </row>
    <row r="324" spans="1:28" x14ac:dyDescent="0.3">
      <c r="A324" t="s">
        <v>90</v>
      </c>
      <c r="B324" t="s">
        <v>91</v>
      </c>
      <c r="C324" s="6">
        <v>552.88499999999999</v>
      </c>
      <c r="D324" s="1">
        <v>146.214</v>
      </c>
      <c r="E324" s="1">
        <v>699.09900000000005</v>
      </c>
      <c r="F324" s="1">
        <v>726.5</v>
      </c>
      <c r="G324" s="2">
        <v>82.634</v>
      </c>
      <c r="H324" s="2">
        <v>11.573</v>
      </c>
      <c r="I324" s="2">
        <v>94.206000000000003</v>
      </c>
      <c r="J324" s="2">
        <v>95.382999999999996</v>
      </c>
      <c r="K324" s="3">
        <v>470.25099999999998</v>
      </c>
      <c r="L324" s="3">
        <v>134.64099999999999</v>
      </c>
      <c r="M324" s="3">
        <v>604.89300000000003</v>
      </c>
      <c r="N324" s="3">
        <v>631.11699999999996</v>
      </c>
      <c r="O324">
        <v>2015</v>
      </c>
      <c r="Q324" s="12" t="str">
        <f>TEXT(VALUE(Table1[[#This Row],[Content.Column7]])*1000,"#,##0")</f>
        <v>82,634</v>
      </c>
      <c r="R324" s="12" t="str">
        <f>TEXT(VALUE(Table1[[#This Row],[Content.Column8]])*1000,"#,##0")</f>
        <v>11,573</v>
      </c>
      <c r="S324" s="12" t="str">
        <f>TEXT(VALUE(Table1[[#This Row],[Content.Column9]])*1000,"#,##0")</f>
        <v>94,206</v>
      </c>
      <c r="T324" s="12" t="str">
        <f>TEXT(VALUE(Table1[[#This Row],[Content.Column10]])*1000,"#,##0")</f>
        <v>95,383</v>
      </c>
      <c r="U324" s="13" t="str">
        <f>TEXT(VALUE(Table1[[#This Row],[Content.Column11]])*1000,"#,##0")</f>
        <v>470,251</v>
      </c>
      <c r="V324" s="13" t="str">
        <f>TEXT(VALUE(Table1[[#This Row],[Content.Column12]])*1000,"#,##0")</f>
        <v>134,641</v>
      </c>
      <c r="W324" s="13" t="str">
        <f>TEXT(VALUE(Table1[[#This Row],[Content.Column13]])*1000,"#,##0")</f>
        <v>604,893</v>
      </c>
      <c r="X324" s="13" t="str">
        <f>TEXT(VALUE(Table1[[#This Row],[Content.Column14]])*1000,"#,##0")</f>
        <v>631,117</v>
      </c>
      <c r="Y324" s="14" t="str">
        <f>TEXT(VALUE(Table1[[#This Row],[Content.Column3]])*1000,"#,##0")</f>
        <v>552,885</v>
      </c>
      <c r="Z324" s="14" t="str">
        <f>TEXT(VALUE(Table1[[#This Row],[Content.Column4]])*1000,"#,##0")</f>
        <v>146,214</v>
      </c>
      <c r="AA324" s="14" t="str">
        <f>TEXT(VALUE(Table1[[#This Row],[Content.Column5]])*1000,"#,##0")</f>
        <v>699,099</v>
      </c>
      <c r="AB324" s="14" t="str">
        <f>TEXT(VALUE(Table1[[#This Row],[Content.Column6]])*1000,"#,##0")</f>
        <v>726,500</v>
      </c>
    </row>
    <row r="325" spans="1:28" x14ac:dyDescent="0.3">
      <c r="A325" t="s">
        <v>92</v>
      </c>
      <c r="B325" t="s">
        <v>93</v>
      </c>
      <c r="C325" s="6">
        <v>2389.886</v>
      </c>
      <c r="D325" s="1">
        <v>688.01700000000005</v>
      </c>
      <c r="E325" s="1">
        <v>3077.9029999999998</v>
      </c>
      <c r="F325" s="1">
        <v>3184.81</v>
      </c>
      <c r="G325" s="2">
        <v>346.35500000000002</v>
      </c>
      <c r="H325" s="2">
        <v>93.688999999999993</v>
      </c>
      <c r="I325" s="2">
        <v>440.04300000000001</v>
      </c>
      <c r="J325" s="2">
        <v>442.39</v>
      </c>
      <c r="K325" s="3">
        <v>2043.5309999999999</v>
      </c>
      <c r="L325" s="3">
        <v>594.32899999999995</v>
      </c>
      <c r="M325" s="3">
        <v>2637.86</v>
      </c>
      <c r="N325" s="3">
        <v>2742.4189999999999</v>
      </c>
      <c r="O325">
        <v>2015</v>
      </c>
      <c r="Q325" s="12" t="str">
        <f>TEXT(VALUE(Table1[[#This Row],[Content.Column7]])*1000,"#,##0")</f>
        <v>346,355</v>
      </c>
      <c r="R325" s="12" t="str">
        <f>TEXT(VALUE(Table1[[#This Row],[Content.Column8]])*1000,"#,##0")</f>
        <v>93,689</v>
      </c>
      <c r="S325" s="12" t="str">
        <f>TEXT(VALUE(Table1[[#This Row],[Content.Column9]])*1000,"#,##0")</f>
        <v>440,043</v>
      </c>
      <c r="T325" s="12" t="str">
        <f>TEXT(VALUE(Table1[[#This Row],[Content.Column10]])*1000,"#,##0")</f>
        <v>442,390</v>
      </c>
      <c r="U325" s="13" t="str">
        <f>TEXT(VALUE(Table1[[#This Row],[Content.Column11]])*1000,"#,##0")</f>
        <v>2,043,531</v>
      </c>
      <c r="V325" s="13" t="str">
        <f>TEXT(VALUE(Table1[[#This Row],[Content.Column12]])*1000,"#,##0")</f>
        <v>594,329</v>
      </c>
      <c r="W325" s="13" t="str">
        <f>TEXT(VALUE(Table1[[#This Row],[Content.Column13]])*1000,"#,##0")</f>
        <v>2,637,860</v>
      </c>
      <c r="X325" s="13" t="str">
        <f>TEXT(VALUE(Table1[[#This Row],[Content.Column14]])*1000,"#,##0")</f>
        <v>2,742,419</v>
      </c>
      <c r="Y325" s="14" t="str">
        <f>TEXT(VALUE(Table1[[#This Row],[Content.Column3]])*1000,"#,##0")</f>
        <v>2,389,886</v>
      </c>
      <c r="Z325" s="14" t="str">
        <f>TEXT(VALUE(Table1[[#This Row],[Content.Column4]])*1000,"#,##0")</f>
        <v>688,017</v>
      </c>
      <c r="AA325" s="14" t="str">
        <f>TEXT(VALUE(Table1[[#This Row],[Content.Column5]])*1000,"#,##0")</f>
        <v>3,077,903</v>
      </c>
      <c r="AB325" s="14" t="str">
        <f>TEXT(VALUE(Table1[[#This Row],[Content.Column6]])*1000,"#,##0")</f>
        <v>3,184,810</v>
      </c>
    </row>
    <row r="326" spans="1:28" x14ac:dyDescent="0.3">
      <c r="A326" t="s">
        <v>94</v>
      </c>
      <c r="B326" t="s">
        <v>95</v>
      </c>
      <c r="C326" s="6">
        <v>1261.5540000000001</v>
      </c>
      <c r="D326" s="1">
        <v>584.06899999999996</v>
      </c>
      <c r="E326" s="1">
        <v>1845.6220000000001</v>
      </c>
      <c r="F326" s="1">
        <v>1895.923</v>
      </c>
      <c r="G326" s="2">
        <v>201.63900000000001</v>
      </c>
      <c r="H326" s="2">
        <v>105.018</v>
      </c>
      <c r="I326" s="2">
        <v>306.65800000000002</v>
      </c>
      <c r="J326" s="2">
        <v>307.44299999999998</v>
      </c>
      <c r="K326" s="3">
        <v>1059.915</v>
      </c>
      <c r="L326" s="3">
        <v>479.05099999999999</v>
      </c>
      <c r="M326" s="3">
        <v>1538.9639999999999</v>
      </c>
      <c r="N326" s="3">
        <v>1588.48</v>
      </c>
      <c r="O326">
        <v>2015</v>
      </c>
      <c r="Q326" s="12" t="str">
        <f>TEXT(VALUE(Table1[[#This Row],[Content.Column7]])*1000,"#,##0")</f>
        <v>201,639</v>
      </c>
      <c r="R326" s="12" t="str">
        <f>TEXT(VALUE(Table1[[#This Row],[Content.Column8]])*1000,"#,##0")</f>
        <v>105,018</v>
      </c>
      <c r="S326" s="12" t="str">
        <f>TEXT(VALUE(Table1[[#This Row],[Content.Column9]])*1000,"#,##0")</f>
        <v>306,658</v>
      </c>
      <c r="T326" s="12" t="str">
        <f>TEXT(VALUE(Table1[[#This Row],[Content.Column10]])*1000,"#,##0")</f>
        <v>307,443</v>
      </c>
      <c r="U326" s="13" t="str">
        <f>TEXT(VALUE(Table1[[#This Row],[Content.Column11]])*1000,"#,##0")</f>
        <v>1,059,915</v>
      </c>
      <c r="V326" s="13" t="str">
        <f>TEXT(VALUE(Table1[[#This Row],[Content.Column12]])*1000,"#,##0")</f>
        <v>479,051</v>
      </c>
      <c r="W326" s="13" t="str">
        <f>TEXT(VALUE(Table1[[#This Row],[Content.Column13]])*1000,"#,##0")</f>
        <v>1,538,964</v>
      </c>
      <c r="X326" s="13" t="str">
        <f>TEXT(VALUE(Table1[[#This Row],[Content.Column14]])*1000,"#,##0")</f>
        <v>1,588,480</v>
      </c>
      <c r="Y326" s="14" t="str">
        <f>TEXT(VALUE(Table1[[#This Row],[Content.Column3]])*1000,"#,##0")</f>
        <v>1,261,554</v>
      </c>
      <c r="Z326" s="14" t="str">
        <f>TEXT(VALUE(Table1[[#This Row],[Content.Column4]])*1000,"#,##0")</f>
        <v>584,069</v>
      </c>
      <c r="AA326" s="14" t="str">
        <f>TEXT(VALUE(Table1[[#This Row],[Content.Column5]])*1000,"#,##0")</f>
        <v>1,845,622</v>
      </c>
      <c r="AB326" s="14" t="str">
        <f>TEXT(VALUE(Table1[[#This Row],[Content.Column6]])*1000,"#,##0")</f>
        <v>1,895,923</v>
      </c>
    </row>
    <row r="327" spans="1:28" x14ac:dyDescent="0.3">
      <c r="A327" t="s">
        <v>96</v>
      </c>
      <c r="B327" t="s">
        <v>97</v>
      </c>
      <c r="C327" s="6">
        <v>712.55899999999997</v>
      </c>
      <c r="D327" s="1">
        <v>350.91</v>
      </c>
      <c r="E327" s="1">
        <v>1063.4680000000001</v>
      </c>
      <c r="F327" s="1">
        <v>1094.425</v>
      </c>
      <c r="G327" s="2">
        <v>144.05099999999999</v>
      </c>
      <c r="H327" s="2">
        <v>85.022000000000006</v>
      </c>
      <c r="I327" s="2">
        <v>229.07300000000001</v>
      </c>
      <c r="J327" s="2">
        <v>229.202</v>
      </c>
      <c r="K327" s="3">
        <v>568.50800000000004</v>
      </c>
      <c r="L327" s="3">
        <v>265.88799999999998</v>
      </c>
      <c r="M327" s="3">
        <v>834.39499999999998</v>
      </c>
      <c r="N327" s="3">
        <v>865.22400000000005</v>
      </c>
      <c r="O327">
        <v>2015</v>
      </c>
      <c r="Q327" s="12" t="str">
        <f>TEXT(VALUE(Table1[[#This Row],[Content.Column7]])*1000,"#,##0")</f>
        <v>144,051</v>
      </c>
      <c r="R327" s="12" t="str">
        <f>TEXT(VALUE(Table1[[#This Row],[Content.Column8]])*1000,"#,##0")</f>
        <v>85,022</v>
      </c>
      <c r="S327" s="12" t="str">
        <f>TEXT(VALUE(Table1[[#This Row],[Content.Column9]])*1000,"#,##0")</f>
        <v>229,073</v>
      </c>
      <c r="T327" s="12" t="str">
        <f>TEXT(VALUE(Table1[[#This Row],[Content.Column10]])*1000,"#,##0")</f>
        <v>229,202</v>
      </c>
      <c r="U327" s="13" t="str">
        <f>TEXT(VALUE(Table1[[#This Row],[Content.Column11]])*1000,"#,##0")</f>
        <v>568,508</v>
      </c>
      <c r="V327" s="13" t="str">
        <f>TEXT(VALUE(Table1[[#This Row],[Content.Column12]])*1000,"#,##0")</f>
        <v>265,888</v>
      </c>
      <c r="W327" s="13" t="str">
        <f>TEXT(VALUE(Table1[[#This Row],[Content.Column13]])*1000,"#,##0")</f>
        <v>834,395</v>
      </c>
      <c r="X327" s="13" t="str">
        <f>TEXT(VALUE(Table1[[#This Row],[Content.Column14]])*1000,"#,##0")</f>
        <v>865,224</v>
      </c>
      <c r="Y327" s="14" t="str">
        <f>TEXT(VALUE(Table1[[#This Row],[Content.Column3]])*1000,"#,##0")</f>
        <v>712,559</v>
      </c>
      <c r="Z327" s="14" t="str">
        <f>TEXT(VALUE(Table1[[#This Row],[Content.Column4]])*1000,"#,##0")</f>
        <v>350,910</v>
      </c>
      <c r="AA327" s="14" t="str">
        <f>TEXT(VALUE(Table1[[#This Row],[Content.Column5]])*1000,"#,##0")</f>
        <v>1,063,468</v>
      </c>
      <c r="AB327" s="14" t="str">
        <f>TEXT(VALUE(Table1[[#This Row],[Content.Column6]])*1000,"#,##0")</f>
        <v>1,094,425</v>
      </c>
    </row>
    <row r="328" spans="1:28" x14ac:dyDescent="0.3">
      <c r="A328" t="s">
        <v>98</v>
      </c>
      <c r="B328" t="s">
        <v>99</v>
      </c>
      <c r="C328" s="6">
        <v>2157.02</v>
      </c>
      <c r="D328" s="1">
        <v>1005.343</v>
      </c>
      <c r="E328" s="1">
        <v>3162.3609999999999</v>
      </c>
      <c r="F328" s="1">
        <v>3263.1970000000001</v>
      </c>
      <c r="G328" s="2">
        <v>375.00700000000001</v>
      </c>
      <c r="H328" s="2">
        <v>229.33699999999999</v>
      </c>
      <c r="I328" s="2">
        <v>604.34400000000005</v>
      </c>
      <c r="J328" s="2">
        <v>605.86699999999996</v>
      </c>
      <c r="K328" s="3">
        <v>1782.0129999999999</v>
      </c>
      <c r="L328" s="3">
        <v>776.005</v>
      </c>
      <c r="M328" s="3">
        <v>2558.0169999999998</v>
      </c>
      <c r="N328" s="3">
        <v>2657.33</v>
      </c>
      <c r="O328">
        <v>2015</v>
      </c>
      <c r="Q328" s="12" t="str">
        <f>TEXT(VALUE(Table1[[#This Row],[Content.Column7]])*1000,"#,##0")</f>
        <v>375,007</v>
      </c>
      <c r="R328" s="12" t="str">
        <f>TEXT(VALUE(Table1[[#This Row],[Content.Column8]])*1000,"#,##0")</f>
        <v>229,337</v>
      </c>
      <c r="S328" s="12" t="str">
        <f>TEXT(VALUE(Table1[[#This Row],[Content.Column9]])*1000,"#,##0")</f>
        <v>604,344</v>
      </c>
      <c r="T328" s="12" t="str">
        <f>TEXT(VALUE(Table1[[#This Row],[Content.Column10]])*1000,"#,##0")</f>
        <v>605,867</v>
      </c>
      <c r="U328" s="13" t="str">
        <f>TEXT(VALUE(Table1[[#This Row],[Content.Column11]])*1000,"#,##0")</f>
        <v>1,782,013</v>
      </c>
      <c r="V328" s="13" t="str">
        <f>TEXT(VALUE(Table1[[#This Row],[Content.Column12]])*1000,"#,##0")</f>
        <v>776,005</v>
      </c>
      <c r="W328" s="13" t="str">
        <f>TEXT(VALUE(Table1[[#This Row],[Content.Column13]])*1000,"#,##0")</f>
        <v>2,558,017</v>
      </c>
      <c r="X328" s="13" t="str">
        <f>TEXT(VALUE(Table1[[#This Row],[Content.Column14]])*1000,"#,##0")</f>
        <v>2,657,330</v>
      </c>
      <c r="Y328" s="14" t="str">
        <f>TEXT(VALUE(Table1[[#This Row],[Content.Column3]])*1000,"#,##0")</f>
        <v>2,157,020</v>
      </c>
      <c r="Z328" s="14" t="str">
        <f>TEXT(VALUE(Table1[[#This Row],[Content.Column4]])*1000,"#,##0")</f>
        <v>1,005,343</v>
      </c>
      <c r="AA328" s="14" t="str">
        <f>TEXT(VALUE(Table1[[#This Row],[Content.Column5]])*1000,"#,##0")</f>
        <v>3,162,361</v>
      </c>
      <c r="AB328" s="14" t="str">
        <f>TEXT(VALUE(Table1[[#This Row],[Content.Column6]])*1000,"#,##0")</f>
        <v>3,263,197</v>
      </c>
    </row>
    <row r="329" spans="1:28" x14ac:dyDescent="0.3">
      <c r="A329" t="s">
        <v>100</v>
      </c>
      <c r="B329" t="s">
        <v>101</v>
      </c>
      <c r="C329" s="6">
        <v>1569.17</v>
      </c>
      <c r="D329" s="1">
        <v>761.16300000000001</v>
      </c>
      <c r="E329" s="1">
        <v>2330.3319999999999</v>
      </c>
      <c r="F329" s="1">
        <v>2414.8670000000002</v>
      </c>
      <c r="G329" s="2">
        <v>274.50400000000002</v>
      </c>
      <c r="H329" s="2">
        <v>175.898</v>
      </c>
      <c r="I329" s="2">
        <v>450.40199999999999</v>
      </c>
      <c r="J329" s="2">
        <v>451.161</v>
      </c>
      <c r="K329" s="3">
        <v>1294.6659999999999</v>
      </c>
      <c r="L329" s="3">
        <v>585.26499999999999</v>
      </c>
      <c r="M329" s="3">
        <v>1879.93</v>
      </c>
      <c r="N329" s="3">
        <v>1963.7059999999999</v>
      </c>
      <c r="O329">
        <v>2015</v>
      </c>
      <c r="Q329" s="12" t="str">
        <f>TEXT(VALUE(Table1[[#This Row],[Content.Column7]])*1000,"#,##0")</f>
        <v>274,504</v>
      </c>
      <c r="R329" s="12" t="str">
        <f>TEXT(VALUE(Table1[[#This Row],[Content.Column8]])*1000,"#,##0")</f>
        <v>175,898</v>
      </c>
      <c r="S329" s="12" t="str">
        <f>TEXT(VALUE(Table1[[#This Row],[Content.Column9]])*1000,"#,##0")</f>
        <v>450,402</v>
      </c>
      <c r="T329" s="12" t="str">
        <f>TEXT(VALUE(Table1[[#This Row],[Content.Column10]])*1000,"#,##0")</f>
        <v>451,161</v>
      </c>
      <c r="U329" s="13" t="str">
        <f>TEXT(VALUE(Table1[[#This Row],[Content.Column11]])*1000,"#,##0")</f>
        <v>1,294,666</v>
      </c>
      <c r="V329" s="13" t="str">
        <f>TEXT(VALUE(Table1[[#This Row],[Content.Column12]])*1000,"#,##0")</f>
        <v>585,265</v>
      </c>
      <c r="W329" s="13" t="str">
        <f>TEXT(VALUE(Table1[[#This Row],[Content.Column13]])*1000,"#,##0")</f>
        <v>1,879,930</v>
      </c>
      <c r="X329" s="13" t="str">
        <f>TEXT(VALUE(Table1[[#This Row],[Content.Column14]])*1000,"#,##0")</f>
        <v>1,963,706</v>
      </c>
      <c r="Y329" s="14" t="str">
        <f>TEXT(VALUE(Table1[[#This Row],[Content.Column3]])*1000,"#,##0")</f>
        <v>1,569,170</v>
      </c>
      <c r="Z329" s="14" t="str">
        <f>TEXT(VALUE(Table1[[#This Row],[Content.Column4]])*1000,"#,##0")</f>
        <v>761,163</v>
      </c>
      <c r="AA329" s="14" t="str">
        <f>TEXT(VALUE(Table1[[#This Row],[Content.Column5]])*1000,"#,##0")</f>
        <v>2,330,332</v>
      </c>
      <c r="AB329" s="14" t="str">
        <f>TEXT(VALUE(Table1[[#This Row],[Content.Column6]])*1000,"#,##0")</f>
        <v>2,414,867</v>
      </c>
    </row>
    <row r="330" spans="1:28" x14ac:dyDescent="0.3">
      <c r="A330" t="s">
        <v>102</v>
      </c>
      <c r="B330" t="s">
        <v>103</v>
      </c>
      <c r="C330" s="6">
        <v>1380.248</v>
      </c>
      <c r="D330" s="1">
        <v>630.06700000000001</v>
      </c>
      <c r="E330" s="1">
        <v>2010.3140000000001</v>
      </c>
      <c r="F330" s="1">
        <v>2091.2559999999999</v>
      </c>
      <c r="G330" s="2">
        <v>194.88300000000001</v>
      </c>
      <c r="H330" s="2">
        <v>134.82</v>
      </c>
      <c r="I330" s="2">
        <v>329.70299999999997</v>
      </c>
      <c r="J330" s="2">
        <v>330.84500000000003</v>
      </c>
      <c r="K330" s="3">
        <v>1185.365</v>
      </c>
      <c r="L330" s="3">
        <v>495.24700000000001</v>
      </c>
      <c r="M330" s="3">
        <v>1680.6110000000001</v>
      </c>
      <c r="N330" s="3">
        <v>1760.4110000000001</v>
      </c>
      <c r="O330">
        <v>2015</v>
      </c>
      <c r="Q330" s="12" t="str">
        <f>TEXT(VALUE(Table1[[#This Row],[Content.Column7]])*1000,"#,##0")</f>
        <v>194,883</v>
      </c>
      <c r="R330" s="12" t="str">
        <f>TEXT(VALUE(Table1[[#This Row],[Content.Column8]])*1000,"#,##0")</f>
        <v>134,820</v>
      </c>
      <c r="S330" s="12" t="str">
        <f>TEXT(VALUE(Table1[[#This Row],[Content.Column9]])*1000,"#,##0")</f>
        <v>329,703</v>
      </c>
      <c r="T330" s="12" t="str">
        <f>TEXT(VALUE(Table1[[#This Row],[Content.Column10]])*1000,"#,##0")</f>
        <v>330,845</v>
      </c>
      <c r="U330" s="13" t="str">
        <f>TEXT(VALUE(Table1[[#This Row],[Content.Column11]])*1000,"#,##0")</f>
        <v>1,185,365</v>
      </c>
      <c r="V330" s="13" t="str">
        <f>TEXT(VALUE(Table1[[#This Row],[Content.Column12]])*1000,"#,##0")</f>
        <v>495,247</v>
      </c>
      <c r="W330" s="13" t="str">
        <f>TEXT(VALUE(Table1[[#This Row],[Content.Column13]])*1000,"#,##0")</f>
        <v>1,680,611</v>
      </c>
      <c r="X330" s="13" t="str">
        <f>TEXT(VALUE(Table1[[#This Row],[Content.Column14]])*1000,"#,##0")</f>
        <v>1,760,411</v>
      </c>
      <c r="Y330" s="14" t="str">
        <f>TEXT(VALUE(Table1[[#This Row],[Content.Column3]])*1000,"#,##0")</f>
        <v>1,380,248</v>
      </c>
      <c r="Z330" s="14" t="str">
        <f>TEXT(VALUE(Table1[[#This Row],[Content.Column4]])*1000,"#,##0")</f>
        <v>630,067</v>
      </c>
      <c r="AA330" s="14" t="str">
        <f>TEXT(VALUE(Table1[[#This Row],[Content.Column5]])*1000,"#,##0")</f>
        <v>2,010,314</v>
      </c>
      <c r="AB330" s="14" t="str">
        <f>TEXT(VALUE(Table1[[#This Row],[Content.Column6]])*1000,"#,##0")</f>
        <v>2,091,256</v>
      </c>
    </row>
    <row r="331" spans="1:28" x14ac:dyDescent="0.3">
      <c r="A331" t="s">
        <v>104</v>
      </c>
      <c r="B331" t="s">
        <v>105</v>
      </c>
      <c r="C331" s="6">
        <v>1706.7829999999999</v>
      </c>
      <c r="D331" s="1">
        <v>757.67600000000004</v>
      </c>
      <c r="E331" s="1">
        <v>2464.538</v>
      </c>
      <c r="F331" s="1">
        <v>2546.846</v>
      </c>
      <c r="G331" s="2">
        <v>264.86900000000003</v>
      </c>
      <c r="H331" s="2">
        <v>169.69800000000001</v>
      </c>
      <c r="I331" s="2">
        <v>434.642</v>
      </c>
      <c r="J331" s="2">
        <v>435.72399999999999</v>
      </c>
      <c r="K331" s="3">
        <v>1441.913</v>
      </c>
      <c r="L331" s="3">
        <v>587.97799999999995</v>
      </c>
      <c r="M331" s="3">
        <v>2029.896</v>
      </c>
      <c r="N331" s="3">
        <v>2111.1210000000001</v>
      </c>
      <c r="O331">
        <v>2015</v>
      </c>
      <c r="Q331" s="12" t="str">
        <f>TEXT(VALUE(Table1[[#This Row],[Content.Column7]])*1000,"#,##0")</f>
        <v>264,869</v>
      </c>
      <c r="R331" s="12" t="str">
        <f>TEXT(VALUE(Table1[[#This Row],[Content.Column8]])*1000,"#,##0")</f>
        <v>169,698</v>
      </c>
      <c r="S331" s="12" t="str">
        <f>TEXT(VALUE(Table1[[#This Row],[Content.Column9]])*1000,"#,##0")</f>
        <v>434,642</v>
      </c>
      <c r="T331" s="12" t="str">
        <f>TEXT(VALUE(Table1[[#This Row],[Content.Column10]])*1000,"#,##0")</f>
        <v>435,724</v>
      </c>
      <c r="U331" s="13" t="str">
        <f>TEXT(VALUE(Table1[[#This Row],[Content.Column11]])*1000,"#,##0")</f>
        <v>1,441,913</v>
      </c>
      <c r="V331" s="13" t="str">
        <f>TEXT(VALUE(Table1[[#This Row],[Content.Column12]])*1000,"#,##0")</f>
        <v>587,978</v>
      </c>
      <c r="W331" s="13" t="str">
        <f>TEXT(VALUE(Table1[[#This Row],[Content.Column13]])*1000,"#,##0")</f>
        <v>2,029,896</v>
      </c>
      <c r="X331" s="13" t="str">
        <f>TEXT(VALUE(Table1[[#This Row],[Content.Column14]])*1000,"#,##0")</f>
        <v>2,111,121</v>
      </c>
      <c r="Y331" s="14" t="str">
        <f>TEXT(VALUE(Table1[[#This Row],[Content.Column3]])*1000,"#,##0")</f>
        <v>1,706,783</v>
      </c>
      <c r="Z331" s="14" t="str">
        <f>TEXT(VALUE(Table1[[#This Row],[Content.Column4]])*1000,"#,##0")</f>
        <v>757,676</v>
      </c>
      <c r="AA331" s="14" t="str">
        <f>TEXT(VALUE(Table1[[#This Row],[Content.Column5]])*1000,"#,##0")</f>
        <v>2,464,538</v>
      </c>
      <c r="AB331" s="14" t="str">
        <f>TEXT(VALUE(Table1[[#This Row],[Content.Column6]])*1000,"#,##0")</f>
        <v>2,546,846</v>
      </c>
    </row>
    <row r="332" spans="1:28" x14ac:dyDescent="0.3">
      <c r="A332" t="s">
        <v>106</v>
      </c>
      <c r="B332" t="s">
        <v>107</v>
      </c>
      <c r="C332" s="6">
        <v>1755.6220000000001</v>
      </c>
      <c r="D332" s="1">
        <v>873.86699999999996</v>
      </c>
      <c r="E332" s="1">
        <v>2629.489</v>
      </c>
      <c r="F332" s="1">
        <v>2720.7420000000002</v>
      </c>
      <c r="G332" s="2">
        <v>227.93700000000001</v>
      </c>
      <c r="H332" s="2">
        <v>176.06299999999999</v>
      </c>
      <c r="I332" s="2">
        <v>404</v>
      </c>
      <c r="J332" s="2">
        <v>404.47199999999998</v>
      </c>
      <c r="K332" s="3">
        <v>1527.6859999999999</v>
      </c>
      <c r="L332" s="3">
        <v>697.80399999999997</v>
      </c>
      <c r="M332" s="3">
        <v>2225.489</v>
      </c>
      <c r="N332" s="3">
        <v>2316.27</v>
      </c>
      <c r="O332">
        <v>2015</v>
      </c>
      <c r="Q332" s="12" t="str">
        <f>TEXT(VALUE(Table1[[#This Row],[Content.Column7]])*1000,"#,##0")</f>
        <v>227,937</v>
      </c>
      <c r="R332" s="12" t="str">
        <f>TEXT(VALUE(Table1[[#This Row],[Content.Column8]])*1000,"#,##0")</f>
        <v>176,063</v>
      </c>
      <c r="S332" s="12" t="str">
        <f>TEXT(VALUE(Table1[[#This Row],[Content.Column9]])*1000,"#,##0")</f>
        <v>404,000</v>
      </c>
      <c r="T332" s="12" t="str">
        <f>TEXT(VALUE(Table1[[#This Row],[Content.Column10]])*1000,"#,##0")</f>
        <v>404,472</v>
      </c>
      <c r="U332" s="13" t="str">
        <f>TEXT(VALUE(Table1[[#This Row],[Content.Column11]])*1000,"#,##0")</f>
        <v>1,527,686</v>
      </c>
      <c r="V332" s="13" t="str">
        <f>TEXT(VALUE(Table1[[#This Row],[Content.Column12]])*1000,"#,##0")</f>
        <v>697,804</v>
      </c>
      <c r="W332" s="13" t="str">
        <f>TEXT(VALUE(Table1[[#This Row],[Content.Column13]])*1000,"#,##0")</f>
        <v>2,225,489</v>
      </c>
      <c r="X332" s="13" t="str">
        <f>TEXT(VALUE(Table1[[#This Row],[Content.Column14]])*1000,"#,##0")</f>
        <v>2,316,270</v>
      </c>
      <c r="Y332" s="14" t="str">
        <f>TEXT(VALUE(Table1[[#This Row],[Content.Column3]])*1000,"#,##0")</f>
        <v>1,755,622</v>
      </c>
      <c r="Z332" s="14" t="str">
        <f>TEXT(VALUE(Table1[[#This Row],[Content.Column4]])*1000,"#,##0")</f>
        <v>873,867</v>
      </c>
      <c r="AA332" s="14" t="str">
        <f>TEXT(VALUE(Table1[[#This Row],[Content.Column5]])*1000,"#,##0")</f>
        <v>2,629,489</v>
      </c>
      <c r="AB332" s="14" t="str">
        <f>TEXT(VALUE(Table1[[#This Row],[Content.Column6]])*1000,"#,##0")</f>
        <v>2,720,742</v>
      </c>
    </row>
    <row r="333" spans="1:28" x14ac:dyDescent="0.3">
      <c r="A333" t="s">
        <v>108</v>
      </c>
      <c r="B333" t="s">
        <v>109</v>
      </c>
      <c r="C333" s="6">
        <v>3651.44</v>
      </c>
      <c r="D333" s="1">
        <v>1272.086</v>
      </c>
      <c r="E333" s="1">
        <v>4923.5259999999998</v>
      </c>
      <c r="F333" s="1">
        <v>5080.7330000000002</v>
      </c>
      <c r="G333" s="2">
        <v>547.99400000000003</v>
      </c>
      <c r="H333" s="2">
        <v>198.70699999999999</v>
      </c>
      <c r="I333" s="2">
        <v>746.70100000000002</v>
      </c>
      <c r="J333" s="2">
        <v>749.83299999999997</v>
      </c>
      <c r="K333" s="3">
        <v>3103.4459999999999</v>
      </c>
      <c r="L333" s="3">
        <v>1073.3789999999999</v>
      </c>
      <c r="M333" s="3">
        <v>4176.8249999999998</v>
      </c>
      <c r="N333" s="3">
        <v>4330.8990000000003</v>
      </c>
      <c r="O333">
        <v>2015</v>
      </c>
      <c r="Q333" s="12" t="str">
        <f>TEXT(VALUE(Table1[[#This Row],[Content.Column7]])*1000,"#,##0")</f>
        <v>547,994</v>
      </c>
      <c r="R333" s="12" t="str">
        <f>TEXT(VALUE(Table1[[#This Row],[Content.Column8]])*1000,"#,##0")</f>
        <v>198,707</v>
      </c>
      <c r="S333" s="12" t="str">
        <f>TEXT(VALUE(Table1[[#This Row],[Content.Column9]])*1000,"#,##0")</f>
        <v>746,701</v>
      </c>
      <c r="T333" s="12" t="str">
        <f>TEXT(VALUE(Table1[[#This Row],[Content.Column10]])*1000,"#,##0")</f>
        <v>749,833</v>
      </c>
      <c r="U333" s="13" t="str">
        <f>TEXT(VALUE(Table1[[#This Row],[Content.Column11]])*1000,"#,##0")</f>
        <v>3,103,446</v>
      </c>
      <c r="V333" s="13" t="str">
        <f>TEXT(VALUE(Table1[[#This Row],[Content.Column12]])*1000,"#,##0")</f>
        <v>1,073,379</v>
      </c>
      <c r="W333" s="13" t="str">
        <f>TEXT(VALUE(Table1[[#This Row],[Content.Column13]])*1000,"#,##0")</f>
        <v>4,176,825</v>
      </c>
      <c r="X333" s="13" t="str">
        <f>TEXT(VALUE(Table1[[#This Row],[Content.Column14]])*1000,"#,##0")</f>
        <v>4,330,899</v>
      </c>
      <c r="Y333" s="14" t="str">
        <f>TEXT(VALUE(Table1[[#This Row],[Content.Column3]])*1000,"#,##0")</f>
        <v>3,651,440</v>
      </c>
      <c r="Z333" s="14" t="str">
        <f>TEXT(VALUE(Table1[[#This Row],[Content.Column4]])*1000,"#,##0")</f>
        <v>1,272,086</v>
      </c>
      <c r="AA333" s="14" t="str">
        <f>TEXT(VALUE(Table1[[#This Row],[Content.Column5]])*1000,"#,##0")</f>
        <v>4,923,526</v>
      </c>
      <c r="AB333" s="14" t="str">
        <f>TEXT(VALUE(Table1[[#This Row],[Content.Column6]])*1000,"#,##0")</f>
        <v>5,080,733</v>
      </c>
    </row>
    <row r="334" spans="1:28" x14ac:dyDescent="0.3">
      <c r="A334" t="s">
        <v>110</v>
      </c>
      <c r="B334" t="s">
        <v>111</v>
      </c>
      <c r="C334" s="6">
        <v>2775.6990000000001</v>
      </c>
      <c r="D334" s="1">
        <v>1297.4880000000001</v>
      </c>
      <c r="E334" s="1">
        <v>4073.1869999999999</v>
      </c>
      <c r="F334" s="1">
        <v>4205.9539999999997</v>
      </c>
      <c r="G334" s="2">
        <v>359.38400000000001</v>
      </c>
      <c r="H334" s="2">
        <v>238.19</v>
      </c>
      <c r="I334" s="2">
        <v>597.57399999999996</v>
      </c>
      <c r="J334" s="2">
        <v>599.31299999999999</v>
      </c>
      <c r="K334" s="3">
        <v>2416.3150000000001</v>
      </c>
      <c r="L334" s="3">
        <v>1059.298</v>
      </c>
      <c r="M334" s="3">
        <v>3475.6129999999998</v>
      </c>
      <c r="N334" s="3">
        <v>3606.6410000000001</v>
      </c>
      <c r="O334">
        <v>2015</v>
      </c>
      <c r="Q334" s="12" t="str">
        <f>TEXT(VALUE(Table1[[#This Row],[Content.Column7]])*1000,"#,##0")</f>
        <v>359,384</v>
      </c>
      <c r="R334" s="12" t="str">
        <f>TEXT(VALUE(Table1[[#This Row],[Content.Column8]])*1000,"#,##0")</f>
        <v>238,190</v>
      </c>
      <c r="S334" s="12" t="str">
        <f>TEXT(VALUE(Table1[[#This Row],[Content.Column9]])*1000,"#,##0")</f>
        <v>597,574</v>
      </c>
      <c r="T334" s="12" t="str">
        <f>TEXT(VALUE(Table1[[#This Row],[Content.Column10]])*1000,"#,##0")</f>
        <v>599,313</v>
      </c>
      <c r="U334" s="13" t="str">
        <f>TEXT(VALUE(Table1[[#This Row],[Content.Column11]])*1000,"#,##0")</f>
        <v>2,416,315</v>
      </c>
      <c r="V334" s="13" t="str">
        <f>TEXT(VALUE(Table1[[#This Row],[Content.Column12]])*1000,"#,##0")</f>
        <v>1,059,298</v>
      </c>
      <c r="W334" s="13" t="str">
        <f>TEXT(VALUE(Table1[[#This Row],[Content.Column13]])*1000,"#,##0")</f>
        <v>3,475,613</v>
      </c>
      <c r="X334" s="13" t="str">
        <f>TEXT(VALUE(Table1[[#This Row],[Content.Column14]])*1000,"#,##0")</f>
        <v>3,606,641</v>
      </c>
      <c r="Y334" s="14" t="str">
        <f>TEXT(VALUE(Table1[[#This Row],[Content.Column3]])*1000,"#,##0")</f>
        <v>2,775,699</v>
      </c>
      <c r="Z334" s="14" t="str">
        <f>TEXT(VALUE(Table1[[#This Row],[Content.Column4]])*1000,"#,##0")</f>
        <v>1,297,488</v>
      </c>
      <c r="AA334" s="14" t="str">
        <f>TEXT(VALUE(Table1[[#This Row],[Content.Column5]])*1000,"#,##0")</f>
        <v>4,073,187</v>
      </c>
      <c r="AB334" s="14" t="str">
        <f>TEXT(VALUE(Table1[[#This Row],[Content.Column6]])*1000,"#,##0")</f>
        <v>4,205,954</v>
      </c>
    </row>
    <row r="335" spans="1:28" x14ac:dyDescent="0.3">
      <c r="A335" t="s">
        <v>112</v>
      </c>
      <c r="B335" t="s">
        <v>113</v>
      </c>
      <c r="C335" s="6">
        <v>1558.604</v>
      </c>
      <c r="D335" s="1">
        <v>828.673</v>
      </c>
      <c r="E335" s="1">
        <v>2387.277</v>
      </c>
      <c r="F335" s="1">
        <v>2515.6239999999998</v>
      </c>
      <c r="G335" s="2">
        <v>231.45699999999999</v>
      </c>
      <c r="H335" s="2">
        <v>166.85300000000001</v>
      </c>
      <c r="I335" s="2">
        <v>398.31</v>
      </c>
      <c r="J335" s="2">
        <v>399.27</v>
      </c>
      <c r="K335" s="3">
        <v>1327.1469999999999</v>
      </c>
      <c r="L335" s="3">
        <v>661.82</v>
      </c>
      <c r="M335" s="3">
        <v>1988.9670000000001</v>
      </c>
      <c r="N335" s="3">
        <v>2116.3539999999998</v>
      </c>
      <c r="O335">
        <v>2015</v>
      </c>
      <c r="Q335" s="12" t="str">
        <f>TEXT(VALUE(Table1[[#This Row],[Content.Column7]])*1000,"#,##0")</f>
        <v>231,457</v>
      </c>
      <c r="R335" s="12" t="str">
        <f>TEXT(VALUE(Table1[[#This Row],[Content.Column8]])*1000,"#,##0")</f>
        <v>166,853</v>
      </c>
      <c r="S335" s="12" t="str">
        <f>TEXT(VALUE(Table1[[#This Row],[Content.Column9]])*1000,"#,##0")</f>
        <v>398,310</v>
      </c>
      <c r="T335" s="12" t="str">
        <f>TEXT(VALUE(Table1[[#This Row],[Content.Column10]])*1000,"#,##0")</f>
        <v>399,270</v>
      </c>
      <c r="U335" s="13" t="str">
        <f>TEXT(VALUE(Table1[[#This Row],[Content.Column11]])*1000,"#,##0")</f>
        <v>1,327,147</v>
      </c>
      <c r="V335" s="13" t="str">
        <f>TEXT(VALUE(Table1[[#This Row],[Content.Column12]])*1000,"#,##0")</f>
        <v>661,820</v>
      </c>
      <c r="W335" s="13" t="str">
        <f>TEXT(VALUE(Table1[[#This Row],[Content.Column13]])*1000,"#,##0")</f>
        <v>1,988,967</v>
      </c>
      <c r="X335" s="13" t="str">
        <f>TEXT(VALUE(Table1[[#This Row],[Content.Column14]])*1000,"#,##0")</f>
        <v>2,116,354</v>
      </c>
      <c r="Y335" s="14" t="str">
        <f>TEXT(VALUE(Table1[[#This Row],[Content.Column3]])*1000,"#,##0")</f>
        <v>1,558,604</v>
      </c>
      <c r="Z335" s="14" t="str">
        <f>TEXT(VALUE(Table1[[#This Row],[Content.Column4]])*1000,"#,##0")</f>
        <v>828,673</v>
      </c>
      <c r="AA335" s="14" t="str">
        <f>TEXT(VALUE(Table1[[#This Row],[Content.Column5]])*1000,"#,##0")</f>
        <v>2,387,277</v>
      </c>
      <c r="AB335" s="14" t="str">
        <f>TEXT(VALUE(Table1[[#This Row],[Content.Column6]])*1000,"#,##0")</f>
        <v>2,515,624</v>
      </c>
    </row>
    <row r="336" spans="1:28" x14ac:dyDescent="0.3">
      <c r="A336" t="s">
        <v>114</v>
      </c>
      <c r="B336" t="s">
        <v>115</v>
      </c>
      <c r="C336" s="6">
        <v>791.73800000000006</v>
      </c>
      <c r="D336" s="1">
        <v>440.50299999999999</v>
      </c>
      <c r="E336" s="1">
        <v>1232.24</v>
      </c>
      <c r="F336" s="1">
        <v>1321.537</v>
      </c>
      <c r="G336" s="2">
        <v>171.41399999999999</v>
      </c>
      <c r="H336" s="2">
        <v>127.34099999999999</v>
      </c>
      <c r="I336" s="2">
        <v>298.755</v>
      </c>
      <c r="J336" s="2">
        <v>299.04700000000003</v>
      </c>
      <c r="K336" s="3">
        <v>620.32299999999998</v>
      </c>
      <c r="L336" s="3">
        <v>313.16199999999998</v>
      </c>
      <c r="M336" s="3">
        <v>933.48500000000001</v>
      </c>
      <c r="N336" s="3">
        <v>1022.49</v>
      </c>
      <c r="O336">
        <v>2015</v>
      </c>
      <c r="Q336" s="12" t="str">
        <f>TEXT(VALUE(Table1[[#This Row],[Content.Column7]])*1000,"#,##0")</f>
        <v>171,414</v>
      </c>
      <c r="R336" s="12" t="str">
        <f>TEXT(VALUE(Table1[[#This Row],[Content.Column8]])*1000,"#,##0")</f>
        <v>127,341</v>
      </c>
      <c r="S336" s="12" t="str">
        <f>TEXT(VALUE(Table1[[#This Row],[Content.Column9]])*1000,"#,##0")</f>
        <v>298,755</v>
      </c>
      <c r="T336" s="12" t="str">
        <f>TEXT(VALUE(Table1[[#This Row],[Content.Column10]])*1000,"#,##0")</f>
        <v>299,047</v>
      </c>
      <c r="U336" s="13" t="str">
        <f>TEXT(VALUE(Table1[[#This Row],[Content.Column11]])*1000,"#,##0")</f>
        <v>620,323</v>
      </c>
      <c r="V336" s="13" t="str">
        <f>TEXT(VALUE(Table1[[#This Row],[Content.Column12]])*1000,"#,##0")</f>
        <v>313,162</v>
      </c>
      <c r="W336" s="13" t="str">
        <f>TEXT(VALUE(Table1[[#This Row],[Content.Column13]])*1000,"#,##0")</f>
        <v>933,485</v>
      </c>
      <c r="X336" s="13" t="str">
        <f>TEXT(VALUE(Table1[[#This Row],[Content.Column14]])*1000,"#,##0")</f>
        <v>1,022,490</v>
      </c>
      <c r="Y336" s="14" t="str">
        <f>TEXT(VALUE(Table1[[#This Row],[Content.Column3]])*1000,"#,##0")</f>
        <v>791,738</v>
      </c>
      <c r="Z336" s="14" t="str">
        <f>TEXT(VALUE(Table1[[#This Row],[Content.Column4]])*1000,"#,##0")</f>
        <v>440,503</v>
      </c>
      <c r="AA336" s="14" t="str">
        <f>TEXT(VALUE(Table1[[#This Row],[Content.Column5]])*1000,"#,##0")</f>
        <v>1,232,240</v>
      </c>
      <c r="AB336" s="14" t="str">
        <f>TEXT(VALUE(Table1[[#This Row],[Content.Column6]])*1000,"#,##0")</f>
        <v>1,321,537</v>
      </c>
    </row>
    <row r="337" spans="1:28" x14ac:dyDescent="0.3">
      <c r="A337" t="s">
        <v>116</v>
      </c>
      <c r="B337" t="s">
        <v>117</v>
      </c>
      <c r="C337" s="6">
        <v>1625.84</v>
      </c>
      <c r="D337" s="1">
        <v>836.03200000000004</v>
      </c>
      <c r="E337" s="1">
        <v>2461.8710000000001</v>
      </c>
      <c r="F337" s="1">
        <v>2564.009</v>
      </c>
      <c r="G337" s="2">
        <v>356.73099999999999</v>
      </c>
      <c r="H337" s="2">
        <v>220.209</v>
      </c>
      <c r="I337" s="2">
        <v>576.94000000000005</v>
      </c>
      <c r="J337" s="2">
        <v>577.06899999999996</v>
      </c>
      <c r="K337" s="3">
        <v>1269.1089999999999</v>
      </c>
      <c r="L337" s="3">
        <v>615.82299999999998</v>
      </c>
      <c r="M337" s="3">
        <v>1884.931</v>
      </c>
      <c r="N337" s="3">
        <v>1986.94</v>
      </c>
      <c r="O337">
        <v>2015</v>
      </c>
      <c r="Q337" s="12" t="str">
        <f>TEXT(VALUE(Table1[[#This Row],[Content.Column7]])*1000,"#,##0")</f>
        <v>356,731</v>
      </c>
      <c r="R337" s="12" t="str">
        <f>TEXT(VALUE(Table1[[#This Row],[Content.Column8]])*1000,"#,##0")</f>
        <v>220,209</v>
      </c>
      <c r="S337" s="12" t="str">
        <f>TEXT(VALUE(Table1[[#This Row],[Content.Column9]])*1000,"#,##0")</f>
        <v>576,940</v>
      </c>
      <c r="T337" s="12" t="str">
        <f>TEXT(VALUE(Table1[[#This Row],[Content.Column10]])*1000,"#,##0")</f>
        <v>577,069</v>
      </c>
      <c r="U337" s="13" t="str">
        <f>TEXT(VALUE(Table1[[#This Row],[Content.Column11]])*1000,"#,##0")</f>
        <v>1,269,109</v>
      </c>
      <c r="V337" s="13" t="str">
        <f>TEXT(VALUE(Table1[[#This Row],[Content.Column12]])*1000,"#,##0")</f>
        <v>615,823</v>
      </c>
      <c r="W337" s="13" t="str">
        <f>TEXT(VALUE(Table1[[#This Row],[Content.Column13]])*1000,"#,##0")</f>
        <v>1,884,931</v>
      </c>
      <c r="X337" s="13" t="str">
        <f>TEXT(VALUE(Table1[[#This Row],[Content.Column14]])*1000,"#,##0")</f>
        <v>1,986,940</v>
      </c>
      <c r="Y337" s="14" t="str">
        <f>TEXT(VALUE(Table1[[#This Row],[Content.Column3]])*1000,"#,##0")</f>
        <v>1,625,840</v>
      </c>
      <c r="Z337" s="14" t="str">
        <f>TEXT(VALUE(Table1[[#This Row],[Content.Column4]])*1000,"#,##0")</f>
        <v>836,032</v>
      </c>
      <c r="AA337" s="14" t="str">
        <f>TEXT(VALUE(Table1[[#This Row],[Content.Column5]])*1000,"#,##0")</f>
        <v>2,461,871</v>
      </c>
      <c r="AB337" s="14" t="str">
        <f>TEXT(VALUE(Table1[[#This Row],[Content.Column6]])*1000,"#,##0")</f>
        <v>2,564,009</v>
      </c>
    </row>
    <row r="338" spans="1:28" x14ac:dyDescent="0.3">
      <c r="A338" t="s">
        <v>118</v>
      </c>
      <c r="B338" t="s">
        <v>119</v>
      </c>
      <c r="C338" s="6">
        <v>17267.145</v>
      </c>
      <c r="D338" s="1">
        <v>7777.2719999999999</v>
      </c>
      <c r="E338" s="1">
        <v>25044.491999999998</v>
      </c>
      <c r="F338" s="1">
        <v>25933.644</v>
      </c>
      <c r="G338" s="2">
        <v>2620.087</v>
      </c>
      <c r="H338" s="2">
        <v>1574.587</v>
      </c>
      <c r="I338" s="2">
        <v>4194.7489999999998</v>
      </c>
      <c r="J338" s="2">
        <v>4205.6880000000001</v>
      </c>
      <c r="K338" s="3">
        <v>14647.058000000001</v>
      </c>
      <c r="L338" s="3">
        <v>6202.6840000000002</v>
      </c>
      <c r="M338" s="3">
        <v>20849.742999999999</v>
      </c>
      <c r="N338" s="3">
        <v>21727.955000000002</v>
      </c>
      <c r="O338">
        <v>2015</v>
      </c>
      <c r="Q338" s="12" t="str">
        <f>TEXT(VALUE(Table1[[#This Row],[Content.Column7]])*1000,"#,##0")</f>
        <v>2,620,087</v>
      </c>
      <c r="R338" s="12" t="str">
        <f>TEXT(VALUE(Table1[[#This Row],[Content.Column8]])*1000,"#,##0")</f>
        <v>1,574,587</v>
      </c>
      <c r="S338" s="12" t="str">
        <f>TEXT(VALUE(Table1[[#This Row],[Content.Column9]])*1000,"#,##0")</f>
        <v>4,194,749</v>
      </c>
      <c r="T338" s="12" t="str">
        <f>TEXT(VALUE(Table1[[#This Row],[Content.Column10]])*1000,"#,##0")</f>
        <v>4,205,688</v>
      </c>
      <c r="U338" s="13" t="str">
        <f>TEXT(VALUE(Table1[[#This Row],[Content.Column11]])*1000,"#,##0")</f>
        <v>14,647,058</v>
      </c>
      <c r="V338" s="13" t="str">
        <f>TEXT(VALUE(Table1[[#This Row],[Content.Column12]])*1000,"#,##0")</f>
        <v>6,202,684</v>
      </c>
      <c r="W338" s="13" t="str">
        <f>TEXT(VALUE(Table1[[#This Row],[Content.Column13]])*1000,"#,##0")</f>
        <v>20,849,743</v>
      </c>
      <c r="X338" s="13" t="str">
        <f>TEXT(VALUE(Table1[[#This Row],[Content.Column14]])*1000,"#,##0")</f>
        <v>21,727,955</v>
      </c>
      <c r="Y338" s="14" t="str">
        <f>TEXT(VALUE(Table1[[#This Row],[Content.Column3]])*1000,"#,##0")</f>
        <v>17,267,145</v>
      </c>
      <c r="Z338" s="14" t="str">
        <f>TEXT(VALUE(Table1[[#This Row],[Content.Column4]])*1000,"#,##0")</f>
        <v>7,777,272</v>
      </c>
      <c r="AA338" s="14" t="str">
        <f>TEXT(VALUE(Table1[[#This Row],[Content.Column5]])*1000,"#,##0")</f>
        <v>25,044,492</v>
      </c>
      <c r="AB338" s="14" t="str">
        <f>TEXT(VALUE(Table1[[#This Row],[Content.Column6]])*1000,"#,##0")</f>
        <v>25,933,644</v>
      </c>
    </row>
    <row r="339" spans="1:28" x14ac:dyDescent="0.3">
      <c r="A339" t="s">
        <v>120</v>
      </c>
      <c r="B339" t="s">
        <v>121</v>
      </c>
      <c r="C339" s="6">
        <v>19684.722000000002</v>
      </c>
      <c r="D339" s="1">
        <v>9053.8060000000005</v>
      </c>
      <c r="E339" s="1">
        <v>28738.602999999999</v>
      </c>
      <c r="F339" s="1">
        <v>29819.188999999998</v>
      </c>
      <c r="G339" s="2">
        <v>3148.232</v>
      </c>
      <c r="H339" s="2">
        <v>1922.1379999999999</v>
      </c>
      <c r="I339" s="2">
        <v>5070.4449999999997</v>
      </c>
      <c r="J339" s="2">
        <v>5081.8040000000001</v>
      </c>
      <c r="K339" s="3">
        <v>16536.490000000002</v>
      </c>
      <c r="L339" s="3">
        <v>7131.6679999999997</v>
      </c>
      <c r="M339" s="3">
        <v>23668.157999999999</v>
      </c>
      <c r="N339" s="3">
        <v>24737.384999999998</v>
      </c>
      <c r="O339">
        <v>2015</v>
      </c>
      <c r="Q339" s="12" t="str">
        <f>TEXT(VALUE(Table1[[#This Row],[Content.Column7]])*1000,"#,##0")</f>
        <v>3,148,232</v>
      </c>
      <c r="R339" s="12" t="str">
        <f>TEXT(VALUE(Table1[[#This Row],[Content.Column8]])*1000,"#,##0")</f>
        <v>1,922,138</v>
      </c>
      <c r="S339" s="12" t="str">
        <f>TEXT(VALUE(Table1[[#This Row],[Content.Column9]])*1000,"#,##0")</f>
        <v>5,070,445</v>
      </c>
      <c r="T339" s="12" t="str">
        <f>TEXT(VALUE(Table1[[#This Row],[Content.Column10]])*1000,"#,##0")</f>
        <v>5,081,804</v>
      </c>
      <c r="U339" s="13" t="str">
        <f>TEXT(VALUE(Table1[[#This Row],[Content.Column11]])*1000,"#,##0")</f>
        <v>16,536,490</v>
      </c>
      <c r="V339" s="13" t="str">
        <f>TEXT(VALUE(Table1[[#This Row],[Content.Column12]])*1000,"#,##0")</f>
        <v>7,131,668</v>
      </c>
      <c r="W339" s="13" t="str">
        <f>TEXT(VALUE(Table1[[#This Row],[Content.Column13]])*1000,"#,##0")</f>
        <v>23,668,158</v>
      </c>
      <c r="X339" s="13" t="str">
        <f>TEXT(VALUE(Table1[[#This Row],[Content.Column14]])*1000,"#,##0")</f>
        <v>24,737,385</v>
      </c>
      <c r="Y339" s="14" t="str">
        <f>TEXT(VALUE(Table1[[#This Row],[Content.Column3]])*1000,"#,##0")</f>
        <v>19,684,722</v>
      </c>
      <c r="Z339" s="14" t="str">
        <f>TEXT(VALUE(Table1[[#This Row],[Content.Column4]])*1000,"#,##0")</f>
        <v>9,053,806</v>
      </c>
      <c r="AA339" s="14" t="str">
        <f>TEXT(VALUE(Table1[[#This Row],[Content.Column5]])*1000,"#,##0")</f>
        <v>28,738,603</v>
      </c>
      <c r="AB339" s="14" t="str">
        <f>TEXT(VALUE(Table1[[#This Row],[Content.Column6]])*1000,"#,##0")</f>
        <v>29,819,189</v>
      </c>
    </row>
    <row r="340" spans="1:28" x14ac:dyDescent="0.3">
      <c r="A340" t="s">
        <v>26</v>
      </c>
      <c r="B340" t="s">
        <v>27</v>
      </c>
      <c r="C340" s="6">
        <v>405.29</v>
      </c>
      <c r="D340" s="1">
        <v>66.350999999999999</v>
      </c>
      <c r="E340" s="1">
        <v>471.64100000000002</v>
      </c>
      <c r="F340" s="1">
        <v>488.79500000000002</v>
      </c>
      <c r="G340" s="2">
        <v>14.769</v>
      </c>
      <c r="H340" s="2">
        <v>2.7730000000000001</v>
      </c>
      <c r="I340" s="2">
        <v>17.542000000000002</v>
      </c>
      <c r="J340" s="2">
        <v>17.579000000000001</v>
      </c>
      <c r="K340" s="3">
        <v>390.52100000000002</v>
      </c>
      <c r="L340" s="3">
        <v>63.578000000000003</v>
      </c>
      <c r="M340" s="3">
        <v>454.09899999999999</v>
      </c>
      <c r="N340" s="3">
        <v>471.21600000000001</v>
      </c>
      <c r="O340">
        <v>2016</v>
      </c>
      <c r="Q340" s="12" t="str">
        <f>TEXT(VALUE(Table1[[#This Row],[Content.Column7]])*1000,"#,##0")</f>
        <v>14,769</v>
      </c>
      <c r="R340" s="12" t="str">
        <f>TEXT(VALUE(Table1[[#This Row],[Content.Column8]])*1000,"#,##0")</f>
        <v>2,773</v>
      </c>
      <c r="S340" s="12" t="str">
        <f>TEXT(VALUE(Table1[[#This Row],[Content.Column9]])*1000,"#,##0")</f>
        <v>17,542</v>
      </c>
      <c r="T340" s="12" t="str">
        <f>TEXT(VALUE(Table1[[#This Row],[Content.Column10]])*1000,"#,##0")</f>
        <v>17,579</v>
      </c>
      <c r="U340" s="13" t="str">
        <f>TEXT(VALUE(Table1[[#This Row],[Content.Column11]])*1000,"#,##0")</f>
        <v>390,521</v>
      </c>
      <c r="V340" s="13" t="str">
        <f>TEXT(VALUE(Table1[[#This Row],[Content.Column12]])*1000,"#,##0")</f>
        <v>63,578</v>
      </c>
      <c r="W340" s="13" t="str">
        <f>TEXT(VALUE(Table1[[#This Row],[Content.Column13]])*1000,"#,##0")</f>
        <v>454,099</v>
      </c>
      <c r="X340" s="13" t="str">
        <f>TEXT(VALUE(Table1[[#This Row],[Content.Column14]])*1000,"#,##0")</f>
        <v>471,216</v>
      </c>
      <c r="Y340" s="14" t="str">
        <f>TEXT(VALUE(Table1[[#This Row],[Content.Column3]])*1000,"#,##0")</f>
        <v>405,290</v>
      </c>
      <c r="Z340" s="14" t="str">
        <f>TEXT(VALUE(Table1[[#This Row],[Content.Column4]])*1000,"#,##0")</f>
        <v>66,351</v>
      </c>
      <c r="AA340" s="14" t="str">
        <f>TEXT(VALUE(Table1[[#This Row],[Content.Column5]])*1000,"#,##0")</f>
        <v>471,641</v>
      </c>
      <c r="AB340" s="14" t="str">
        <f>TEXT(VALUE(Table1[[#This Row],[Content.Column6]])*1000,"#,##0")</f>
        <v>488,795</v>
      </c>
    </row>
    <row r="341" spans="1:28" x14ac:dyDescent="0.3">
      <c r="A341" t="s">
        <v>28</v>
      </c>
      <c r="B341" t="s">
        <v>29</v>
      </c>
      <c r="C341" s="6">
        <v>36.31</v>
      </c>
      <c r="D341" s="1">
        <v>15.923</v>
      </c>
      <c r="E341" s="1">
        <v>52.234000000000002</v>
      </c>
      <c r="F341" s="1">
        <v>53.295999999999999</v>
      </c>
      <c r="G341" s="2">
        <v>6.5730000000000004</v>
      </c>
      <c r="H341" s="2">
        <v>3.8839999999999999</v>
      </c>
      <c r="I341" s="2">
        <v>10.456</v>
      </c>
      <c r="J341" s="2">
        <v>10.461</v>
      </c>
      <c r="K341" s="3">
        <v>29.736999999999998</v>
      </c>
      <c r="L341" s="3">
        <v>12.04</v>
      </c>
      <c r="M341" s="3">
        <v>41.777000000000001</v>
      </c>
      <c r="N341" s="3">
        <v>42.835000000000001</v>
      </c>
      <c r="O341">
        <v>2016</v>
      </c>
      <c r="Q341" s="12" t="str">
        <f>TEXT(VALUE(Table1[[#This Row],[Content.Column7]])*1000,"#,##0")</f>
        <v>6,573</v>
      </c>
      <c r="R341" s="12" t="str">
        <f>TEXT(VALUE(Table1[[#This Row],[Content.Column8]])*1000,"#,##0")</f>
        <v>3,884</v>
      </c>
      <c r="S341" s="12" t="str">
        <f>TEXT(VALUE(Table1[[#This Row],[Content.Column9]])*1000,"#,##0")</f>
        <v>10,456</v>
      </c>
      <c r="T341" s="12" t="str">
        <f>TEXT(VALUE(Table1[[#This Row],[Content.Column10]])*1000,"#,##0")</f>
        <v>10,461</v>
      </c>
      <c r="U341" s="13" t="str">
        <f>TEXT(VALUE(Table1[[#This Row],[Content.Column11]])*1000,"#,##0")</f>
        <v>29,737</v>
      </c>
      <c r="V341" s="13" t="str">
        <f>TEXT(VALUE(Table1[[#This Row],[Content.Column12]])*1000,"#,##0")</f>
        <v>12,040</v>
      </c>
      <c r="W341" s="13" t="str">
        <f>TEXT(VALUE(Table1[[#This Row],[Content.Column13]])*1000,"#,##0")</f>
        <v>41,777</v>
      </c>
      <c r="X341" s="13" t="str">
        <f>TEXT(VALUE(Table1[[#This Row],[Content.Column14]])*1000,"#,##0")</f>
        <v>42,835</v>
      </c>
      <c r="Y341" s="14" t="str">
        <f>TEXT(VALUE(Table1[[#This Row],[Content.Column3]])*1000,"#,##0")</f>
        <v>36,310</v>
      </c>
      <c r="Z341" s="14" t="str">
        <f>TEXT(VALUE(Table1[[#This Row],[Content.Column4]])*1000,"#,##0")</f>
        <v>15,923</v>
      </c>
      <c r="AA341" s="14" t="str">
        <f>TEXT(VALUE(Table1[[#This Row],[Content.Column5]])*1000,"#,##0")</f>
        <v>52,234</v>
      </c>
      <c r="AB341" s="14" t="str">
        <f>TEXT(VALUE(Table1[[#This Row],[Content.Column6]])*1000,"#,##0")</f>
        <v>53,296</v>
      </c>
    </row>
    <row r="342" spans="1:28" x14ac:dyDescent="0.3">
      <c r="A342" t="s">
        <v>30</v>
      </c>
      <c r="B342" t="s">
        <v>31</v>
      </c>
      <c r="C342" s="6">
        <v>84.843999999999994</v>
      </c>
      <c r="D342" s="1">
        <v>43.112000000000002</v>
      </c>
      <c r="E342" s="1">
        <v>127.956</v>
      </c>
      <c r="F342" s="1">
        <v>131.92099999999999</v>
      </c>
      <c r="G342" s="2">
        <v>13.901</v>
      </c>
      <c r="H342" s="2">
        <v>7.915</v>
      </c>
      <c r="I342" s="2">
        <v>21.815999999999999</v>
      </c>
      <c r="J342" s="2">
        <v>21.831</v>
      </c>
      <c r="K342" s="3">
        <v>70.942999999999998</v>
      </c>
      <c r="L342" s="3">
        <v>35.197000000000003</v>
      </c>
      <c r="M342" s="3">
        <v>106.14</v>
      </c>
      <c r="N342" s="3">
        <v>110.09</v>
      </c>
      <c r="O342">
        <v>2016</v>
      </c>
      <c r="Q342" s="12" t="str">
        <f>TEXT(VALUE(Table1[[#This Row],[Content.Column7]])*1000,"#,##0")</f>
        <v>13,901</v>
      </c>
      <c r="R342" s="12" t="str">
        <f>TEXT(VALUE(Table1[[#This Row],[Content.Column8]])*1000,"#,##0")</f>
        <v>7,915</v>
      </c>
      <c r="S342" s="12" t="str">
        <f>TEXT(VALUE(Table1[[#This Row],[Content.Column9]])*1000,"#,##0")</f>
        <v>21,816</v>
      </c>
      <c r="T342" s="12" t="str">
        <f>TEXT(VALUE(Table1[[#This Row],[Content.Column10]])*1000,"#,##0")</f>
        <v>21,831</v>
      </c>
      <c r="U342" s="13" t="str">
        <f>TEXT(VALUE(Table1[[#This Row],[Content.Column11]])*1000,"#,##0")</f>
        <v>70,943</v>
      </c>
      <c r="V342" s="13" t="str">
        <f>TEXT(VALUE(Table1[[#This Row],[Content.Column12]])*1000,"#,##0")</f>
        <v>35,197</v>
      </c>
      <c r="W342" s="13" t="str">
        <f>TEXT(VALUE(Table1[[#This Row],[Content.Column13]])*1000,"#,##0")</f>
        <v>106,140</v>
      </c>
      <c r="X342" s="13" t="str">
        <f>TEXT(VALUE(Table1[[#This Row],[Content.Column14]])*1000,"#,##0")</f>
        <v>110,090</v>
      </c>
      <c r="Y342" s="14" t="str">
        <f>TEXT(VALUE(Table1[[#This Row],[Content.Column3]])*1000,"#,##0")</f>
        <v>84,844</v>
      </c>
      <c r="Z342" s="14" t="str">
        <f>TEXT(VALUE(Table1[[#This Row],[Content.Column4]])*1000,"#,##0")</f>
        <v>43,112</v>
      </c>
      <c r="AA342" s="14" t="str">
        <f>TEXT(VALUE(Table1[[#This Row],[Content.Column5]])*1000,"#,##0")</f>
        <v>127,956</v>
      </c>
      <c r="AB342" s="14" t="str">
        <f>TEXT(VALUE(Table1[[#This Row],[Content.Column6]])*1000,"#,##0")</f>
        <v>131,921</v>
      </c>
    </row>
    <row r="343" spans="1:28" x14ac:dyDescent="0.3">
      <c r="A343" t="s">
        <v>32</v>
      </c>
      <c r="B343" t="s">
        <v>33</v>
      </c>
      <c r="C343" s="6">
        <v>46.786999999999999</v>
      </c>
      <c r="D343" s="1">
        <v>25.852</v>
      </c>
      <c r="E343" s="1">
        <v>72.638999999999996</v>
      </c>
      <c r="F343" s="1">
        <v>74.599000000000004</v>
      </c>
      <c r="G343" s="2">
        <v>6.8380000000000001</v>
      </c>
      <c r="H343" s="2">
        <v>3.9849999999999999</v>
      </c>
      <c r="I343" s="2">
        <v>10.823</v>
      </c>
      <c r="J343" s="2">
        <v>10.837</v>
      </c>
      <c r="K343" s="3">
        <v>39.948</v>
      </c>
      <c r="L343" s="3">
        <v>21.867000000000001</v>
      </c>
      <c r="M343" s="3">
        <v>61.816000000000003</v>
      </c>
      <c r="N343" s="3">
        <v>63.762999999999998</v>
      </c>
      <c r="O343">
        <v>2016</v>
      </c>
      <c r="Q343" s="12" t="str">
        <f>TEXT(VALUE(Table1[[#This Row],[Content.Column7]])*1000,"#,##0")</f>
        <v>6,838</v>
      </c>
      <c r="R343" s="12" t="str">
        <f>TEXT(VALUE(Table1[[#This Row],[Content.Column8]])*1000,"#,##0")</f>
        <v>3,985</v>
      </c>
      <c r="S343" s="12" t="str">
        <f>TEXT(VALUE(Table1[[#This Row],[Content.Column9]])*1000,"#,##0")</f>
        <v>10,823</v>
      </c>
      <c r="T343" s="12" t="str">
        <f>TEXT(VALUE(Table1[[#This Row],[Content.Column10]])*1000,"#,##0")</f>
        <v>10,837</v>
      </c>
      <c r="U343" s="13" t="str">
        <f>TEXT(VALUE(Table1[[#This Row],[Content.Column11]])*1000,"#,##0")</f>
        <v>39,948</v>
      </c>
      <c r="V343" s="13" t="str">
        <f>TEXT(VALUE(Table1[[#This Row],[Content.Column12]])*1000,"#,##0")</f>
        <v>21,867</v>
      </c>
      <c r="W343" s="13" t="str">
        <f>TEXT(VALUE(Table1[[#This Row],[Content.Column13]])*1000,"#,##0")</f>
        <v>61,816</v>
      </c>
      <c r="X343" s="13" t="str">
        <f>TEXT(VALUE(Table1[[#This Row],[Content.Column14]])*1000,"#,##0")</f>
        <v>63,763</v>
      </c>
      <c r="Y343" s="14" t="str">
        <f>TEXT(VALUE(Table1[[#This Row],[Content.Column3]])*1000,"#,##0")</f>
        <v>46,787</v>
      </c>
      <c r="Z343" s="14" t="str">
        <f>TEXT(VALUE(Table1[[#This Row],[Content.Column4]])*1000,"#,##0")</f>
        <v>25,852</v>
      </c>
      <c r="AA343" s="14" t="str">
        <f>TEXT(VALUE(Table1[[#This Row],[Content.Column5]])*1000,"#,##0")</f>
        <v>72,639</v>
      </c>
      <c r="AB343" s="14" t="str">
        <f>TEXT(VALUE(Table1[[#This Row],[Content.Column6]])*1000,"#,##0")</f>
        <v>74,599</v>
      </c>
    </row>
    <row r="344" spans="1:28" x14ac:dyDescent="0.3">
      <c r="A344" t="s">
        <v>34</v>
      </c>
      <c r="B344" t="s">
        <v>35</v>
      </c>
      <c r="C344" s="6">
        <v>85.069000000000003</v>
      </c>
      <c r="D344" s="1">
        <v>35.316000000000003</v>
      </c>
      <c r="E344" s="1">
        <v>120.38500000000001</v>
      </c>
      <c r="F344" s="1">
        <v>123.136</v>
      </c>
      <c r="G344" s="2">
        <v>14.023</v>
      </c>
      <c r="H344" s="2">
        <v>7.7690000000000001</v>
      </c>
      <c r="I344" s="2">
        <v>21.792000000000002</v>
      </c>
      <c r="J344" s="2">
        <v>21.809000000000001</v>
      </c>
      <c r="K344" s="3">
        <v>71.046000000000006</v>
      </c>
      <c r="L344" s="3">
        <v>27.547000000000001</v>
      </c>
      <c r="M344" s="3">
        <v>98.593999999999994</v>
      </c>
      <c r="N344" s="3">
        <v>101.328</v>
      </c>
      <c r="O344">
        <v>2016</v>
      </c>
      <c r="Q344" s="12" t="str">
        <f>TEXT(VALUE(Table1[[#This Row],[Content.Column7]])*1000,"#,##0")</f>
        <v>14,023</v>
      </c>
      <c r="R344" s="12" t="str">
        <f>TEXT(VALUE(Table1[[#This Row],[Content.Column8]])*1000,"#,##0")</f>
        <v>7,769</v>
      </c>
      <c r="S344" s="12" t="str">
        <f>TEXT(VALUE(Table1[[#This Row],[Content.Column9]])*1000,"#,##0")</f>
        <v>21,792</v>
      </c>
      <c r="T344" s="12" t="str">
        <f>TEXT(VALUE(Table1[[#This Row],[Content.Column10]])*1000,"#,##0")</f>
        <v>21,809</v>
      </c>
      <c r="U344" s="13" t="str">
        <f>TEXT(VALUE(Table1[[#This Row],[Content.Column11]])*1000,"#,##0")</f>
        <v>71,046</v>
      </c>
      <c r="V344" s="13" t="str">
        <f>TEXT(VALUE(Table1[[#This Row],[Content.Column12]])*1000,"#,##0")</f>
        <v>27,547</v>
      </c>
      <c r="W344" s="13" t="str">
        <f>TEXT(VALUE(Table1[[#This Row],[Content.Column13]])*1000,"#,##0")</f>
        <v>98,594</v>
      </c>
      <c r="X344" s="13" t="str">
        <f>TEXT(VALUE(Table1[[#This Row],[Content.Column14]])*1000,"#,##0")</f>
        <v>101,328</v>
      </c>
      <c r="Y344" s="14" t="str">
        <f>TEXT(VALUE(Table1[[#This Row],[Content.Column3]])*1000,"#,##0")</f>
        <v>85,069</v>
      </c>
      <c r="Z344" s="14" t="str">
        <f>TEXT(VALUE(Table1[[#This Row],[Content.Column4]])*1000,"#,##0")</f>
        <v>35,316</v>
      </c>
      <c r="AA344" s="14" t="str">
        <f>TEXT(VALUE(Table1[[#This Row],[Content.Column5]])*1000,"#,##0")</f>
        <v>120,385</v>
      </c>
      <c r="AB344" s="14" t="str">
        <f>TEXT(VALUE(Table1[[#This Row],[Content.Column6]])*1000,"#,##0")</f>
        <v>123,136</v>
      </c>
    </row>
    <row r="345" spans="1:28" x14ac:dyDescent="0.3">
      <c r="A345" t="s">
        <v>36</v>
      </c>
      <c r="B345" t="s">
        <v>37</v>
      </c>
      <c r="C345" s="6">
        <v>67.956999999999994</v>
      </c>
      <c r="D345" s="1">
        <v>37.399000000000001</v>
      </c>
      <c r="E345" s="1">
        <v>105.35599999999999</v>
      </c>
      <c r="F345" s="1">
        <v>108.637</v>
      </c>
      <c r="G345" s="2">
        <v>8.2620000000000005</v>
      </c>
      <c r="H345" s="2">
        <v>5.6390000000000002</v>
      </c>
      <c r="I345" s="2">
        <v>13.901</v>
      </c>
      <c r="J345" s="2">
        <v>13.935</v>
      </c>
      <c r="K345" s="3">
        <v>59.695</v>
      </c>
      <c r="L345" s="3">
        <v>31.760999999999999</v>
      </c>
      <c r="M345" s="3">
        <v>91.454999999999998</v>
      </c>
      <c r="N345" s="3">
        <v>94.700999999999993</v>
      </c>
      <c r="O345">
        <v>2016</v>
      </c>
      <c r="Q345" s="12" t="str">
        <f>TEXT(VALUE(Table1[[#This Row],[Content.Column7]])*1000,"#,##0")</f>
        <v>8,262</v>
      </c>
      <c r="R345" s="12" t="str">
        <f>TEXT(VALUE(Table1[[#This Row],[Content.Column8]])*1000,"#,##0")</f>
        <v>5,639</v>
      </c>
      <c r="S345" s="12" t="str">
        <f>TEXT(VALUE(Table1[[#This Row],[Content.Column9]])*1000,"#,##0")</f>
        <v>13,901</v>
      </c>
      <c r="T345" s="12" t="str">
        <f>TEXT(VALUE(Table1[[#This Row],[Content.Column10]])*1000,"#,##0")</f>
        <v>13,935</v>
      </c>
      <c r="U345" s="13" t="str">
        <f>TEXT(VALUE(Table1[[#This Row],[Content.Column11]])*1000,"#,##0")</f>
        <v>59,695</v>
      </c>
      <c r="V345" s="13" t="str">
        <f>TEXT(VALUE(Table1[[#This Row],[Content.Column12]])*1000,"#,##0")</f>
        <v>31,761</v>
      </c>
      <c r="W345" s="13" t="str">
        <f>TEXT(VALUE(Table1[[#This Row],[Content.Column13]])*1000,"#,##0")</f>
        <v>91,455</v>
      </c>
      <c r="X345" s="13" t="str">
        <f>TEXT(VALUE(Table1[[#This Row],[Content.Column14]])*1000,"#,##0")</f>
        <v>94,701</v>
      </c>
      <c r="Y345" s="14" t="str">
        <f>TEXT(VALUE(Table1[[#This Row],[Content.Column3]])*1000,"#,##0")</f>
        <v>67,957</v>
      </c>
      <c r="Z345" s="14" t="str">
        <f>TEXT(VALUE(Table1[[#This Row],[Content.Column4]])*1000,"#,##0")</f>
        <v>37,399</v>
      </c>
      <c r="AA345" s="14" t="str">
        <f>TEXT(VALUE(Table1[[#This Row],[Content.Column5]])*1000,"#,##0")</f>
        <v>105,356</v>
      </c>
      <c r="AB345" s="14" t="str">
        <f>TEXT(VALUE(Table1[[#This Row],[Content.Column6]])*1000,"#,##0")</f>
        <v>108,637</v>
      </c>
    </row>
    <row r="346" spans="1:28" x14ac:dyDescent="0.3">
      <c r="A346" t="s">
        <v>38</v>
      </c>
      <c r="B346" t="s">
        <v>39</v>
      </c>
      <c r="C346" s="6">
        <v>273.75700000000001</v>
      </c>
      <c r="D346" s="1">
        <v>81.046000000000006</v>
      </c>
      <c r="E346" s="1">
        <v>354.803</v>
      </c>
      <c r="F346" s="1">
        <v>364.82600000000002</v>
      </c>
      <c r="G346" s="2">
        <v>36.427</v>
      </c>
      <c r="H346" s="2">
        <v>9.6359999999999992</v>
      </c>
      <c r="I346" s="2">
        <v>46.063000000000002</v>
      </c>
      <c r="J346" s="2">
        <v>46.152000000000001</v>
      </c>
      <c r="K346" s="3">
        <v>237.33</v>
      </c>
      <c r="L346" s="3">
        <v>71.41</v>
      </c>
      <c r="M346" s="3">
        <v>308.74</v>
      </c>
      <c r="N346" s="3">
        <v>318.67399999999998</v>
      </c>
      <c r="O346">
        <v>2016</v>
      </c>
      <c r="Q346" s="12" t="str">
        <f>TEXT(VALUE(Table1[[#This Row],[Content.Column7]])*1000,"#,##0")</f>
        <v>36,427</v>
      </c>
      <c r="R346" s="12" t="str">
        <f>TEXT(VALUE(Table1[[#This Row],[Content.Column8]])*1000,"#,##0")</f>
        <v>9,636</v>
      </c>
      <c r="S346" s="12" t="str">
        <f>TEXT(VALUE(Table1[[#This Row],[Content.Column9]])*1000,"#,##0")</f>
        <v>46,063</v>
      </c>
      <c r="T346" s="12" t="str">
        <f>TEXT(VALUE(Table1[[#This Row],[Content.Column10]])*1000,"#,##0")</f>
        <v>46,152</v>
      </c>
      <c r="U346" s="13" t="str">
        <f>TEXT(VALUE(Table1[[#This Row],[Content.Column11]])*1000,"#,##0")</f>
        <v>237,330</v>
      </c>
      <c r="V346" s="13" t="str">
        <f>TEXT(VALUE(Table1[[#This Row],[Content.Column12]])*1000,"#,##0")</f>
        <v>71,410</v>
      </c>
      <c r="W346" s="13" t="str">
        <f>TEXT(VALUE(Table1[[#This Row],[Content.Column13]])*1000,"#,##0")</f>
        <v>308,740</v>
      </c>
      <c r="X346" s="13" t="str">
        <f>TEXT(VALUE(Table1[[#This Row],[Content.Column14]])*1000,"#,##0")</f>
        <v>318,674</v>
      </c>
      <c r="Y346" s="14" t="str">
        <f>TEXT(VALUE(Table1[[#This Row],[Content.Column3]])*1000,"#,##0")</f>
        <v>273,757</v>
      </c>
      <c r="Z346" s="14" t="str">
        <f>TEXT(VALUE(Table1[[#This Row],[Content.Column4]])*1000,"#,##0")</f>
        <v>81,046</v>
      </c>
      <c r="AA346" s="14" t="str">
        <f>TEXT(VALUE(Table1[[#This Row],[Content.Column5]])*1000,"#,##0")</f>
        <v>354,803</v>
      </c>
      <c r="AB346" s="14" t="str">
        <f>TEXT(VALUE(Table1[[#This Row],[Content.Column6]])*1000,"#,##0")</f>
        <v>364,826</v>
      </c>
    </row>
    <row r="347" spans="1:28" x14ac:dyDescent="0.3">
      <c r="A347" t="s">
        <v>40</v>
      </c>
      <c r="B347" t="s">
        <v>41</v>
      </c>
      <c r="C347" s="6">
        <v>79.097999999999999</v>
      </c>
      <c r="D347" s="1">
        <v>38.128999999999998</v>
      </c>
      <c r="E347" s="1">
        <v>117.227</v>
      </c>
      <c r="F347" s="1">
        <v>120.182</v>
      </c>
      <c r="G347" s="2">
        <v>15.679</v>
      </c>
      <c r="H347" s="2">
        <v>7.5510000000000002</v>
      </c>
      <c r="I347" s="2">
        <v>23.23</v>
      </c>
      <c r="J347" s="2">
        <v>23.265000000000001</v>
      </c>
      <c r="K347" s="3">
        <v>63.418999999999997</v>
      </c>
      <c r="L347" s="3">
        <v>30.577999999999999</v>
      </c>
      <c r="M347" s="3">
        <v>93.997</v>
      </c>
      <c r="N347" s="3">
        <v>96.915999999999997</v>
      </c>
      <c r="O347">
        <v>2016</v>
      </c>
      <c r="Q347" s="12" t="str">
        <f>TEXT(VALUE(Table1[[#This Row],[Content.Column7]])*1000,"#,##0")</f>
        <v>15,679</v>
      </c>
      <c r="R347" s="12" t="str">
        <f>TEXT(VALUE(Table1[[#This Row],[Content.Column8]])*1000,"#,##0")</f>
        <v>7,551</v>
      </c>
      <c r="S347" s="12" t="str">
        <f>TEXT(VALUE(Table1[[#This Row],[Content.Column9]])*1000,"#,##0")</f>
        <v>23,230</v>
      </c>
      <c r="T347" s="12" t="str">
        <f>TEXT(VALUE(Table1[[#This Row],[Content.Column10]])*1000,"#,##0")</f>
        <v>23,265</v>
      </c>
      <c r="U347" s="13" t="str">
        <f>TEXT(VALUE(Table1[[#This Row],[Content.Column11]])*1000,"#,##0")</f>
        <v>63,419</v>
      </c>
      <c r="V347" s="13" t="str">
        <f>TEXT(VALUE(Table1[[#This Row],[Content.Column12]])*1000,"#,##0")</f>
        <v>30,578</v>
      </c>
      <c r="W347" s="13" t="str">
        <f>TEXT(VALUE(Table1[[#This Row],[Content.Column13]])*1000,"#,##0")</f>
        <v>93,997</v>
      </c>
      <c r="X347" s="13" t="str">
        <f>TEXT(VALUE(Table1[[#This Row],[Content.Column14]])*1000,"#,##0")</f>
        <v>96,916</v>
      </c>
      <c r="Y347" s="14" t="str">
        <f>TEXT(VALUE(Table1[[#This Row],[Content.Column3]])*1000,"#,##0")</f>
        <v>79,098</v>
      </c>
      <c r="Z347" s="14" t="str">
        <f>TEXT(VALUE(Table1[[#This Row],[Content.Column4]])*1000,"#,##0")</f>
        <v>38,129</v>
      </c>
      <c r="AA347" s="14" t="str">
        <f>TEXT(VALUE(Table1[[#This Row],[Content.Column5]])*1000,"#,##0")</f>
        <v>117,227</v>
      </c>
      <c r="AB347" s="14" t="str">
        <f>TEXT(VALUE(Table1[[#This Row],[Content.Column6]])*1000,"#,##0")</f>
        <v>120,182</v>
      </c>
    </row>
    <row r="348" spans="1:28" x14ac:dyDescent="0.3">
      <c r="A348" t="s">
        <v>42</v>
      </c>
      <c r="B348" t="s">
        <v>43</v>
      </c>
      <c r="C348" s="6">
        <v>92.385999999999996</v>
      </c>
      <c r="D348" s="1">
        <v>39.186</v>
      </c>
      <c r="E348" s="1">
        <v>131.572</v>
      </c>
      <c r="F348" s="1">
        <v>134.167</v>
      </c>
      <c r="G348" s="2">
        <v>11.993</v>
      </c>
      <c r="H348" s="2">
        <v>6.2160000000000002</v>
      </c>
      <c r="I348" s="2">
        <v>18.21</v>
      </c>
      <c r="J348" s="2">
        <v>18.225999999999999</v>
      </c>
      <c r="K348" s="3">
        <v>80.391999999999996</v>
      </c>
      <c r="L348" s="3">
        <v>32.97</v>
      </c>
      <c r="M348" s="3">
        <v>113.36199999999999</v>
      </c>
      <c r="N348" s="3">
        <v>115.941</v>
      </c>
      <c r="O348">
        <v>2016</v>
      </c>
      <c r="Q348" s="12" t="str">
        <f>TEXT(VALUE(Table1[[#This Row],[Content.Column7]])*1000,"#,##0")</f>
        <v>11,993</v>
      </c>
      <c r="R348" s="12" t="str">
        <f>TEXT(VALUE(Table1[[#This Row],[Content.Column8]])*1000,"#,##0")</f>
        <v>6,216</v>
      </c>
      <c r="S348" s="12" t="str">
        <f>TEXT(VALUE(Table1[[#This Row],[Content.Column9]])*1000,"#,##0")</f>
        <v>18,210</v>
      </c>
      <c r="T348" s="12" t="str">
        <f>TEXT(VALUE(Table1[[#This Row],[Content.Column10]])*1000,"#,##0")</f>
        <v>18,226</v>
      </c>
      <c r="U348" s="13" t="str">
        <f>TEXT(VALUE(Table1[[#This Row],[Content.Column11]])*1000,"#,##0")</f>
        <v>80,392</v>
      </c>
      <c r="V348" s="13" t="str">
        <f>TEXT(VALUE(Table1[[#This Row],[Content.Column12]])*1000,"#,##0")</f>
        <v>32,970</v>
      </c>
      <c r="W348" s="13" t="str">
        <f>TEXT(VALUE(Table1[[#This Row],[Content.Column13]])*1000,"#,##0")</f>
        <v>113,362</v>
      </c>
      <c r="X348" s="13" t="str">
        <f>TEXT(VALUE(Table1[[#This Row],[Content.Column14]])*1000,"#,##0")</f>
        <v>115,941</v>
      </c>
      <c r="Y348" s="14" t="str">
        <f>TEXT(VALUE(Table1[[#This Row],[Content.Column3]])*1000,"#,##0")</f>
        <v>92,386</v>
      </c>
      <c r="Z348" s="14" t="str">
        <f>TEXT(VALUE(Table1[[#This Row],[Content.Column4]])*1000,"#,##0")</f>
        <v>39,186</v>
      </c>
      <c r="AA348" s="14" t="str">
        <f>TEXT(VALUE(Table1[[#This Row],[Content.Column5]])*1000,"#,##0")</f>
        <v>131,572</v>
      </c>
      <c r="AB348" s="14" t="str">
        <f>TEXT(VALUE(Table1[[#This Row],[Content.Column6]])*1000,"#,##0")</f>
        <v>134,167</v>
      </c>
    </row>
    <row r="349" spans="1:28" x14ac:dyDescent="0.3">
      <c r="A349" t="s">
        <v>44</v>
      </c>
      <c r="B349" t="s">
        <v>45</v>
      </c>
      <c r="C349" s="6">
        <v>66.022000000000006</v>
      </c>
      <c r="D349" s="1">
        <v>34.406999999999996</v>
      </c>
      <c r="E349" s="1">
        <v>100.429</v>
      </c>
      <c r="F349" s="1">
        <v>102.566</v>
      </c>
      <c r="G349" s="2">
        <v>12.436</v>
      </c>
      <c r="H349" s="2">
        <v>8.3729999999999993</v>
      </c>
      <c r="I349" s="2">
        <v>20.809000000000001</v>
      </c>
      <c r="J349" s="2">
        <v>20.882000000000001</v>
      </c>
      <c r="K349" s="3">
        <v>53.585999999999999</v>
      </c>
      <c r="L349" s="3">
        <v>26.035</v>
      </c>
      <c r="M349" s="3">
        <v>79.620999999999995</v>
      </c>
      <c r="N349" s="3">
        <v>81.683999999999997</v>
      </c>
      <c r="O349">
        <v>2016</v>
      </c>
      <c r="Q349" s="12" t="str">
        <f>TEXT(VALUE(Table1[[#This Row],[Content.Column7]])*1000,"#,##0")</f>
        <v>12,436</v>
      </c>
      <c r="R349" s="12" t="str">
        <f>TEXT(VALUE(Table1[[#This Row],[Content.Column8]])*1000,"#,##0")</f>
        <v>8,373</v>
      </c>
      <c r="S349" s="12" t="str">
        <f>TEXT(VALUE(Table1[[#This Row],[Content.Column9]])*1000,"#,##0")</f>
        <v>20,809</v>
      </c>
      <c r="T349" s="12" t="str">
        <f>TEXT(VALUE(Table1[[#This Row],[Content.Column10]])*1000,"#,##0")</f>
        <v>20,882</v>
      </c>
      <c r="U349" s="13" t="str">
        <f>TEXT(VALUE(Table1[[#This Row],[Content.Column11]])*1000,"#,##0")</f>
        <v>53,586</v>
      </c>
      <c r="V349" s="13" t="str">
        <f>TEXT(VALUE(Table1[[#This Row],[Content.Column12]])*1000,"#,##0")</f>
        <v>26,035</v>
      </c>
      <c r="W349" s="13" t="str">
        <f>TEXT(VALUE(Table1[[#This Row],[Content.Column13]])*1000,"#,##0")</f>
        <v>79,621</v>
      </c>
      <c r="X349" s="13" t="str">
        <f>TEXT(VALUE(Table1[[#This Row],[Content.Column14]])*1000,"#,##0")</f>
        <v>81,684</v>
      </c>
      <c r="Y349" s="14" t="str">
        <f>TEXT(VALUE(Table1[[#This Row],[Content.Column3]])*1000,"#,##0")</f>
        <v>66,022</v>
      </c>
      <c r="Z349" s="14" t="str">
        <f>TEXT(VALUE(Table1[[#This Row],[Content.Column4]])*1000,"#,##0")</f>
        <v>34,407</v>
      </c>
      <c r="AA349" s="14" t="str">
        <f>TEXT(VALUE(Table1[[#This Row],[Content.Column5]])*1000,"#,##0")</f>
        <v>100,429</v>
      </c>
      <c r="AB349" s="14" t="str">
        <f>TEXT(VALUE(Table1[[#This Row],[Content.Column6]])*1000,"#,##0")</f>
        <v>102,566</v>
      </c>
    </row>
    <row r="350" spans="1:28" x14ac:dyDescent="0.3">
      <c r="A350" t="s">
        <v>46</v>
      </c>
      <c r="B350" t="s">
        <v>47</v>
      </c>
      <c r="C350" s="6">
        <v>49.753999999999998</v>
      </c>
      <c r="D350" s="1">
        <v>29.35</v>
      </c>
      <c r="E350" s="1">
        <v>79.103999999999999</v>
      </c>
      <c r="F350" s="1">
        <v>80.66</v>
      </c>
      <c r="G350" s="2">
        <v>12.340999999999999</v>
      </c>
      <c r="H350" s="2">
        <v>8.0419999999999998</v>
      </c>
      <c r="I350" s="2">
        <v>20.382999999999999</v>
      </c>
      <c r="J350" s="2">
        <v>20.39</v>
      </c>
      <c r="K350" s="3">
        <v>37.412999999999997</v>
      </c>
      <c r="L350" s="3">
        <v>21.308</v>
      </c>
      <c r="M350" s="3">
        <v>58.720999999999997</v>
      </c>
      <c r="N350" s="3">
        <v>60.27</v>
      </c>
      <c r="O350">
        <v>2016</v>
      </c>
      <c r="Q350" s="12" t="str">
        <f>TEXT(VALUE(Table1[[#This Row],[Content.Column7]])*1000,"#,##0")</f>
        <v>12,341</v>
      </c>
      <c r="R350" s="12" t="str">
        <f>TEXT(VALUE(Table1[[#This Row],[Content.Column8]])*1000,"#,##0")</f>
        <v>8,042</v>
      </c>
      <c r="S350" s="12" t="str">
        <f>TEXT(VALUE(Table1[[#This Row],[Content.Column9]])*1000,"#,##0")</f>
        <v>20,383</v>
      </c>
      <c r="T350" s="12" t="str">
        <f>TEXT(VALUE(Table1[[#This Row],[Content.Column10]])*1000,"#,##0")</f>
        <v>20,390</v>
      </c>
      <c r="U350" s="13" t="str">
        <f>TEXT(VALUE(Table1[[#This Row],[Content.Column11]])*1000,"#,##0")</f>
        <v>37,413</v>
      </c>
      <c r="V350" s="13" t="str">
        <f>TEXT(VALUE(Table1[[#This Row],[Content.Column12]])*1000,"#,##0")</f>
        <v>21,308</v>
      </c>
      <c r="W350" s="13" t="str">
        <f>TEXT(VALUE(Table1[[#This Row],[Content.Column13]])*1000,"#,##0")</f>
        <v>58,721</v>
      </c>
      <c r="X350" s="13" t="str">
        <f>TEXT(VALUE(Table1[[#This Row],[Content.Column14]])*1000,"#,##0")</f>
        <v>60,270</v>
      </c>
      <c r="Y350" s="14" t="str">
        <f>TEXT(VALUE(Table1[[#This Row],[Content.Column3]])*1000,"#,##0")</f>
        <v>49,754</v>
      </c>
      <c r="Z350" s="14" t="str">
        <f>TEXT(VALUE(Table1[[#This Row],[Content.Column4]])*1000,"#,##0")</f>
        <v>29,350</v>
      </c>
      <c r="AA350" s="14" t="str">
        <f>TEXT(VALUE(Table1[[#This Row],[Content.Column5]])*1000,"#,##0")</f>
        <v>79,104</v>
      </c>
      <c r="AB350" s="14" t="str">
        <f>TEXT(VALUE(Table1[[#This Row],[Content.Column6]])*1000,"#,##0")</f>
        <v>80,660</v>
      </c>
    </row>
    <row r="351" spans="1:28" x14ac:dyDescent="0.3">
      <c r="A351" t="s">
        <v>48</v>
      </c>
      <c r="B351" t="s">
        <v>49</v>
      </c>
      <c r="C351" s="6">
        <v>89.372</v>
      </c>
      <c r="D351" s="1">
        <v>32.085000000000001</v>
      </c>
      <c r="E351" s="1">
        <v>121.45699999999999</v>
      </c>
      <c r="F351" s="1">
        <v>124.861</v>
      </c>
      <c r="G351" s="2">
        <v>13.567</v>
      </c>
      <c r="H351" s="2">
        <v>5.274</v>
      </c>
      <c r="I351" s="2">
        <v>18.841000000000001</v>
      </c>
      <c r="J351" s="2">
        <v>18.864000000000001</v>
      </c>
      <c r="K351" s="3">
        <v>75.805000000000007</v>
      </c>
      <c r="L351" s="3">
        <v>26.811</v>
      </c>
      <c r="M351" s="3">
        <v>102.616</v>
      </c>
      <c r="N351" s="3">
        <v>105.998</v>
      </c>
      <c r="O351">
        <v>2016</v>
      </c>
      <c r="Q351" s="12" t="str">
        <f>TEXT(VALUE(Table1[[#This Row],[Content.Column7]])*1000,"#,##0")</f>
        <v>13,567</v>
      </c>
      <c r="R351" s="12" t="str">
        <f>TEXT(VALUE(Table1[[#This Row],[Content.Column8]])*1000,"#,##0")</f>
        <v>5,274</v>
      </c>
      <c r="S351" s="12" t="str">
        <f>TEXT(VALUE(Table1[[#This Row],[Content.Column9]])*1000,"#,##0")</f>
        <v>18,841</v>
      </c>
      <c r="T351" s="12" t="str">
        <f>TEXT(VALUE(Table1[[#This Row],[Content.Column10]])*1000,"#,##0")</f>
        <v>18,864</v>
      </c>
      <c r="U351" s="13" t="str">
        <f>TEXT(VALUE(Table1[[#This Row],[Content.Column11]])*1000,"#,##0")</f>
        <v>75,805</v>
      </c>
      <c r="V351" s="13" t="str">
        <f>TEXT(VALUE(Table1[[#This Row],[Content.Column12]])*1000,"#,##0")</f>
        <v>26,811</v>
      </c>
      <c r="W351" s="13" t="str">
        <f>TEXT(VALUE(Table1[[#This Row],[Content.Column13]])*1000,"#,##0")</f>
        <v>102,616</v>
      </c>
      <c r="X351" s="13" t="str">
        <f>TEXT(VALUE(Table1[[#This Row],[Content.Column14]])*1000,"#,##0")</f>
        <v>105,998</v>
      </c>
      <c r="Y351" s="14" t="str">
        <f>TEXT(VALUE(Table1[[#This Row],[Content.Column3]])*1000,"#,##0")</f>
        <v>89,372</v>
      </c>
      <c r="Z351" s="14" t="str">
        <f>TEXT(VALUE(Table1[[#This Row],[Content.Column4]])*1000,"#,##0")</f>
        <v>32,085</v>
      </c>
      <c r="AA351" s="14" t="str">
        <f>TEXT(VALUE(Table1[[#This Row],[Content.Column5]])*1000,"#,##0")</f>
        <v>121,457</v>
      </c>
      <c r="AB351" s="14" t="str">
        <f>TEXT(VALUE(Table1[[#This Row],[Content.Column6]])*1000,"#,##0")</f>
        <v>124,861</v>
      </c>
    </row>
    <row r="352" spans="1:28" x14ac:dyDescent="0.3">
      <c r="A352" t="s">
        <v>50</v>
      </c>
      <c r="B352" t="s">
        <v>51</v>
      </c>
      <c r="C352" s="6">
        <v>98.308999999999997</v>
      </c>
      <c r="D352" s="1">
        <v>39.009</v>
      </c>
      <c r="E352" s="1">
        <v>137.31800000000001</v>
      </c>
      <c r="F352" s="1">
        <v>139.49</v>
      </c>
      <c r="G352" s="2">
        <v>17.135000000000002</v>
      </c>
      <c r="H352" s="2">
        <v>3.1680000000000001</v>
      </c>
      <c r="I352" s="2">
        <v>20.303000000000001</v>
      </c>
      <c r="J352" s="2">
        <v>20.399999999999999</v>
      </c>
      <c r="K352" s="3">
        <v>81.173000000000002</v>
      </c>
      <c r="L352" s="3">
        <v>35.841000000000001</v>
      </c>
      <c r="M352" s="3">
        <v>117.014</v>
      </c>
      <c r="N352" s="3">
        <v>119.09</v>
      </c>
      <c r="O352">
        <v>2016</v>
      </c>
      <c r="Q352" s="12" t="str">
        <f>TEXT(VALUE(Table1[[#This Row],[Content.Column7]])*1000,"#,##0")</f>
        <v>17,135</v>
      </c>
      <c r="R352" s="12" t="str">
        <f>TEXT(VALUE(Table1[[#This Row],[Content.Column8]])*1000,"#,##0")</f>
        <v>3,168</v>
      </c>
      <c r="S352" s="12" t="str">
        <f>TEXT(VALUE(Table1[[#This Row],[Content.Column9]])*1000,"#,##0")</f>
        <v>20,303</v>
      </c>
      <c r="T352" s="12" t="str">
        <f>TEXT(VALUE(Table1[[#This Row],[Content.Column10]])*1000,"#,##0")</f>
        <v>20,400</v>
      </c>
      <c r="U352" s="13" t="str">
        <f>TEXT(VALUE(Table1[[#This Row],[Content.Column11]])*1000,"#,##0")</f>
        <v>81,173</v>
      </c>
      <c r="V352" s="13" t="str">
        <f>TEXT(VALUE(Table1[[#This Row],[Content.Column12]])*1000,"#,##0")</f>
        <v>35,841</v>
      </c>
      <c r="W352" s="13" t="str">
        <f>TEXT(VALUE(Table1[[#This Row],[Content.Column13]])*1000,"#,##0")</f>
        <v>117,014</v>
      </c>
      <c r="X352" s="13" t="str">
        <f>TEXT(VALUE(Table1[[#This Row],[Content.Column14]])*1000,"#,##0")</f>
        <v>119,090</v>
      </c>
      <c r="Y352" s="14" t="str">
        <f>TEXT(VALUE(Table1[[#This Row],[Content.Column3]])*1000,"#,##0")</f>
        <v>98,309</v>
      </c>
      <c r="Z352" s="14" t="str">
        <f>TEXT(VALUE(Table1[[#This Row],[Content.Column4]])*1000,"#,##0")</f>
        <v>39,009</v>
      </c>
      <c r="AA352" s="14" t="str">
        <f>TEXT(VALUE(Table1[[#This Row],[Content.Column5]])*1000,"#,##0")</f>
        <v>137,318</v>
      </c>
      <c r="AB352" s="14" t="str">
        <f>TEXT(VALUE(Table1[[#This Row],[Content.Column6]])*1000,"#,##0")</f>
        <v>139,490</v>
      </c>
    </row>
    <row r="353" spans="1:28" x14ac:dyDescent="0.3">
      <c r="A353" t="s">
        <v>52</v>
      </c>
      <c r="B353" t="s">
        <v>53</v>
      </c>
      <c r="C353" s="6">
        <v>43.671999999999997</v>
      </c>
      <c r="D353" s="1">
        <v>22.405999999999999</v>
      </c>
      <c r="E353" s="1">
        <v>66.078000000000003</v>
      </c>
      <c r="F353" s="1">
        <v>68.456000000000003</v>
      </c>
      <c r="G353" s="2">
        <v>9.2509999999999994</v>
      </c>
      <c r="H353" s="2">
        <v>3.2549999999999999</v>
      </c>
      <c r="I353" s="2">
        <v>12.506</v>
      </c>
      <c r="J353" s="2">
        <v>12.513</v>
      </c>
      <c r="K353" s="3">
        <v>34.420999999999999</v>
      </c>
      <c r="L353" s="3">
        <v>19.151</v>
      </c>
      <c r="M353" s="3">
        <v>53.572000000000003</v>
      </c>
      <c r="N353" s="3">
        <v>55.942999999999998</v>
      </c>
      <c r="O353">
        <v>2016</v>
      </c>
      <c r="Q353" s="12" t="str">
        <f>TEXT(VALUE(Table1[[#This Row],[Content.Column7]])*1000,"#,##0")</f>
        <v>9,251</v>
      </c>
      <c r="R353" s="12" t="str">
        <f>TEXT(VALUE(Table1[[#This Row],[Content.Column8]])*1000,"#,##0")</f>
        <v>3,255</v>
      </c>
      <c r="S353" s="12" t="str">
        <f>TEXT(VALUE(Table1[[#This Row],[Content.Column9]])*1000,"#,##0")</f>
        <v>12,506</v>
      </c>
      <c r="T353" s="12" t="str">
        <f>TEXT(VALUE(Table1[[#This Row],[Content.Column10]])*1000,"#,##0")</f>
        <v>12,513</v>
      </c>
      <c r="U353" s="13" t="str">
        <f>TEXT(VALUE(Table1[[#This Row],[Content.Column11]])*1000,"#,##0")</f>
        <v>34,421</v>
      </c>
      <c r="V353" s="13" t="str">
        <f>TEXT(VALUE(Table1[[#This Row],[Content.Column12]])*1000,"#,##0")</f>
        <v>19,151</v>
      </c>
      <c r="W353" s="13" t="str">
        <f>TEXT(VALUE(Table1[[#This Row],[Content.Column13]])*1000,"#,##0")</f>
        <v>53,572</v>
      </c>
      <c r="X353" s="13" t="str">
        <f>TEXT(VALUE(Table1[[#This Row],[Content.Column14]])*1000,"#,##0")</f>
        <v>55,943</v>
      </c>
      <c r="Y353" s="14" t="str">
        <f>TEXT(VALUE(Table1[[#This Row],[Content.Column3]])*1000,"#,##0")</f>
        <v>43,672</v>
      </c>
      <c r="Z353" s="14" t="str">
        <f>TEXT(VALUE(Table1[[#This Row],[Content.Column4]])*1000,"#,##0")</f>
        <v>22,406</v>
      </c>
      <c r="AA353" s="14" t="str">
        <f>TEXT(VALUE(Table1[[#This Row],[Content.Column5]])*1000,"#,##0")</f>
        <v>66,078</v>
      </c>
      <c r="AB353" s="14" t="str">
        <f>TEXT(VALUE(Table1[[#This Row],[Content.Column6]])*1000,"#,##0")</f>
        <v>68,456</v>
      </c>
    </row>
    <row r="354" spans="1:28" x14ac:dyDescent="0.3">
      <c r="A354" t="s">
        <v>54</v>
      </c>
      <c r="B354" t="s">
        <v>55</v>
      </c>
      <c r="C354" s="6">
        <v>48.695</v>
      </c>
      <c r="D354" s="1">
        <v>23.6</v>
      </c>
      <c r="E354" s="1">
        <v>72.295000000000002</v>
      </c>
      <c r="F354" s="1">
        <v>74.346999999999994</v>
      </c>
      <c r="G354" s="2">
        <v>5.9740000000000002</v>
      </c>
      <c r="H354" s="2">
        <v>5.0519999999999996</v>
      </c>
      <c r="I354" s="2">
        <v>11.026</v>
      </c>
      <c r="J354" s="2">
        <v>11.035</v>
      </c>
      <c r="K354" s="3">
        <v>42.720999999999997</v>
      </c>
      <c r="L354" s="3">
        <v>18.547999999999998</v>
      </c>
      <c r="M354" s="3">
        <v>61.268999999999998</v>
      </c>
      <c r="N354" s="3">
        <v>63.311999999999998</v>
      </c>
      <c r="O354">
        <v>2016</v>
      </c>
      <c r="Q354" s="12" t="str">
        <f>TEXT(VALUE(Table1[[#This Row],[Content.Column7]])*1000,"#,##0")</f>
        <v>5,974</v>
      </c>
      <c r="R354" s="12" t="str">
        <f>TEXT(VALUE(Table1[[#This Row],[Content.Column8]])*1000,"#,##0")</f>
        <v>5,052</v>
      </c>
      <c r="S354" s="12" t="str">
        <f>TEXT(VALUE(Table1[[#This Row],[Content.Column9]])*1000,"#,##0")</f>
        <v>11,026</v>
      </c>
      <c r="T354" s="12" t="str">
        <f>TEXT(VALUE(Table1[[#This Row],[Content.Column10]])*1000,"#,##0")</f>
        <v>11,035</v>
      </c>
      <c r="U354" s="13" t="str">
        <f>TEXT(VALUE(Table1[[#This Row],[Content.Column11]])*1000,"#,##0")</f>
        <v>42,721</v>
      </c>
      <c r="V354" s="13" t="str">
        <f>TEXT(VALUE(Table1[[#This Row],[Content.Column12]])*1000,"#,##0")</f>
        <v>18,548</v>
      </c>
      <c r="W354" s="13" t="str">
        <f>TEXT(VALUE(Table1[[#This Row],[Content.Column13]])*1000,"#,##0")</f>
        <v>61,269</v>
      </c>
      <c r="X354" s="13" t="str">
        <f>TEXT(VALUE(Table1[[#This Row],[Content.Column14]])*1000,"#,##0")</f>
        <v>63,312</v>
      </c>
      <c r="Y354" s="14" t="str">
        <f>TEXT(VALUE(Table1[[#This Row],[Content.Column3]])*1000,"#,##0")</f>
        <v>48,695</v>
      </c>
      <c r="Z354" s="14" t="str">
        <f>TEXT(VALUE(Table1[[#This Row],[Content.Column4]])*1000,"#,##0")</f>
        <v>23,600</v>
      </c>
      <c r="AA354" s="14" t="str">
        <f>TEXT(VALUE(Table1[[#This Row],[Content.Column5]])*1000,"#,##0")</f>
        <v>72,295</v>
      </c>
      <c r="AB354" s="14" t="str">
        <f>TEXT(VALUE(Table1[[#This Row],[Content.Column6]])*1000,"#,##0")</f>
        <v>74,347</v>
      </c>
    </row>
    <row r="355" spans="1:28" x14ac:dyDescent="0.3">
      <c r="A355" t="s">
        <v>56</v>
      </c>
      <c r="B355" t="s">
        <v>57</v>
      </c>
      <c r="C355" s="6">
        <v>54.256999999999998</v>
      </c>
      <c r="D355" s="1">
        <v>28.167999999999999</v>
      </c>
      <c r="E355" s="1">
        <v>82.424999999999997</v>
      </c>
      <c r="F355" s="1">
        <v>84.497</v>
      </c>
      <c r="G355" s="2">
        <v>10.531000000000001</v>
      </c>
      <c r="H355" s="2">
        <v>5.9420000000000002</v>
      </c>
      <c r="I355" s="2">
        <v>16.474</v>
      </c>
      <c r="J355" s="2">
        <v>16.483000000000001</v>
      </c>
      <c r="K355" s="3">
        <v>43.725999999999999</v>
      </c>
      <c r="L355" s="3">
        <v>22.225999999999999</v>
      </c>
      <c r="M355" s="3">
        <v>65.951999999999998</v>
      </c>
      <c r="N355" s="3">
        <v>68.013999999999996</v>
      </c>
      <c r="O355">
        <v>2016</v>
      </c>
      <c r="Q355" s="12" t="str">
        <f>TEXT(VALUE(Table1[[#This Row],[Content.Column7]])*1000,"#,##0")</f>
        <v>10,531</v>
      </c>
      <c r="R355" s="12" t="str">
        <f>TEXT(VALUE(Table1[[#This Row],[Content.Column8]])*1000,"#,##0")</f>
        <v>5,942</v>
      </c>
      <c r="S355" s="12" t="str">
        <f>TEXT(VALUE(Table1[[#This Row],[Content.Column9]])*1000,"#,##0")</f>
        <v>16,474</v>
      </c>
      <c r="T355" s="12" t="str">
        <f>TEXT(VALUE(Table1[[#This Row],[Content.Column10]])*1000,"#,##0")</f>
        <v>16,483</v>
      </c>
      <c r="U355" s="13" t="str">
        <f>TEXT(VALUE(Table1[[#This Row],[Content.Column11]])*1000,"#,##0")</f>
        <v>43,726</v>
      </c>
      <c r="V355" s="13" t="str">
        <f>TEXT(VALUE(Table1[[#This Row],[Content.Column12]])*1000,"#,##0")</f>
        <v>22,226</v>
      </c>
      <c r="W355" s="13" t="str">
        <f>TEXT(VALUE(Table1[[#This Row],[Content.Column13]])*1000,"#,##0")</f>
        <v>65,952</v>
      </c>
      <c r="X355" s="13" t="str">
        <f>TEXT(VALUE(Table1[[#This Row],[Content.Column14]])*1000,"#,##0")</f>
        <v>68,014</v>
      </c>
      <c r="Y355" s="14" t="str">
        <f>TEXT(VALUE(Table1[[#This Row],[Content.Column3]])*1000,"#,##0")</f>
        <v>54,257</v>
      </c>
      <c r="Z355" s="14" t="str">
        <f>TEXT(VALUE(Table1[[#This Row],[Content.Column4]])*1000,"#,##0")</f>
        <v>28,168</v>
      </c>
      <c r="AA355" s="14" t="str">
        <f>TEXT(VALUE(Table1[[#This Row],[Content.Column5]])*1000,"#,##0")</f>
        <v>82,425</v>
      </c>
      <c r="AB355" s="14" t="str">
        <f>TEXT(VALUE(Table1[[#This Row],[Content.Column6]])*1000,"#,##0")</f>
        <v>84,497</v>
      </c>
    </row>
    <row r="356" spans="1:28" x14ac:dyDescent="0.3">
      <c r="A356" t="s">
        <v>58</v>
      </c>
      <c r="B356" t="s">
        <v>59</v>
      </c>
      <c r="C356" s="6">
        <v>137.11199999999999</v>
      </c>
      <c r="D356" s="1">
        <v>47.704999999999998</v>
      </c>
      <c r="E356" s="1">
        <v>184.816</v>
      </c>
      <c r="F356" s="1">
        <v>187.43600000000001</v>
      </c>
      <c r="G356" s="2">
        <v>14.116</v>
      </c>
      <c r="H356" s="2">
        <v>8.6050000000000004</v>
      </c>
      <c r="I356" s="2">
        <v>22.721</v>
      </c>
      <c r="J356" s="2">
        <v>22.759</v>
      </c>
      <c r="K356" s="3">
        <v>122.995</v>
      </c>
      <c r="L356" s="3">
        <v>39.1</v>
      </c>
      <c r="M356" s="3">
        <v>162.096</v>
      </c>
      <c r="N356" s="3">
        <v>164.67699999999999</v>
      </c>
      <c r="O356">
        <v>2016</v>
      </c>
      <c r="Q356" s="12" t="str">
        <f>TEXT(VALUE(Table1[[#This Row],[Content.Column7]])*1000,"#,##0")</f>
        <v>14,116</v>
      </c>
      <c r="R356" s="12" t="str">
        <f>TEXT(VALUE(Table1[[#This Row],[Content.Column8]])*1000,"#,##0")</f>
        <v>8,605</v>
      </c>
      <c r="S356" s="12" t="str">
        <f>TEXT(VALUE(Table1[[#This Row],[Content.Column9]])*1000,"#,##0")</f>
        <v>22,721</v>
      </c>
      <c r="T356" s="12" t="str">
        <f>TEXT(VALUE(Table1[[#This Row],[Content.Column10]])*1000,"#,##0")</f>
        <v>22,759</v>
      </c>
      <c r="U356" s="13" t="str">
        <f>TEXT(VALUE(Table1[[#This Row],[Content.Column11]])*1000,"#,##0")</f>
        <v>122,995</v>
      </c>
      <c r="V356" s="13" t="str">
        <f>TEXT(VALUE(Table1[[#This Row],[Content.Column12]])*1000,"#,##0")</f>
        <v>39,100</v>
      </c>
      <c r="W356" s="13" t="str">
        <f>TEXT(VALUE(Table1[[#This Row],[Content.Column13]])*1000,"#,##0")</f>
        <v>162,096</v>
      </c>
      <c r="X356" s="13" t="str">
        <f>TEXT(VALUE(Table1[[#This Row],[Content.Column14]])*1000,"#,##0")</f>
        <v>164,677</v>
      </c>
      <c r="Y356" s="14" t="str">
        <f>TEXT(VALUE(Table1[[#This Row],[Content.Column3]])*1000,"#,##0")</f>
        <v>137,112</v>
      </c>
      <c r="Z356" s="14" t="str">
        <f>TEXT(VALUE(Table1[[#This Row],[Content.Column4]])*1000,"#,##0")</f>
        <v>47,705</v>
      </c>
      <c r="AA356" s="14" t="str">
        <f>TEXT(VALUE(Table1[[#This Row],[Content.Column5]])*1000,"#,##0")</f>
        <v>184,816</v>
      </c>
      <c r="AB356" s="14" t="str">
        <f>TEXT(VALUE(Table1[[#This Row],[Content.Column6]])*1000,"#,##0")</f>
        <v>187,436</v>
      </c>
    </row>
    <row r="357" spans="1:28" x14ac:dyDescent="0.3">
      <c r="A357" t="s">
        <v>60</v>
      </c>
      <c r="B357" t="s">
        <v>61</v>
      </c>
      <c r="C357" s="6">
        <v>125.85</v>
      </c>
      <c r="D357" s="1">
        <v>44.938000000000002</v>
      </c>
      <c r="E357" s="1">
        <v>170.78700000000001</v>
      </c>
      <c r="F357" s="1">
        <v>172.84100000000001</v>
      </c>
      <c r="G357" s="2">
        <v>12.747999999999999</v>
      </c>
      <c r="H357" s="2">
        <v>4.2519999999999998</v>
      </c>
      <c r="I357" s="2">
        <v>17</v>
      </c>
      <c r="J357" s="2">
        <v>17.013999999999999</v>
      </c>
      <c r="K357" s="3">
        <v>113.102</v>
      </c>
      <c r="L357" s="3">
        <v>40.685000000000002</v>
      </c>
      <c r="M357" s="3">
        <v>153.78700000000001</v>
      </c>
      <c r="N357" s="3">
        <v>155.827</v>
      </c>
      <c r="O357">
        <v>2016</v>
      </c>
      <c r="Q357" s="12" t="str">
        <f>TEXT(VALUE(Table1[[#This Row],[Content.Column7]])*1000,"#,##0")</f>
        <v>12,748</v>
      </c>
      <c r="R357" s="12" t="str">
        <f>TEXT(VALUE(Table1[[#This Row],[Content.Column8]])*1000,"#,##0")</f>
        <v>4,252</v>
      </c>
      <c r="S357" s="12" t="str">
        <f>TEXT(VALUE(Table1[[#This Row],[Content.Column9]])*1000,"#,##0")</f>
        <v>17,000</v>
      </c>
      <c r="T357" s="12" t="str">
        <f>TEXT(VALUE(Table1[[#This Row],[Content.Column10]])*1000,"#,##0")</f>
        <v>17,014</v>
      </c>
      <c r="U357" s="13" t="str">
        <f>TEXT(VALUE(Table1[[#This Row],[Content.Column11]])*1000,"#,##0")</f>
        <v>113,102</v>
      </c>
      <c r="V357" s="13" t="str">
        <f>TEXT(VALUE(Table1[[#This Row],[Content.Column12]])*1000,"#,##0")</f>
        <v>40,685</v>
      </c>
      <c r="W357" s="13" t="str">
        <f>TEXT(VALUE(Table1[[#This Row],[Content.Column13]])*1000,"#,##0")</f>
        <v>153,787</v>
      </c>
      <c r="X357" s="13" t="str">
        <f>TEXT(VALUE(Table1[[#This Row],[Content.Column14]])*1000,"#,##0")</f>
        <v>155,827</v>
      </c>
      <c r="Y357" s="14" t="str">
        <f>TEXT(VALUE(Table1[[#This Row],[Content.Column3]])*1000,"#,##0")</f>
        <v>125,850</v>
      </c>
      <c r="Z357" s="14" t="str">
        <f>TEXT(VALUE(Table1[[#This Row],[Content.Column4]])*1000,"#,##0")</f>
        <v>44,938</v>
      </c>
      <c r="AA357" s="14" t="str">
        <f>TEXT(VALUE(Table1[[#This Row],[Content.Column5]])*1000,"#,##0")</f>
        <v>170,787</v>
      </c>
      <c r="AB357" s="14" t="str">
        <f>TEXT(VALUE(Table1[[#This Row],[Content.Column6]])*1000,"#,##0")</f>
        <v>172,841</v>
      </c>
    </row>
    <row r="358" spans="1:28" x14ac:dyDescent="0.3">
      <c r="A358" t="s">
        <v>62</v>
      </c>
      <c r="B358" t="s">
        <v>63</v>
      </c>
      <c r="C358" s="6">
        <v>181.89400000000001</v>
      </c>
      <c r="D358" s="1">
        <v>45.965000000000003</v>
      </c>
      <c r="E358" s="1">
        <v>227.85900000000001</v>
      </c>
      <c r="F358" s="1">
        <v>232.65</v>
      </c>
      <c r="G358" s="2">
        <v>20.099</v>
      </c>
      <c r="H358" s="2">
        <v>4.4969999999999999</v>
      </c>
      <c r="I358" s="2">
        <v>24.597000000000001</v>
      </c>
      <c r="J358" s="2">
        <v>24.6</v>
      </c>
      <c r="K358" s="3">
        <v>161.79400000000001</v>
      </c>
      <c r="L358" s="3">
        <v>41.468000000000004</v>
      </c>
      <c r="M358" s="3">
        <v>203.262</v>
      </c>
      <c r="N358" s="3">
        <v>208.04900000000001</v>
      </c>
      <c r="O358">
        <v>2016</v>
      </c>
      <c r="Q358" s="12" t="str">
        <f>TEXT(VALUE(Table1[[#This Row],[Content.Column7]])*1000,"#,##0")</f>
        <v>20,099</v>
      </c>
      <c r="R358" s="12" t="str">
        <f>TEXT(VALUE(Table1[[#This Row],[Content.Column8]])*1000,"#,##0")</f>
        <v>4,497</v>
      </c>
      <c r="S358" s="12" t="str">
        <f>TEXT(VALUE(Table1[[#This Row],[Content.Column9]])*1000,"#,##0")</f>
        <v>24,597</v>
      </c>
      <c r="T358" s="12" t="str">
        <f>TEXT(VALUE(Table1[[#This Row],[Content.Column10]])*1000,"#,##0")</f>
        <v>24,600</v>
      </c>
      <c r="U358" s="13" t="str">
        <f>TEXT(VALUE(Table1[[#This Row],[Content.Column11]])*1000,"#,##0")</f>
        <v>161,794</v>
      </c>
      <c r="V358" s="13" t="str">
        <f>TEXT(VALUE(Table1[[#This Row],[Content.Column12]])*1000,"#,##0")</f>
        <v>41,468</v>
      </c>
      <c r="W358" s="13" t="str">
        <f>TEXT(VALUE(Table1[[#This Row],[Content.Column13]])*1000,"#,##0")</f>
        <v>203,262</v>
      </c>
      <c r="X358" s="13" t="str">
        <f>TEXT(VALUE(Table1[[#This Row],[Content.Column14]])*1000,"#,##0")</f>
        <v>208,049</v>
      </c>
      <c r="Y358" s="14" t="str">
        <f>TEXT(VALUE(Table1[[#This Row],[Content.Column3]])*1000,"#,##0")</f>
        <v>181,894</v>
      </c>
      <c r="Z358" s="14" t="str">
        <f>TEXT(VALUE(Table1[[#This Row],[Content.Column4]])*1000,"#,##0")</f>
        <v>45,965</v>
      </c>
      <c r="AA358" s="14" t="str">
        <f>TEXT(VALUE(Table1[[#This Row],[Content.Column5]])*1000,"#,##0")</f>
        <v>227,859</v>
      </c>
      <c r="AB358" s="14" t="str">
        <f>TEXT(VALUE(Table1[[#This Row],[Content.Column6]])*1000,"#,##0")</f>
        <v>232,650</v>
      </c>
    </row>
    <row r="359" spans="1:28" x14ac:dyDescent="0.3">
      <c r="A359" t="s">
        <v>64</v>
      </c>
      <c r="B359" t="s">
        <v>65</v>
      </c>
      <c r="C359" s="6">
        <v>93.21</v>
      </c>
      <c r="D359" s="1">
        <v>34.097999999999999</v>
      </c>
      <c r="E359" s="1">
        <v>127.30800000000001</v>
      </c>
      <c r="F359" s="1">
        <v>130.33199999999999</v>
      </c>
      <c r="G359" s="2">
        <v>13.723000000000001</v>
      </c>
      <c r="H359" s="2">
        <v>4.6260000000000003</v>
      </c>
      <c r="I359" s="2">
        <v>18.349</v>
      </c>
      <c r="J359" s="2">
        <v>18.582999999999998</v>
      </c>
      <c r="K359" s="3">
        <v>79.486999999999995</v>
      </c>
      <c r="L359" s="3">
        <v>29.472000000000001</v>
      </c>
      <c r="M359" s="3">
        <v>108.959</v>
      </c>
      <c r="N359" s="3">
        <v>111.748</v>
      </c>
      <c r="O359">
        <v>2016</v>
      </c>
      <c r="Q359" s="12" t="str">
        <f>TEXT(VALUE(Table1[[#This Row],[Content.Column7]])*1000,"#,##0")</f>
        <v>13,723</v>
      </c>
      <c r="R359" s="12" t="str">
        <f>TEXT(VALUE(Table1[[#This Row],[Content.Column8]])*1000,"#,##0")</f>
        <v>4,626</v>
      </c>
      <c r="S359" s="12" t="str">
        <f>TEXT(VALUE(Table1[[#This Row],[Content.Column9]])*1000,"#,##0")</f>
        <v>18,349</v>
      </c>
      <c r="T359" s="12" t="str">
        <f>TEXT(VALUE(Table1[[#This Row],[Content.Column10]])*1000,"#,##0")</f>
        <v>18,583</v>
      </c>
      <c r="U359" s="13" t="str">
        <f>TEXT(VALUE(Table1[[#This Row],[Content.Column11]])*1000,"#,##0")</f>
        <v>79,487</v>
      </c>
      <c r="V359" s="13" t="str">
        <f>TEXT(VALUE(Table1[[#This Row],[Content.Column12]])*1000,"#,##0")</f>
        <v>29,472</v>
      </c>
      <c r="W359" s="13" t="str">
        <f>TEXT(VALUE(Table1[[#This Row],[Content.Column13]])*1000,"#,##0")</f>
        <v>108,959</v>
      </c>
      <c r="X359" s="13" t="str">
        <f>TEXT(VALUE(Table1[[#This Row],[Content.Column14]])*1000,"#,##0")</f>
        <v>111,748</v>
      </c>
      <c r="Y359" s="14" t="str">
        <f>TEXT(VALUE(Table1[[#This Row],[Content.Column3]])*1000,"#,##0")</f>
        <v>93,210</v>
      </c>
      <c r="Z359" s="14" t="str">
        <f>TEXT(VALUE(Table1[[#This Row],[Content.Column4]])*1000,"#,##0")</f>
        <v>34,098</v>
      </c>
      <c r="AA359" s="14" t="str">
        <f>TEXT(VALUE(Table1[[#This Row],[Content.Column5]])*1000,"#,##0")</f>
        <v>127,308</v>
      </c>
      <c r="AB359" s="14" t="str">
        <f>TEXT(VALUE(Table1[[#This Row],[Content.Column6]])*1000,"#,##0")</f>
        <v>130,332</v>
      </c>
    </row>
    <row r="360" spans="1:28" x14ac:dyDescent="0.3">
      <c r="A360" t="s">
        <v>66</v>
      </c>
      <c r="B360" t="s">
        <v>67</v>
      </c>
      <c r="C360" s="6">
        <v>51.179000000000002</v>
      </c>
      <c r="D360" s="1">
        <v>29.213999999999999</v>
      </c>
      <c r="E360" s="1">
        <v>80.394000000000005</v>
      </c>
      <c r="F360" s="1">
        <v>81.918999999999997</v>
      </c>
      <c r="G360" s="2">
        <v>7.0780000000000003</v>
      </c>
      <c r="H360" s="2">
        <v>4.3460000000000001</v>
      </c>
      <c r="I360" s="2">
        <v>11.423999999999999</v>
      </c>
      <c r="J360" s="2">
        <v>11.441000000000001</v>
      </c>
      <c r="K360" s="3">
        <v>44.100999999999999</v>
      </c>
      <c r="L360" s="3">
        <v>24.867999999999999</v>
      </c>
      <c r="M360" s="3">
        <v>68.97</v>
      </c>
      <c r="N360" s="3">
        <v>70.478999999999999</v>
      </c>
      <c r="O360">
        <v>2016</v>
      </c>
      <c r="Q360" s="12" t="str">
        <f>TEXT(VALUE(Table1[[#This Row],[Content.Column7]])*1000,"#,##0")</f>
        <v>7,078</v>
      </c>
      <c r="R360" s="12" t="str">
        <f>TEXT(VALUE(Table1[[#This Row],[Content.Column8]])*1000,"#,##0")</f>
        <v>4,346</v>
      </c>
      <c r="S360" s="12" t="str">
        <f>TEXT(VALUE(Table1[[#This Row],[Content.Column9]])*1000,"#,##0")</f>
        <v>11,424</v>
      </c>
      <c r="T360" s="12" t="str">
        <f>TEXT(VALUE(Table1[[#This Row],[Content.Column10]])*1000,"#,##0")</f>
        <v>11,441</v>
      </c>
      <c r="U360" s="13" t="str">
        <f>TEXT(VALUE(Table1[[#This Row],[Content.Column11]])*1000,"#,##0")</f>
        <v>44,101</v>
      </c>
      <c r="V360" s="13" t="str">
        <f>TEXT(VALUE(Table1[[#This Row],[Content.Column12]])*1000,"#,##0")</f>
        <v>24,868</v>
      </c>
      <c r="W360" s="13" t="str">
        <f>TEXT(VALUE(Table1[[#This Row],[Content.Column13]])*1000,"#,##0")</f>
        <v>68,970</v>
      </c>
      <c r="X360" s="13" t="str">
        <f>TEXT(VALUE(Table1[[#This Row],[Content.Column14]])*1000,"#,##0")</f>
        <v>70,479</v>
      </c>
      <c r="Y360" s="14" t="str">
        <f>TEXT(VALUE(Table1[[#This Row],[Content.Column3]])*1000,"#,##0")</f>
        <v>51,179</v>
      </c>
      <c r="Z360" s="14" t="str">
        <f>TEXT(VALUE(Table1[[#This Row],[Content.Column4]])*1000,"#,##0")</f>
        <v>29,214</v>
      </c>
      <c r="AA360" s="14" t="str">
        <f>TEXT(VALUE(Table1[[#This Row],[Content.Column5]])*1000,"#,##0")</f>
        <v>80,394</v>
      </c>
      <c r="AB360" s="14" t="str">
        <f>TEXT(VALUE(Table1[[#This Row],[Content.Column6]])*1000,"#,##0")</f>
        <v>81,919</v>
      </c>
    </row>
    <row r="361" spans="1:28" x14ac:dyDescent="0.3">
      <c r="A361" t="s">
        <v>68</v>
      </c>
      <c r="B361" t="s">
        <v>69</v>
      </c>
      <c r="C361" s="6">
        <v>102.664</v>
      </c>
      <c r="D361" s="1">
        <v>39.896000000000001</v>
      </c>
      <c r="E361" s="1">
        <v>142.56</v>
      </c>
      <c r="F361" s="1">
        <v>145.251</v>
      </c>
      <c r="G361" s="2">
        <v>26.524000000000001</v>
      </c>
      <c r="H361" s="2">
        <v>8.7870000000000008</v>
      </c>
      <c r="I361" s="2">
        <v>35.311</v>
      </c>
      <c r="J361" s="2">
        <v>35.353000000000002</v>
      </c>
      <c r="K361" s="3">
        <v>76.138999999999996</v>
      </c>
      <c r="L361" s="3">
        <v>31.109000000000002</v>
      </c>
      <c r="M361" s="3">
        <v>107.249</v>
      </c>
      <c r="N361" s="3">
        <v>109.899</v>
      </c>
      <c r="O361">
        <v>2016</v>
      </c>
      <c r="Q361" s="12" t="str">
        <f>TEXT(VALUE(Table1[[#This Row],[Content.Column7]])*1000,"#,##0")</f>
        <v>26,524</v>
      </c>
      <c r="R361" s="12" t="str">
        <f>TEXT(VALUE(Table1[[#This Row],[Content.Column8]])*1000,"#,##0")</f>
        <v>8,787</v>
      </c>
      <c r="S361" s="12" t="str">
        <f>TEXT(VALUE(Table1[[#This Row],[Content.Column9]])*1000,"#,##0")</f>
        <v>35,311</v>
      </c>
      <c r="T361" s="12" t="str">
        <f>TEXT(VALUE(Table1[[#This Row],[Content.Column10]])*1000,"#,##0")</f>
        <v>35,353</v>
      </c>
      <c r="U361" s="13" t="str">
        <f>TEXT(VALUE(Table1[[#This Row],[Content.Column11]])*1000,"#,##0")</f>
        <v>76,139</v>
      </c>
      <c r="V361" s="13" t="str">
        <f>TEXT(VALUE(Table1[[#This Row],[Content.Column12]])*1000,"#,##0")</f>
        <v>31,109</v>
      </c>
      <c r="W361" s="13" t="str">
        <f>TEXT(VALUE(Table1[[#This Row],[Content.Column13]])*1000,"#,##0")</f>
        <v>107,249</v>
      </c>
      <c r="X361" s="13" t="str">
        <f>TEXT(VALUE(Table1[[#This Row],[Content.Column14]])*1000,"#,##0")</f>
        <v>109,899</v>
      </c>
      <c r="Y361" s="14" t="str">
        <f>TEXT(VALUE(Table1[[#This Row],[Content.Column3]])*1000,"#,##0")</f>
        <v>102,664</v>
      </c>
      <c r="Z361" s="14" t="str">
        <f>TEXT(VALUE(Table1[[#This Row],[Content.Column4]])*1000,"#,##0")</f>
        <v>39,896</v>
      </c>
      <c r="AA361" s="14" t="str">
        <f>TEXT(VALUE(Table1[[#This Row],[Content.Column5]])*1000,"#,##0")</f>
        <v>142,560</v>
      </c>
      <c r="AB361" s="14" t="str">
        <f>TEXT(VALUE(Table1[[#This Row],[Content.Column6]])*1000,"#,##0")</f>
        <v>145,251</v>
      </c>
    </row>
    <row r="362" spans="1:28" x14ac:dyDescent="0.3">
      <c r="A362" t="s">
        <v>70</v>
      </c>
      <c r="B362" t="s">
        <v>71</v>
      </c>
      <c r="C362" s="6">
        <v>40.814999999999998</v>
      </c>
      <c r="D362" s="1">
        <v>25.27</v>
      </c>
      <c r="E362" s="1">
        <v>66.084999999999994</v>
      </c>
      <c r="F362" s="1">
        <v>68.257000000000005</v>
      </c>
      <c r="G362" s="2">
        <v>9.2100000000000009</v>
      </c>
      <c r="H362" s="2">
        <v>6.1429999999999998</v>
      </c>
      <c r="I362" s="2">
        <v>15.353</v>
      </c>
      <c r="J362" s="2">
        <v>15.616</v>
      </c>
      <c r="K362" s="3">
        <v>31.603999999999999</v>
      </c>
      <c r="L362" s="3">
        <v>19.128</v>
      </c>
      <c r="M362" s="3">
        <v>50.731999999999999</v>
      </c>
      <c r="N362" s="3">
        <v>52.640999999999998</v>
      </c>
      <c r="O362">
        <v>2016</v>
      </c>
      <c r="Q362" s="12" t="str">
        <f>TEXT(VALUE(Table1[[#This Row],[Content.Column7]])*1000,"#,##0")</f>
        <v>9,210</v>
      </c>
      <c r="R362" s="12" t="str">
        <f>TEXT(VALUE(Table1[[#This Row],[Content.Column8]])*1000,"#,##0")</f>
        <v>6,143</v>
      </c>
      <c r="S362" s="12" t="str">
        <f>TEXT(VALUE(Table1[[#This Row],[Content.Column9]])*1000,"#,##0")</f>
        <v>15,353</v>
      </c>
      <c r="T362" s="12" t="str">
        <f>TEXT(VALUE(Table1[[#This Row],[Content.Column10]])*1000,"#,##0")</f>
        <v>15,616</v>
      </c>
      <c r="U362" s="13" t="str">
        <f>TEXT(VALUE(Table1[[#This Row],[Content.Column11]])*1000,"#,##0")</f>
        <v>31,604</v>
      </c>
      <c r="V362" s="13" t="str">
        <f>TEXT(VALUE(Table1[[#This Row],[Content.Column12]])*1000,"#,##0")</f>
        <v>19,128</v>
      </c>
      <c r="W362" s="13" t="str">
        <f>TEXT(VALUE(Table1[[#This Row],[Content.Column13]])*1000,"#,##0")</f>
        <v>50,732</v>
      </c>
      <c r="X362" s="13" t="str">
        <f>TEXT(VALUE(Table1[[#This Row],[Content.Column14]])*1000,"#,##0")</f>
        <v>52,641</v>
      </c>
      <c r="Y362" s="14" t="str">
        <f>TEXT(VALUE(Table1[[#This Row],[Content.Column3]])*1000,"#,##0")</f>
        <v>40,815</v>
      </c>
      <c r="Z362" s="14" t="str">
        <f>TEXT(VALUE(Table1[[#This Row],[Content.Column4]])*1000,"#,##0")</f>
        <v>25,270</v>
      </c>
      <c r="AA362" s="14" t="str">
        <f>TEXT(VALUE(Table1[[#This Row],[Content.Column5]])*1000,"#,##0")</f>
        <v>66,085</v>
      </c>
      <c r="AB362" s="14" t="str">
        <f>TEXT(VALUE(Table1[[#This Row],[Content.Column6]])*1000,"#,##0")</f>
        <v>68,257</v>
      </c>
    </row>
    <row r="363" spans="1:28" x14ac:dyDescent="0.3">
      <c r="A363" t="s">
        <v>72</v>
      </c>
      <c r="B363" t="s">
        <v>73</v>
      </c>
      <c r="C363" s="6">
        <v>55.906999999999996</v>
      </c>
      <c r="D363" s="1">
        <v>24.657</v>
      </c>
      <c r="E363" s="1">
        <v>80.563000000000002</v>
      </c>
      <c r="F363" s="1">
        <v>81.992000000000004</v>
      </c>
      <c r="G363" s="2">
        <v>6.0730000000000004</v>
      </c>
      <c r="H363" s="2">
        <v>2.5609999999999999</v>
      </c>
      <c r="I363" s="2">
        <v>8.6340000000000003</v>
      </c>
      <c r="J363" s="2">
        <v>8.6389999999999993</v>
      </c>
      <c r="K363" s="3">
        <v>49.834000000000003</v>
      </c>
      <c r="L363" s="3">
        <v>22.094999999999999</v>
      </c>
      <c r="M363" s="3">
        <v>71.929000000000002</v>
      </c>
      <c r="N363" s="3">
        <v>73.352000000000004</v>
      </c>
      <c r="O363">
        <v>2016</v>
      </c>
      <c r="Q363" s="12" t="str">
        <f>TEXT(VALUE(Table1[[#This Row],[Content.Column7]])*1000,"#,##0")</f>
        <v>6,073</v>
      </c>
      <c r="R363" s="12" t="str">
        <f>TEXT(VALUE(Table1[[#This Row],[Content.Column8]])*1000,"#,##0")</f>
        <v>2,561</v>
      </c>
      <c r="S363" s="12" t="str">
        <f>TEXT(VALUE(Table1[[#This Row],[Content.Column9]])*1000,"#,##0")</f>
        <v>8,634</v>
      </c>
      <c r="T363" s="12" t="str">
        <f>TEXT(VALUE(Table1[[#This Row],[Content.Column10]])*1000,"#,##0")</f>
        <v>8,639</v>
      </c>
      <c r="U363" s="13" t="str">
        <f>TEXT(VALUE(Table1[[#This Row],[Content.Column11]])*1000,"#,##0")</f>
        <v>49,834</v>
      </c>
      <c r="V363" s="13" t="str">
        <f>TEXT(VALUE(Table1[[#This Row],[Content.Column12]])*1000,"#,##0")</f>
        <v>22,095</v>
      </c>
      <c r="W363" s="13" t="str">
        <f>TEXT(VALUE(Table1[[#This Row],[Content.Column13]])*1000,"#,##0")</f>
        <v>71,929</v>
      </c>
      <c r="X363" s="13" t="str">
        <f>TEXT(VALUE(Table1[[#This Row],[Content.Column14]])*1000,"#,##0")</f>
        <v>73,352</v>
      </c>
      <c r="Y363" s="14" t="str">
        <f>TEXT(VALUE(Table1[[#This Row],[Content.Column3]])*1000,"#,##0")</f>
        <v>55,907</v>
      </c>
      <c r="Z363" s="14" t="str">
        <f>TEXT(VALUE(Table1[[#This Row],[Content.Column4]])*1000,"#,##0")</f>
        <v>24,657</v>
      </c>
      <c r="AA363" s="14" t="str">
        <f>TEXT(VALUE(Table1[[#This Row],[Content.Column5]])*1000,"#,##0")</f>
        <v>80,563</v>
      </c>
      <c r="AB363" s="14" t="str">
        <f>TEXT(VALUE(Table1[[#This Row],[Content.Column6]])*1000,"#,##0")</f>
        <v>81,992</v>
      </c>
    </row>
    <row r="364" spans="1:28" x14ac:dyDescent="0.3">
      <c r="A364" t="s">
        <v>74</v>
      </c>
      <c r="B364" t="s">
        <v>75</v>
      </c>
      <c r="C364" s="6">
        <v>68.525999999999996</v>
      </c>
      <c r="D364" s="1">
        <v>34.323999999999998</v>
      </c>
      <c r="E364" s="1">
        <v>102.849</v>
      </c>
      <c r="F364" s="1">
        <v>104.767</v>
      </c>
      <c r="G364" s="2">
        <v>16.202999999999999</v>
      </c>
      <c r="H364" s="2">
        <v>7.43</v>
      </c>
      <c r="I364" s="2">
        <v>23.632000000000001</v>
      </c>
      <c r="J364" s="2">
        <v>23.66</v>
      </c>
      <c r="K364" s="3">
        <v>52.323</v>
      </c>
      <c r="L364" s="3">
        <v>26.893999999999998</v>
      </c>
      <c r="M364" s="3">
        <v>79.216999999999999</v>
      </c>
      <c r="N364" s="3">
        <v>81.106999999999999</v>
      </c>
      <c r="O364">
        <v>2016</v>
      </c>
      <c r="Q364" s="12" t="str">
        <f>TEXT(VALUE(Table1[[#This Row],[Content.Column7]])*1000,"#,##0")</f>
        <v>16,203</v>
      </c>
      <c r="R364" s="12" t="str">
        <f>TEXT(VALUE(Table1[[#This Row],[Content.Column8]])*1000,"#,##0")</f>
        <v>7,430</v>
      </c>
      <c r="S364" s="12" t="str">
        <f>TEXT(VALUE(Table1[[#This Row],[Content.Column9]])*1000,"#,##0")</f>
        <v>23,632</v>
      </c>
      <c r="T364" s="12" t="str">
        <f>TEXT(VALUE(Table1[[#This Row],[Content.Column10]])*1000,"#,##0")</f>
        <v>23,660</v>
      </c>
      <c r="U364" s="13" t="str">
        <f>TEXT(VALUE(Table1[[#This Row],[Content.Column11]])*1000,"#,##0")</f>
        <v>52,323</v>
      </c>
      <c r="V364" s="13" t="str">
        <f>TEXT(VALUE(Table1[[#This Row],[Content.Column12]])*1000,"#,##0")</f>
        <v>26,894</v>
      </c>
      <c r="W364" s="13" t="str">
        <f>TEXT(VALUE(Table1[[#This Row],[Content.Column13]])*1000,"#,##0")</f>
        <v>79,217</v>
      </c>
      <c r="X364" s="13" t="str">
        <f>TEXT(VALUE(Table1[[#This Row],[Content.Column14]])*1000,"#,##0")</f>
        <v>81,107</v>
      </c>
      <c r="Y364" s="14" t="str">
        <f>TEXT(VALUE(Table1[[#This Row],[Content.Column3]])*1000,"#,##0")</f>
        <v>68,526</v>
      </c>
      <c r="Z364" s="14" t="str">
        <f>TEXT(VALUE(Table1[[#This Row],[Content.Column4]])*1000,"#,##0")</f>
        <v>34,324</v>
      </c>
      <c r="AA364" s="14" t="str">
        <f>TEXT(VALUE(Table1[[#This Row],[Content.Column5]])*1000,"#,##0")</f>
        <v>102,849</v>
      </c>
      <c r="AB364" s="14" t="str">
        <f>TEXT(VALUE(Table1[[#This Row],[Content.Column6]])*1000,"#,##0")</f>
        <v>104,767</v>
      </c>
    </row>
    <row r="365" spans="1:28" x14ac:dyDescent="0.3">
      <c r="A365" t="s">
        <v>76</v>
      </c>
      <c r="B365" t="s">
        <v>77</v>
      </c>
      <c r="C365" s="6">
        <v>50.128</v>
      </c>
      <c r="D365" s="1">
        <v>25.17</v>
      </c>
      <c r="E365" s="1">
        <v>75.298000000000002</v>
      </c>
      <c r="F365" s="1">
        <v>77.277000000000001</v>
      </c>
      <c r="G365" s="2">
        <v>10.585000000000001</v>
      </c>
      <c r="H365" s="2">
        <v>5.4059999999999997</v>
      </c>
      <c r="I365" s="2">
        <v>15.991</v>
      </c>
      <c r="J365" s="2">
        <v>16</v>
      </c>
      <c r="K365" s="3">
        <v>39.542999999999999</v>
      </c>
      <c r="L365" s="3">
        <v>19.763999999999999</v>
      </c>
      <c r="M365" s="3">
        <v>59.307000000000002</v>
      </c>
      <c r="N365" s="3">
        <v>61.277000000000001</v>
      </c>
      <c r="O365">
        <v>2016</v>
      </c>
      <c r="Q365" s="12" t="str">
        <f>TEXT(VALUE(Table1[[#This Row],[Content.Column7]])*1000,"#,##0")</f>
        <v>10,585</v>
      </c>
      <c r="R365" s="12" t="str">
        <f>TEXT(VALUE(Table1[[#This Row],[Content.Column8]])*1000,"#,##0")</f>
        <v>5,406</v>
      </c>
      <c r="S365" s="12" t="str">
        <f>TEXT(VALUE(Table1[[#This Row],[Content.Column9]])*1000,"#,##0")</f>
        <v>15,991</v>
      </c>
      <c r="T365" s="12" t="str">
        <f>TEXT(VALUE(Table1[[#This Row],[Content.Column10]])*1000,"#,##0")</f>
        <v>16,000</v>
      </c>
      <c r="U365" s="13" t="str">
        <f>TEXT(VALUE(Table1[[#This Row],[Content.Column11]])*1000,"#,##0")</f>
        <v>39,543</v>
      </c>
      <c r="V365" s="13" t="str">
        <f>TEXT(VALUE(Table1[[#This Row],[Content.Column12]])*1000,"#,##0")</f>
        <v>19,764</v>
      </c>
      <c r="W365" s="13" t="str">
        <f>TEXT(VALUE(Table1[[#This Row],[Content.Column13]])*1000,"#,##0")</f>
        <v>59,307</v>
      </c>
      <c r="X365" s="13" t="str">
        <f>TEXT(VALUE(Table1[[#This Row],[Content.Column14]])*1000,"#,##0")</f>
        <v>61,277</v>
      </c>
      <c r="Y365" s="14" t="str">
        <f>TEXT(VALUE(Table1[[#This Row],[Content.Column3]])*1000,"#,##0")</f>
        <v>50,128</v>
      </c>
      <c r="Z365" s="14" t="str">
        <f>TEXT(VALUE(Table1[[#This Row],[Content.Column4]])*1000,"#,##0")</f>
        <v>25,170</v>
      </c>
      <c r="AA365" s="14" t="str">
        <f>TEXT(VALUE(Table1[[#This Row],[Content.Column5]])*1000,"#,##0")</f>
        <v>75,298</v>
      </c>
      <c r="AB365" s="14" t="str">
        <f>TEXT(VALUE(Table1[[#This Row],[Content.Column6]])*1000,"#,##0")</f>
        <v>77,277</v>
      </c>
    </row>
    <row r="366" spans="1:28" x14ac:dyDescent="0.3">
      <c r="A366" t="s">
        <v>78</v>
      </c>
      <c r="B366" t="s">
        <v>79</v>
      </c>
      <c r="C366" s="6">
        <v>55.854999999999997</v>
      </c>
      <c r="D366" s="1">
        <v>24.927</v>
      </c>
      <c r="E366" s="1">
        <v>80.781999999999996</v>
      </c>
      <c r="F366" s="1">
        <v>83.108000000000004</v>
      </c>
      <c r="G366" s="2">
        <v>6.5250000000000004</v>
      </c>
      <c r="H366" s="2">
        <v>3.423</v>
      </c>
      <c r="I366" s="2">
        <v>9.9469999999999992</v>
      </c>
      <c r="J366" s="2">
        <v>9.9570000000000007</v>
      </c>
      <c r="K366" s="3">
        <v>49.33</v>
      </c>
      <c r="L366" s="3">
        <v>21.504999999999999</v>
      </c>
      <c r="M366" s="3">
        <v>70.834999999999994</v>
      </c>
      <c r="N366" s="3">
        <v>73.152000000000001</v>
      </c>
      <c r="O366">
        <v>2016</v>
      </c>
      <c r="Q366" s="12" t="str">
        <f>TEXT(VALUE(Table1[[#This Row],[Content.Column7]])*1000,"#,##0")</f>
        <v>6,525</v>
      </c>
      <c r="R366" s="12" t="str">
        <f>TEXT(VALUE(Table1[[#This Row],[Content.Column8]])*1000,"#,##0")</f>
        <v>3,423</v>
      </c>
      <c r="S366" s="12" t="str">
        <f>TEXT(VALUE(Table1[[#This Row],[Content.Column9]])*1000,"#,##0")</f>
        <v>9,947</v>
      </c>
      <c r="T366" s="12" t="str">
        <f>TEXT(VALUE(Table1[[#This Row],[Content.Column10]])*1000,"#,##0")</f>
        <v>9,957</v>
      </c>
      <c r="U366" s="13" t="str">
        <f>TEXT(VALUE(Table1[[#This Row],[Content.Column11]])*1000,"#,##0")</f>
        <v>49,330</v>
      </c>
      <c r="V366" s="13" t="str">
        <f>TEXT(VALUE(Table1[[#This Row],[Content.Column12]])*1000,"#,##0")</f>
        <v>21,505</v>
      </c>
      <c r="W366" s="13" t="str">
        <f>TEXT(VALUE(Table1[[#This Row],[Content.Column13]])*1000,"#,##0")</f>
        <v>70,835</v>
      </c>
      <c r="X366" s="13" t="str">
        <f>TEXT(VALUE(Table1[[#This Row],[Content.Column14]])*1000,"#,##0")</f>
        <v>73,152</v>
      </c>
      <c r="Y366" s="14" t="str">
        <f>TEXT(VALUE(Table1[[#This Row],[Content.Column3]])*1000,"#,##0")</f>
        <v>55,855</v>
      </c>
      <c r="Z366" s="14" t="str">
        <f>TEXT(VALUE(Table1[[#This Row],[Content.Column4]])*1000,"#,##0")</f>
        <v>24,927</v>
      </c>
      <c r="AA366" s="14" t="str">
        <f>TEXT(VALUE(Table1[[#This Row],[Content.Column5]])*1000,"#,##0")</f>
        <v>80,782</v>
      </c>
      <c r="AB366" s="14" t="str">
        <f>TEXT(VALUE(Table1[[#This Row],[Content.Column6]])*1000,"#,##0")</f>
        <v>83,108</v>
      </c>
    </row>
    <row r="367" spans="1:28" x14ac:dyDescent="0.3">
      <c r="A367" t="s">
        <v>80</v>
      </c>
      <c r="B367" t="s">
        <v>81</v>
      </c>
      <c r="C367" s="6">
        <v>183.34899999999999</v>
      </c>
      <c r="D367" s="1">
        <v>47.210999999999999</v>
      </c>
      <c r="E367" s="1">
        <v>230.559</v>
      </c>
      <c r="F367" s="1">
        <v>236.77199999999999</v>
      </c>
      <c r="G367" s="2">
        <v>34.085000000000001</v>
      </c>
      <c r="H367" s="2">
        <v>6.3659999999999997</v>
      </c>
      <c r="I367" s="2">
        <v>40.451000000000001</v>
      </c>
      <c r="J367" s="2">
        <v>40.692999999999998</v>
      </c>
      <c r="K367" s="3">
        <v>149.26400000000001</v>
      </c>
      <c r="L367" s="3">
        <v>40.844999999999999</v>
      </c>
      <c r="M367" s="3">
        <v>190.108</v>
      </c>
      <c r="N367" s="3">
        <v>196.07900000000001</v>
      </c>
      <c r="O367">
        <v>2016</v>
      </c>
      <c r="Q367" s="12" t="str">
        <f>TEXT(VALUE(Table1[[#This Row],[Content.Column7]])*1000,"#,##0")</f>
        <v>34,085</v>
      </c>
      <c r="R367" s="12" t="str">
        <f>TEXT(VALUE(Table1[[#This Row],[Content.Column8]])*1000,"#,##0")</f>
        <v>6,366</v>
      </c>
      <c r="S367" s="12" t="str">
        <f>TEXT(VALUE(Table1[[#This Row],[Content.Column9]])*1000,"#,##0")</f>
        <v>40,451</v>
      </c>
      <c r="T367" s="12" t="str">
        <f>TEXT(VALUE(Table1[[#This Row],[Content.Column10]])*1000,"#,##0")</f>
        <v>40,693</v>
      </c>
      <c r="U367" s="13" t="str">
        <f>TEXT(VALUE(Table1[[#This Row],[Content.Column11]])*1000,"#,##0")</f>
        <v>149,264</v>
      </c>
      <c r="V367" s="13" t="str">
        <f>TEXT(VALUE(Table1[[#This Row],[Content.Column12]])*1000,"#,##0")</f>
        <v>40,845</v>
      </c>
      <c r="W367" s="13" t="str">
        <f>TEXT(VALUE(Table1[[#This Row],[Content.Column13]])*1000,"#,##0")</f>
        <v>190,108</v>
      </c>
      <c r="X367" s="13" t="str">
        <f>TEXT(VALUE(Table1[[#This Row],[Content.Column14]])*1000,"#,##0")</f>
        <v>196,079</v>
      </c>
      <c r="Y367" s="14" t="str">
        <f>TEXT(VALUE(Table1[[#This Row],[Content.Column3]])*1000,"#,##0")</f>
        <v>183,349</v>
      </c>
      <c r="Z367" s="14" t="str">
        <f>TEXT(VALUE(Table1[[#This Row],[Content.Column4]])*1000,"#,##0")</f>
        <v>47,211</v>
      </c>
      <c r="AA367" s="14" t="str">
        <f>TEXT(VALUE(Table1[[#This Row],[Content.Column5]])*1000,"#,##0")</f>
        <v>230,559</v>
      </c>
      <c r="AB367" s="14" t="str">
        <f>TEXT(VALUE(Table1[[#This Row],[Content.Column6]])*1000,"#,##0")</f>
        <v>236,772</v>
      </c>
    </row>
    <row r="368" spans="1:28" x14ac:dyDescent="0.3">
      <c r="A368" t="s">
        <v>82</v>
      </c>
      <c r="B368" t="s">
        <v>83</v>
      </c>
      <c r="C368" s="6">
        <v>45.543999999999997</v>
      </c>
      <c r="D368" s="1">
        <v>26.146999999999998</v>
      </c>
      <c r="E368" s="1">
        <v>71.69</v>
      </c>
      <c r="F368" s="1">
        <v>73.522000000000006</v>
      </c>
      <c r="G368" s="2">
        <v>8.6370000000000005</v>
      </c>
      <c r="H368" s="2">
        <v>4.9550000000000001</v>
      </c>
      <c r="I368" s="2">
        <v>13.592000000000001</v>
      </c>
      <c r="J368" s="2">
        <v>13.704000000000001</v>
      </c>
      <c r="K368" s="3">
        <v>36.906999999999996</v>
      </c>
      <c r="L368" s="3">
        <v>21.192</v>
      </c>
      <c r="M368" s="3">
        <v>58.097999999999999</v>
      </c>
      <c r="N368" s="3">
        <v>59.817</v>
      </c>
      <c r="O368">
        <v>2016</v>
      </c>
      <c r="Q368" s="12" t="str">
        <f>TEXT(VALUE(Table1[[#This Row],[Content.Column7]])*1000,"#,##0")</f>
        <v>8,637</v>
      </c>
      <c r="R368" s="12" t="str">
        <f>TEXT(VALUE(Table1[[#This Row],[Content.Column8]])*1000,"#,##0")</f>
        <v>4,955</v>
      </c>
      <c r="S368" s="12" t="str">
        <f>TEXT(VALUE(Table1[[#This Row],[Content.Column9]])*1000,"#,##0")</f>
        <v>13,592</v>
      </c>
      <c r="T368" s="12" t="str">
        <f>TEXT(VALUE(Table1[[#This Row],[Content.Column10]])*1000,"#,##0")</f>
        <v>13,704</v>
      </c>
      <c r="U368" s="13" t="str">
        <f>TEXT(VALUE(Table1[[#This Row],[Content.Column11]])*1000,"#,##0")</f>
        <v>36,907</v>
      </c>
      <c r="V368" s="13" t="str">
        <f>TEXT(VALUE(Table1[[#This Row],[Content.Column12]])*1000,"#,##0")</f>
        <v>21,192</v>
      </c>
      <c r="W368" s="13" t="str">
        <f>TEXT(VALUE(Table1[[#This Row],[Content.Column13]])*1000,"#,##0")</f>
        <v>58,098</v>
      </c>
      <c r="X368" s="13" t="str">
        <f>TEXT(VALUE(Table1[[#This Row],[Content.Column14]])*1000,"#,##0")</f>
        <v>59,817</v>
      </c>
      <c r="Y368" s="14" t="str">
        <f>TEXT(VALUE(Table1[[#This Row],[Content.Column3]])*1000,"#,##0")</f>
        <v>45,544</v>
      </c>
      <c r="Z368" s="14" t="str">
        <f>TEXT(VALUE(Table1[[#This Row],[Content.Column4]])*1000,"#,##0")</f>
        <v>26,147</v>
      </c>
      <c r="AA368" s="14" t="str">
        <f>TEXT(VALUE(Table1[[#This Row],[Content.Column5]])*1000,"#,##0")</f>
        <v>71,690</v>
      </c>
      <c r="AB368" s="14" t="str">
        <f>TEXT(VALUE(Table1[[#This Row],[Content.Column6]])*1000,"#,##0")</f>
        <v>73,522</v>
      </c>
    </row>
    <row r="369" spans="1:28" x14ac:dyDescent="0.3">
      <c r="A369" t="s">
        <v>84</v>
      </c>
      <c r="B369" t="s">
        <v>85</v>
      </c>
      <c r="C369" s="6">
        <v>218.53700000000001</v>
      </c>
      <c r="D369" s="1">
        <v>58.468000000000004</v>
      </c>
      <c r="E369" s="1">
        <v>277.005</v>
      </c>
      <c r="F369" s="1">
        <v>281.71699999999998</v>
      </c>
      <c r="G369" s="2">
        <v>29.878</v>
      </c>
      <c r="H369" s="2">
        <v>13.438000000000001</v>
      </c>
      <c r="I369" s="2">
        <v>43.316000000000003</v>
      </c>
      <c r="J369" s="2">
        <v>43.444000000000003</v>
      </c>
      <c r="K369" s="3">
        <v>188.66</v>
      </c>
      <c r="L369" s="3">
        <v>45.03</v>
      </c>
      <c r="M369" s="3">
        <v>233.69</v>
      </c>
      <c r="N369" s="3">
        <v>238.27199999999999</v>
      </c>
      <c r="O369">
        <v>2016</v>
      </c>
      <c r="Q369" s="12" t="str">
        <f>TEXT(VALUE(Table1[[#This Row],[Content.Column7]])*1000,"#,##0")</f>
        <v>29,878</v>
      </c>
      <c r="R369" s="12" t="str">
        <f>TEXT(VALUE(Table1[[#This Row],[Content.Column8]])*1000,"#,##0")</f>
        <v>13,438</v>
      </c>
      <c r="S369" s="12" t="str">
        <f>TEXT(VALUE(Table1[[#This Row],[Content.Column9]])*1000,"#,##0")</f>
        <v>43,316</v>
      </c>
      <c r="T369" s="12" t="str">
        <f>TEXT(VALUE(Table1[[#This Row],[Content.Column10]])*1000,"#,##0")</f>
        <v>43,444</v>
      </c>
      <c r="U369" s="13" t="str">
        <f>TEXT(VALUE(Table1[[#This Row],[Content.Column11]])*1000,"#,##0")</f>
        <v>188,660</v>
      </c>
      <c r="V369" s="13" t="str">
        <f>TEXT(VALUE(Table1[[#This Row],[Content.Column12]])*1000,"#,##0")</f>
        <v>45,030</v>
      </c>
      <c r="W369" s="13" t="str">
        <f>TEXT(VALUE(Table1[[#This Row],[Content.Column13]])*1000,"#,##0")</f>
        <v>233,690</v>
      </c>
      <c r="X369" s="13" t="str">
        <f>TEXT(VALUE(Table1[[#This Row],[Content.Column14]])*1000,"#,##0")</f>
        <v>238,272</v>
      </c>
      <c r="Y369" s="14" t="str">
        <f>TEXT(VALUE(Table1[[#This Row],[Content.Column3]])*1000,"#,##0")</f>
        <v>218,537</v>
      </c>
      <c r="Z369" s="14" t="str">
        <f>TEXT(VALUE(Table1[[#This Row],[Content.Column4]])*1000,"#,##0")</f>
        <v>58,468</v>
      </c>
      <c r="AA369" s="14" t="str">
        <f>TEXT(VALUE(Table1[[#This Row],[Content.Column5]])*1000,"#,##0")</f>
        <v>277,005</v>
      </c>
      <c r="AB369" s="14" t="str">
        <f>TEXT(VALUE(Table1[[#This Row],[Content.Column6]])*1000,"#,##0")</f>
        <v>281,717</v>
      </c>
    </row>
    <row r="370" spans="1:28" x14ac:dyDescent="0.3">
      <c r="A370" t="s">
        <v>86</v>
      </c>
      <c r="B370" t="s">
        <v>87</v>
      </c>
      <c r="C370" s="6">
        <v>48.189</v>
      </c>
      <c r="D370" s="1">
        <v>21.414000000000001</v>
      </c>
      <c r="E370" s="1">
        <v>69.603999999999999</v>
      </c>
      <c r="F370" s="1">
        <v>71.435000000000002</v>
      </c>
      <c r="G370" s="2">
        <v>10.048999999999999</v>
      </c>
      <c r="H370" s="2">
        <v>4.4029999999999996</v>
      </c>
      <c r="I370" s="2">
        <v>14.451000000000001</v>
      </c>
      <c r="J370" s="2">
        <v>14.46</v>
      </c>
      <c r="K370" s="3">
        <v>38.14</v>
      </c>
      <c r="L370" s="3">
        <v>17.012</v>
      </c>
      <c r="M370" s="3">
        <v>55.152000000000001</v>
      </c>
      <c r="N370" s="3">
        <v>56.975000000000001</v>
      </c>
      <c r="O370">
        <v>2016</v>
      </c>
      <c r="Q370" s="12" t="str">
        <f>TEXT(VALUE(Table1[[#This Row],[Content.Column7]])*1000,"#,##0")</f>
        <v>10,049</v>
      </c>
      <c r="R370" s="12" t="str">
        <f>TEXT(VALUE(Table1[[#This Row],[Content.Column8]])*1000,"#,##0")</f>
        <v>4,403</v>
      </c>
      <c r="S370" s="12" t="str">
        <f>TEXT(VALUE(Table1[[#This Row],[Content.Column9]])*1000,"#,##0")</f>
        <v>14,451</v>
      </c>
      <c r="T370" s="12" t="str">
        <f>TEXT(VALUE(Table1[[#This Row],[Content.Column10]])*1000,"#,##0")</f>
        <v>14,460</v>
      </c>
      <c r="U370" s="13" t="str">
        <f>TEXT(VALUE(Table1[[#This Row],[Content.Column11]])*1000,"#,##0")</f>
        <v>38,140</v>
      </c>
      <c r="V370" s="13" t="str">
        <f>TEXT(VALUE(Table1[[#This Row],[Content.Column12]])*1000,"#,##0")</f>
        <v>17,012</v>
      </c>
      <c r="W370" s="13" t="str">
        <f>TEXT(VALUE(Table1[[#This Row],[Content.Column13]])*1000,"#,##0")</f>
        <v>55,152</v>
      </c>
      <c r="X370" s="13" t="str">
        <f>TEXT(VALUE(Table1[[#This Row],[Content.Column14]])*1000,"#,##0")</f>
        <v>56,975</v>
      </c>
      <c r="Y370" s="14" t="str">
        <f>TEXT(VALUE(Table1[[#This Row],[Content.Column3]])*1000,"#,##0")</f>
        <v>48,189</v>
      </c>
      <c r="Z370" s="14" t="str">
        <f>TEXT(VALUE(Table1[[#This Row],[Content.Column4]])*1000,"#,##0")</f>
        <v>21,414</v>
      </c>
      <c r="AA370" s="14" t="str">
        <f>TEXT(VALUE(Table1[[#This Row],[Content.Column5]])*1000,"#,##0")</f>
        <v>69,604</v>
      </c>
      <c r="AB370" s="14" t="str">
        <f>TEXT(VALUE(Table1[[#This Row],[Content.Column6]])*1000,"#,##0")</f>
        <v>71,435</v>
      </c>
    </row>
    <row r="371" spans="1:28" x14ac:dyDescent="0.3">
      <c r="A371" t="s">
        <v>88</v>
      </c>
      <c r="B371" t="s">
        <v>89</v>
      </c>
      <c r="C371" s="6">
        <v>80.828999999999994</v>
      </c>
      <c r="D371" s="1">
        <v>36.156999999999996</v>
      </c>
      <c r="E371" s="1">
        <v>116.986</v>
      </c>
      <c r="F371" s="1">
        <v>119.575</v>
      </c>
      <c r="G371" s="2">
        <v>17.736999999999998</v>
      </c>
      <c r="H371" s="2">
        <v>7.3689999999999998</v>
      </c>
      <c r="I371" s="2">
        <v>25.105</v>
      </c>
      <c r="J371" s="2">
        <v>25.114999999999998</v>
      </c>
      <c r="K371" s="3">
        <v>63.093000000000004</v>
      </c>
      <c r="L371" s="3">
        <v>28.788</v>
      </c>
      <c r="M371" s="3">
        <v>91.881</v>
      </c>
      <c r="N371" s="3">
        <v>94.46</v>
      </c>
      <c r="O371">
        <v>2016</v>
      </c>
      <c r="Q371" s="12" t="str">
        <f>TEXT(VALUE(Table1[[#This Row],[Content.Column7]])*1000,"#,##0")</f>
        <v>17,737</v>
      </c>
      <c r="R371" s="12" t="str">
        <f>TEXT(VALUE(Table1[[#This Row],[Content.Column8]])*1000,"#,##0")</f>
        <v>7,369</v>
      </c>
      <c r="S371" s="12" t="str">
        <f>TEXT(VALUE(Table1[[#This Row],[Content.Column9]])*1000,"#,##0")</f>
        <v>25,105</v>
      </c>
      <c r="T371" s="12" t="str">
        <f>TEXT(VALUE(Table1[[#This Row],[Content.Column10]])*1000,"#,##0")</f>
        <v>25,115</v>
      </c>
      <c r="U371" s="13" t="str">
        <f>TEXT(VALUE(Table1[[#This Row],[Content.Column11]])*1000,"#,##0")</f>
        <v>63,093</v>
      </c>
      <c r="V371" s="13" t="str">
        <f>TEXT(VALUE(Table1[[#This Row],[Content.Column12]])*1000,"#,##0")</f>
        <v>28,788</v>
      </c>
      <c r="W371" s="13" t="str">
        <f>TEXT(VALUE(Table1[[#This Row],[Content.Column13]])*1000,"#,##0")</f>
        <v>91,881</v>
      </c>
      <c r="X371" s="13" t="str">
        <f>TEXT(VALUE(Table1[[#This Row],[Content.Column14]])*1000,"#,##0")</f>
        <v>94,460</v>
      </c>
      <c r="Y371" s="14" t="str">
        <f>TEXT(VALUE(Table1[[#This Row],[Content.Column3]])*1000,"#,##0")</f>
        <v>80,829</v>
      </c>
      <c r="Z371" s="14" t="str">
        <f>TEXT(VALUE(Table1[[#This Row],[Content.Column4]])*1000,"#,##0")</f>
        <v>36,157</v>
      </c>
      <c r="AA371" s="14" t="str">
        <f>TEXT(VALUE(Table1[[#This Row],[Content.Column5]])*1000,"#,##0")</f>
        <v>116,986</v>
      </c>
      <c r="AB371" s="14" t="str">
        <f>TEXT(VALUE(Table1[[#This Row],[Content.Column6]])*1000,"#,##0")</f>
        <v>119,575</v>
      </c>
    </row>
    <row r="372" spans="1:28" x14ac:dyDescent="0.3">
      <c r="A372" t="s">
        <v>90</v>
      </c>
      <c r="B372" t="s">
        <v>91</v>
      </c>
      <c r="C372" s="6">
        <v>554.05200000000002</v>
      </c>
      <c r="D372" s="1">
        <v>146.94200000000001</v>
      </c>
      <c r="E372" s="1">
        <v>700.99400000000003</v>
      </c>
      <c r="F372" s="1">
        <v>723.91300000000001</v>
      </c>
      <c r="G372" s="2">
        <v>81.141999999999996</v>
      </c>
      <c r="H372" s="2">
        <v>10.973000000000001</v>
      </c>
      <c r="I372" s="2">
        <v>92.114999999999995</v>
      </c>
      <c r="J372" s="2">
        <v>92.536000000000001</v>
      </c>
      <c r="K372" s="3">
        <v>472.91</v>
      </c>
      <c r="L372" s="3">
        <v>135.96899999999999</v>
      </c>
      <c r="M372" s="3">
        <v>608.88</v>
      </c>
      <c r="N372" s="3">
        <v>631.37699999999995</v>
      </c>
      <c r="O372">
        <v>2016</v>
      </c>
      <c r="Q372" s="12" t="str">
        <f>TEXT(VALUE(Table1[[#This Row],[Content.Column7]])*1000,"#,##0")</f>
        <v>81,142</v>
      </c>
      <c r="R372" s="12" t="str">
        <f>TEXT(VALUE(Table1[[#This Row],[Content.Column8]])*1000,"#,##0")</f>
        <v>10,973</v>
      </c>
      <c r="S372" s="12" t="str">
        <f>TEXT(VALUE(Table1[[#This Row],[Content.Column9]])*1000,"#,##0")</f>
        <v>92,115</v>
      </c>
      <c r="T372" s="12" t="str">
        <f>TEXT(VALUE(Table1[[#This Row],[Content.Column10]])*1000,"#,##0")</f>
        <v>92,536</v>
      </c>
      <c r="U372" s="13" t="str">
        <f>TEXT(VALUE(Table1[[#This Row],[Content.Column11]])*1000,"#,##0")</f>
        <v>472,910</v>
      </c>
      <c r="V372" s="13" t="str">
        <f>TEXT(VALUE(Table1[[#This Row],[Content.Column12]])*1000,"#,##0")</f>
        <v>135,969</v>
      </c>
      <c r="W372" s="13" t="str">
        <f>TEXT(VALUE(Table1[[#This Row],[Content.Column13]])*1000,"#,##0")</f>
        <v>608,880</v>
      </c>
      <c r="X372" s="13" t="str">
        <f>TEXT(VALUE(Table1[[#This Row],[Content.Column14]])*1000,"#,##0")</f>
        <v>631,377</v>
      </c>
      <c r="Y372" s="14" t="str">
        <f>TEXT(VALUE(Table1[[#This Row],[Content.Column3]])*1000,"#,##0")</f>
        <v>554,052</v>
      </c>
      <c r="Z372" s="14" t="str">
        <f>TEXT(VALUE(Table1[[#This Row],[Content.Column4]])*1000,"#,##0")</f>
        <v>146,942</v>
      </c>
      <c r="AA372" s="14" t="str">
        <f>TEXT(VALUE(Table1[[#This Row],[Content.Column5]])*1000,"#,##0")</f>
        <v>700,994</v>
      </c>
      <c r="AB372" s="14" t="str">
        <f>TEXT(VALUE(Table1[[#This Row],[Content.Column6]])*1000,"#,##0")</f>
        <v>723,913</v>
      </c>
    </row>
    <row r="373" spans="1:28" x14ac:dyDescent="0.3">
      <c r="A373" t="s">
        <v>92</v>
      </c>
      <c r="B373" t="s">
        <v>93</v>
      </c>
      <c r="C373" s="6">
        <v>2434.2759999999998</v>
      </c>
      <c r="D373" s="1">
        <v>709.22799999999995</v>
      </c>
      <c r="E373" s="1">
        <v>3143.5030000000002</v>
      </c>
      <c r="F373" s="1">
        <v>3229.6619999999998</v>
      </c>
      <c r="G373" s="2">
        <v>339.75099999999998</v>
      </c>
      <c r="H373" s="2">
        <v>93.733999999999995</v>
      </c>
      <c r="I373" s="2">
        <v>433.48500000000001</v>
      </c>
      <c r="J373" s="2">
        <v>435.108</v>
      </c>
      <c r="K373" s="3">
        <v>2094.5250000000001</v>
      </c>
      <c r="L373" s="3">
        <v>615.49400000000003</v>
      </c>
      <c r="M373" s="3">
        <v>2710.018</v>
      </c>
      <c r="N373" s="3">
        <v>2794.5549999999998</v>
      </c>
      <c r="O373">
        <v>2016</v>
      </c>
      <c r="Q373" s="12" t="str">
        <f>TEXT(VALUE(Table1[[#This Row],[Content.Column7]])*1000,"#,##0")</f>
        <v>339,751</v>
      </c>
      <c r="R373" s="12" t="str">
        <f>TEXT(VALUE(Table1[[#This Row],[Content.Column8]])*1000,"#,##0")</f>
        <v>93,734</v>
      </c>
      <c r="S373" s="12" t="str">
        <f>TEXT(VALUE(Table1[[#This Row],[Content.Column9]])*1000,"#,##0")</f>
        <v>433,485</v>
      </c>
      <c r="T373" s="12" t="str">
        <f>TEXT(VALUE(Table1[[#This Row],[Content.Column10]])*1000,"#,##0")</f>
        <v>435,108</v>
      </c>
      <c r="U373" s="13" t="str">
        <f>TEXT(VALUE(Table1[[#This Row],[Content.Column11]])*1000,"#,##0")</f>
        <v>2,094,525</v>
      </c>
      <c r="V373" s="13" t="str">
        <f>TEXT(VALUE(Table1[[#This Row],[Content.Column12]])*1000,"#,##0")</f>
        <v>615,494</v>
      </c>
      <c r="W373" s="13" t="str">
        <f>TEXT(VALUE(Table1[[#This Row],[Content.Column13]])*1000,"#,##0")</f>
        <v>2,710,018</v>
      </c>
      <c r="X373" s="13" t="str">
        <f>TEXT(VALUE(Table1[[#This Row],[Content.Column14]])*1000,"#,##0")</f>
        <v>2,794,555</v>
      </c>
      <c r="Y373" s="14" t="str">
        <f>TEXT(VALUE(Table1[[#This Row],[Content.Column3]])*1000,"#,##0")</f>
        <v>2,434,276</v>
      </c>
      <c r="Z373" s="14" t="str">
        <f>TEXT(VALUE(Table1[[#This Row],[Content.Column4]])*1000,"#,##0")</f>
        <v>709,228</v>
      </c>
      <c r="AA373" s="14" t="str">
        <f>TEXT(VALUE(Table1[[#This Row],[Content.Column5]])*1000,"#,##0")</f>
        <v>3,143,503</v>
      </c>
      <c r="AB373" s="14" t="str">
        <f>TEXT(VALUE(Table1[[#This Row],[Content.Column6]])*1000,"#,##0")</f>
        <v>3,229,662</v>
      </c>
    </row>
    <row r="374" spans="1:28" x14ac:dyDescent="0.3">
      <c r="A374" t="s">
        <v>94</v>
      </c>
      <c r="B374" t="s">
        <v>95</v>
      </c>
      <c r="C374" s="6">
        <v>1280.943</v>
      </c>
      <c r="D374" s="1">
        <v>594.61400000000003</v>
      </c>
      <c r="E374" s="1">
        <v>1875.557</v>
      </c>
      <c r="F374" s="1">
        <v>1917.54</v>
      </c>
      <c r="G374" s="2">
        <v>194.36199999999999</v>
      </c>
      <c r="H374" s="2">
        <v>108.318</v>
      </c>
      <c r="I374" s="2">
        <v>302.68</v>
      </c>
      <c r="J374" s="2">
        <v>303.12900000000002</v>
      </c>
      <c r="K374" s="3">
        <v>1086.5809999999999</v>
      </c>
      <c r="L374" s="3">
        <v>486.29599999999999</v>
      </c>
      <c r="M374" s="3">
        <v>1572.8779999999999</v>
      </c>
      <c r="N374" s="3">
        <v>1614.4110000000001</v>
      </c>
      <c r="O374">
        <v>2016</v>
      </c>
      <c r="Q374" s="12" t="str">
        <f>TEXT(VALUE(Table1[[#This Row],[Content.Column7]])*1000,"#,##0")</f>
        <v>194,362</v>
      </c>
      <c r="R374" s="12" t="str">
        <f>TEXT(VALUE(Table1[[#This Row],[Content.Column8]])*1000,"#,##0")</f>
        <v>108,318</v>
      </c>
      <c r="S374" s="12" t="str">
        <f>TEXT(VALUE(Table1[[#This Row],[Content.Column9]])*1000,"#,##0")</f>
        <v>302,680</v>
      </c>
      <c r="T374" s="12" t="str">
        <f>TEXT(VALUE(Table1[[#This Row],[Content.Column10]])*1000,"#,##0")</f>
        <v>303,129</v>
      </c>
      <c r="U374" s="13" t="str">
        <f>TEXT(VALUE(Table1[[#This Row],[Content.Column11]])*1000,"#,##0")</f>
        <v>1,086,581</v>
      </c>
      <c r="V374" s="13" t="str">
        <f>TEXT(VALUE(Table1[[#This Row],[Content.Column12]])*1000,"#,##0")</f>
        <v>486,296</v>
      </c>
      <c r="W374" s="13" t="str">
        <f>TEXT(VALUE(Table1[[#This Row],[Content.Column13]])*1000,"#,##0")</f>
        <v>1,572,878</v>
      </c>
      <c r="X374" s="13" t="str">
        <f>TEXT(VALUE(Table1[[#This Row],[Content.Column14]])*1000,"#,##0")</f>
        <v>1,614,411</v>
      </c>
      <c r="Y374" s="14" t="str">
        <f>TEXT(VALUE(Table1[[#This Row],[Content.Column3]])*1000,"#,##0")</f>
        <v>1,280,943</v>
      </c>
      <c r="Z374" s="14" t="str">
        <f>TEXT(VALUE(Table1[[#This Row],[Content.Column4]])*1000,"#,##0")</f>
        <v>594,614</v>
      </c>
      <c r="AA374" s="14" t="str">
        <f>TEXT(VALUE(Table1[[#This Row],[Content.Column5]])*1000,"#,##0")</f>
        <v>1,875,557</v>
      </c>
      <c r="AB374" s="14" t="str">
        <f>TEXT(VALUE(Table1[[#This Row],[Content.Column6]])*1000,"#,##0")</f>
        <v>1,917,540</v>
      </c>
    </row>
    <row r="375" spans="1:28" x14ac:dyDescent="0.3">
      <c r="A375" t="s">
        <v>96</v>
      </c>
      <c r="B375" t="s">
        <v>97</v>
      </c>
      <c r="C375" s="6">
        <v>686.476</v>
      </c>
      <c r="D375" s="1">
        <v>350.37200000000001</v>
      </c>
      <c r="E375" s="1">
        <v>1036.848</v>
      </c>
      <c r="F375" s="1">
        <v>1072.4280000000001</v>
      </c>
      <c r="G375" s="2">
        <v>143.84800000000001</v>
      </c>
      <c r="H375" s="2">
        <v>84.257000000000005</v>
      </c>
      <c r="I375" s="2">
        <v>228.10499999999999</v>
      </c>
      <c r="J375" s="2">
        <v>228.57400000000001</v>
      </c>
      <c r="K375" s="3">
        <v>542.62800000000004</v>
      </c>
      <c r="L375" s="3">
        <v>266.11500000000001</v>
      </c>
      <c r="M375" s="3">
        <v>808.74300000000005</v>
      </c>
      <c r="N375" s="3">
        <v>843.85299999999995</v>
      </c>
      <c r="O375">
        <v>2016</v>
      </c>
      <c r="Q375" s="12" t="str">
        <f>TEXT(VALUE(Table1[[#This Row],[Content.Column7]])*1000,"#,##0")</f>
        <v>143,848</v>
      </c>
      <c r="R375" s="12" t="str">
        <f>TEXT(VALUE(Table1[[#This Row],[Content.Column8]])*1000,"#,##0")</f>
        <v>84,257</v>
      </c>
      <c r="S375" s="12" t="str">
        <f>TEXT(VALUE(Table1[[#This Row],[Content.Column9]])*1000,"#,##0")</f>
        <v>228,105</v>
      </c>
      <c r="T375" s="12" t="str">
        <f>TEXT(VALUE(Table1[[#This Row],[Content.Column10]])*1000,"#,##0")</f>
        <v>228,574</v>
      </c>
      <c r="U375" s="13" t="str">
        <f>TEXT(VALUE(Table1[[#This Row],[Content.Column11]])*1000,"#,##0")</f>
        <v>542,628</v>
      </c>
      <c r="V375" s="13" t="str">
        <f>TEXT(VALUE(Table1[[#This Row],[Content.Column12]])*1000,"#,##0")</f>
        <v>266,115</v>
      </c>
      <c r="W375" s="13" t="str">
        <f>TEXT(VALUE(Table1[[#This Row],[Content.Column13]])*1000,"#,##0")</f>
        <v>808,743</v>
      </c>
      <c r="X375" s="13" t="str">
        <f>TEXT(VALUE(Table1[[#This Row],[Content.Column14]])*1000,"#,##0")</f>
        <v>843,853</v>
      </c>
      <c r="Y375" s="14" t="str">
        <f>TEXT(VALUE(Table1[[#This Row],[Content.Column3]])*1000,"#,##0")</f>
        <v>686,476</v>
      </c>
      <c r="Z375" s="14" t="str">
        <f>TEXT(VALUE(Table1[[#This Row],[Content.Column4]])*1000,"#,##0")</f>
        <v>350,372</v>
      </c>
      <c r="AA375" s="14" t="str">
        <f>TEXT(VALUE(Table1[[#This Row],[Content.Column5]])*1000,"#,##0")</f>
        <v>1,036,848</v>
      </c>
      <c r="AB375" s="14" t="str">
        <f>TEXT(VALUE(Table1[[#This Row],[Content.Column6]])*1000,"#,##0")</f>
        <v>1,072,428</v>
      </c>
    </row>
    <row r="376" spans="1:28" x14ac:dyDescent="0.3">
      <c r="A376" t="s">
        <v>98</v>
      </c>
      <c r="B376" t="s">
        <v>99</v>
      </c>
      <c r="C376" s="6">
        <v>2179.4569999999999</v>
      </c>
      <c r="D376" s="1">
        <v>1066.742</v>
      </c>
      <c r="E376" s="1">
        <v>3246.201</v>
      </c>
      <c r="F376" s="1">
        <v>3343.9769999999999</v>
      </c>
      <c r="G376" s="2">
        <v>378.91199999999998</v>
      </c>
      <c r="H376" s="2">
        <v>225.875</v>
      </c>
      <c r="I376" s="2">
        <v>604.78700000000003</v>
      </c>
      <c r="J376" s="2">
        <v>605.91899999999998</v>
      </c>
      <c r="K376" s="3">
        <v>1800.5450000000001</v>
      </c>
      <c r="L376" s="3">
        <v>840.86699999999996</v>
      </c>
      <c r="M376" s="3">
        <v>2641.4140000000002</v>
      </c>
      <c r="N376" s="3">
        <v>2738.058</v>
      </c>
      <c r="O376">
        <v>2016</v>
      </c>
      <c r="Q376" s="12" t="str">
        <f>TEXT(VALUE(Table1[[#This Row],[Content.Column7]])*1000,"#,##0")</f>
        <v>378,912</v>
      </c>
      <c r="R376" s="12" t="str">
        <f>TEXT(VALUE(Table1[[#This Row],[Content.Column8]])*1000,"#,##0")</f>
        <v>225,875</v>
      </c>
      <c r="S376" s="12" t="str">
        <f>TEXT(VALUE(Table1[[#This Row],[Content.Column9]])*1000,"#,##0")</f>
        <v>604,787</v>
      </c>
      <c r="T376" s="12" t="str">
        <f>TEXT(VALUE(Table1[[#This Row],[Content.Column10]])*1000,"#,##0")</f>
        <v>605,919</v>
      </c>
      <c r="U376" s="13" t="str">
        <f>TEXT(VALUE(Table1[[#This Row],[Content.Column11]])*1000,"#,##0")</f>
        <v>1,800,545</v>
      </c>
      <c r="V376" s="13" t="str">
        <f>TEXT(VALUE(Table1[[#This Row],[Content.Column12]])*1000,"#,##0")</f>
        <v>840,867</v>
      </c>
      <c r="W376" s="13" t="str">
        <f>TEXT(VALUE(Table1[[#This Row],[Content.Column13]])*1000,"#,##0")</f>
        <v>2,641,414</v>
      </c>
      <c r="X376" s="13" t="str">
        <f>TEXT(VALUE(Table1[[#This Row],[Content.Column14]])*1000,"#,##0")</f>
        <v>2,738,058</v>
      </c>
      <c r="Y376" s="14" t="str">
        <f>TEXT(VALUE(Table1[[#This Row],[Content.Column3]])*1000,"#,##0")</f>
        <v>2,179,457</v>
      </c>
      <c r="Z376" s="14" t="str">
        <f>TEXT(VALUE(Table1[[#This Row],[Content.Column4]])*1000,"#,##0")</f>
        <v>1,066,742</v>
      </c>
      <c r="AA376" s="14" t="str">
        <f>TEXT(VALUE(Table1[[#This Row],[Content.Column5]])*1000,"#,##0")</f>
        <v>3,246,201</v>
      </c>
      <c r="AB376" s="14" t="str">
        <f>TEXT(VALUE(Table1[[#This Row],[Content.Column6]])*1000,"#,##0")</f>
        <v>3,343,977</v>
      </c>
    </row>
    <row r="377" spans="1:28" x14ac:dyDescent="0.3">
      <c r="A377" t="s">
        <v>100</v>
      </c>
      <c r="B377" t="s">
        <v>101</v>
      </c>
      <c r="C377" s="6">
        <v>1556.6849999999999</v>
      </c>
      <c r="D377" s="1">
        <v>783.45699999999999</v>
      </c>
      <c r="E377" s="1">
        <v>2340.143</v>
      </c>
      <c r="F377" s="1">
        <v>2419.1289999999999</v>
      </c>
      <c r="G377" s="2">
        <v>271.78100000000001</v>
      </c>
      <c r="H377" s="2">
        <v>174.39699999999999</v>
      </c>
      <c r="I377" s="2">
        <v>446.178</v>
      </c>
      <c r="J377" s="2">
        <v>447.13600000000002</v>
      </c>
      <c r="K377" s="3">
        <v>1284.904</v>
      </c>
      <c r="L377" s="3">
        <v>609.05999999999995</v>
      </c>
      <c r="M377" s="3">
        <v>1893.9649999999999</v>
      </c>
      <c r="N377" s="3">
        <v>1971.9929999999999</v>
      </c>
      <c r="O377">
        <v>2016</v>
      </c>
      <c r="Q377" s="12" t="str">
        <f>TEXT(VALUE(Table1[[#This Row],[Content.Column7]])*1000,"#,##0")</f>
        <v>271,781</v>
      </c>
      <c r="R377" s="12" t="str">
        <f>TEXT(VALUE(Table1[[#This Row],[Content.Column8]])*1000,"#,##0")</f>
        <v>174,397</v>
      </c>
      <c r="S377" s="12" t="str">
        <f>TEXT(VALUE(Table1[[#This Row],[Content.Column9]])*1000,"#,##0")</f>
        <v>446,178</v>
      </c>
      <c r="T377" s="12" t="str">
        <f>TEXT(VALUE(Table1[[#This Row],[Content.Column10]])*1000,"#,##0")</f>
        <v>447,136</v>
      </c>
      <c r="U377" s="13" t="str">
        <f>TEXT(VALUE(Table1[[#This Row],[Content.Column11]])*1000,"#,##0")</f>
        <v>1,284,904</v>
      </c>
      <c r="V377" s="13" t="str">
        <f>TEXT(VALUE(Table1[[#This Row],[Content.Column12]])*1000,"#,##0")</f>
        <v>609,060</v>
      </c>
      <c r="W377" s="13" t="str">
        <f>TEXT(VALUE(Table1[[#This Row],[Content.Column13]])*1000,"#,##0")</f>
        <v>1,893,965</v>
      </c>
      <c r="X377" s="13" t="str">
        <f>TEXT(VALUE(Table1[[#This Row],[Content.Column14]])*1000,"#,##0")</f>
        <v>1,971,993</v>
      </c>
      <c r="Y377" s="14" t="str">
        <f>TEXT(VALUE(Table1[[#This Row],[Content.Column3]])*1000,"#,##0")</f>
        <v>1,556,685</v>
      </c>
      <c r="Z377" s="14" t="str">
        <f>TEXT(VALUE(Table1[[#This Row],[Content.Column4]])*1000,"#,##0")</f>
        <v>783,457</v>
      </c>
      <c r="AA377" s="14" t="str">
        <f>TEXT(VALUE(Table1[[#This Row],[Content.Column5]])*1000,"#,##0")</f>
        <v>2,340,143</v>
      </c>
      <c r="AB377" s="14" t="str">
        <f>TEXT(VALUE(Table1[[#This Row],[Content.Column6]])*1000,"#,##0")</f>
        <v>2,419,129</v>
      </c>
    </row>
    <row r="378" spans="1:28" x14ac:dyDescent="0.3">
      <c r="A378" t="s">
        <v>102</v>
      </c>
      <c r="B378" t="s">
        <v>103</v>
      </c>
      <c r="C378" s="6">
        <v>1389.8979999999999</v>
      </c>
      <c r="D378" s="1">
        <v>671.83199999999999</v>
      </c>
      <c r="E378" s="1">
        <v>2061.7310000000002</v>
      </c>
      <c r="F378" s="1">
        <v>2133.2849999999999</v>
      </c>
      <c r="G378" s="2">
        <v>192.68600000000001</v>
      </c>
      <c r="H378" s="2">
        <v>138.31200000000001</v>
      </c>
      <c r="I378" s="2">
        <v>330.99799999999999</v>
      </c>
      <c r="J378" s="2">
        <v>332.10700000000003</v>
      </c>
      <c r="K378" s="3">
        <v>1197.212</v>
      </c>
      <c r="L378" s="3">
        <v>533.52</v>
      </c>
      <c r="M378" s="3">
        <v>1730.7329999999999</v>
      </c>
      <c r="N378" s="3">
        <v>1801.1780000000001</v>
      </c>
      <c r="O378">
        <v>2016</v>
      </c>
      <c r="Q378" s="12" t="str">
        <f>TEXT(VALUE(Table1[[#This Row],[Content.Column7]])*1000,"#,##0")</f>
        <v>192,686</v>
      </c>
      <c r="R378" s="12" t="str">
        <f>TEXT(VALUE(Table1[[#This Row],[Content.Column8]])*1000,"#,##0")</f>
        <v>138,312</v>
      </c>
      <c r="S378" s="12" t="str">
        <f>TEXT(VALUE(Table1[[#This Row],[Content.Column9]])*1000,"#,##0")</f>
        <v>330,998</v>
      </c>
      <c r="T378" s="12" t="str">
        <f>TEXT(VALUE(Table1[[#This Row],[Content.Column10]])*1000,"#,##0")</f>
        <v>332,107</v>
      </c>
      <c r="U378" s="13" t="str">
        <f>TEXT(VALUE(Table1[[#This Row],[Content.Column11]])*1000,"#,##0")</f>
        <v>1,197,212</v>
      </c>
      <c r="V378" s="13" t="str">
        <f>TEXT(VALUE(Table1[[#This Row],[Content.Column12]])*1000,"#,##0")</f>
        <v>533,520</v>
      </c>
      <c r="W378" s="13" t="str">
        <f>TEXT(VALUE(Table1[[#This Row],[Content.Column13]])*1000,"#,##0")</f>
        <v>1,730,733</v>
      </c>
      <c r="X378" s="13" t="str">
        <f>TEXT(VALUE(Table1[[#This Row],[Content.Column14]])*1000,"#,##0")</f>
        <v>1,801,178</v>
      </c>
      <c r="Y378" s="14" t="str">
        <f>TEXT(VALUE(Table1[[#This Row],[Content.Column3]])*1000,"#,##0")</f>
        <v>1,389,898</v>
      </c>
      <c r="Z378" s="14" t="str">
        <f>TEXT(VALUE(Table1[[#This Row],[Content.Column4]])*1000,"#,##0")</f>
        <v>671,832</v>
      </c>
      <c r="AA378" s="14" t="str">
        <f>TEXT(VALUE(Table1[[#This Row],[Content.Column5]])*1000,"#,##0")</f>
        <v>2,061,731</v>
      </c>
      <c r="AB378" s="14" t="str">
        <f>TEXT(VALUE(Table1[[#This Row],[Content.Column6]])*1000,"#,##0")</f>
        <v>2,133,285</v>
      </c>
    </row>
    <row r="379" spans="1:28" x14ac:dyDescent="0.3">
      <c r="A379" t="s">
        <v>104</v>
      </c>
      <c r="B379" t="s">
        <v>105</v>
      </c>
      <c r="C379" s="6">
        <v>1706.356</v>
      </c>
      <c r="D379" s="1">
        <v>799.02</v>
      </c>
      <c r="E379" s="1">
        <v>2505.375</v>
      </c>
      <c r="F379" s="1">
        <v>2586.2730000000001</v>
      </c>
      <c r="G379" s="2">
        <v>265.39699999999999</v>
      </c>
      <c r="H379" s="2">
        <v>168.41499999999999</v>
      </c>
      <c r="I379" s="2">
        <v>433.81200000000001</v>
      </c>
      <c r="J379" s="2">
        <v>434.29700000000003</v>
      </c>
      <c r="K379" s="3">
        <v>1440.9590000000001</v>
      </c>
      <c r="L379" s="3">
        <v>630.60500000000002</v>
      </c>
      <c r="M379" s="3">
        <v>2071.5630000000001</v>
      </c>
      <c r="N379" s="3">
        <v>2151.9760000000001</v>
      </c>
      <c r="O379">
        <v>2016</v>
      </c>
      <c r="Q379" s="12" t="str">
        <f>TEXT(VALUE(Table1[[#This Row],[Content.Column7]])*1000,"#,##0")</f>
        <v>265,397</v>
      </c>
      <c r="R379" s="12" t="str">
        <f>TEXT(VALUE(Table1[[#This Row],[Content.Column8]])*1000,"#,##0")</f>
        <v>168,415</v>
      </c>
      <c r="S379" s="12" t="str">
        <f>TEXT(VALUE(Table1[[#This Row],[Content.Column9]])*1000,"#,##0")</f>
        <v>433,812</v>
      </c>
      <c r="T379" s="12" t="str">
        <f>TEXT(VALUE(Table1[[#This Row],[Content.Column10]])*1000,"#,##0")</f>
        <v>434,297</v>
      </c>
      <c r="U379" s="13" t="str">
        <f>TEXT(VALUE(Table1[[#This Row],[Content.Column11]])*1000,"#,##0")</f>
        <v>1,440,959</v>
      </c>
      <c r="V379" s="13" t="str">
        <f>TEXT(VALUE(Table1[[#This Row],[Content.Column12]])*1000,"#,##0")</f>
        <v>630,605</v>
      </c>
      <c r="W379" s="13" t="str">
        <f>TEXT(VALUE(Table1[[#This Row],[Content.Column13]])*1000,"#,##0")</f>
        <v>2,071,563</v>
      </c>
      <c r="X379" s="13" t="str">
        <f>TEXT(VALUE(Table1[[#This Row],[Content.Column14]])*1000,"#,##0")</f>
        <v>2,151,976</v>
      </c>
      <c r="Y379" s="14" t="str">
        <f>TEXT(VALUE(Table1[[#This Row],[Content.Column3]])*1000,"#,##0")</f>
        <v>1,706,356</v>
      </c>
      <c r="Z379" s="14" t="str">
        <f>TEXT(VALUE(Table1[[#This Row],[Content.Column4]])*1000,"#,##0")</f>
        <v>799,020</v>
      </c>
      <c r="AA379" s="14" t="str">
        <f>TEXT(VALUE(Table1[[#This Row],[Content.Column5]])*1000,"#,##0")</f>
        <v>2,505,375</v>
      </c>
      <c r="AB379" s="14" t="str">
        <f>TEXT(VALUE(Table1[[#This Row],[Content.Column6]])*1000,"#,##0")</f>
        <v>2,586,273</v>
      </c>
    </row>
    <row r="380" spans="1:28" x14ac:dyDescent="0.3">
      <c r="A380" t="s">
        <v>106</v>
      </c>
      <c r="B380" t="s">
        <v>107</v>
      </c>
      <c r="C380" s="6">
        <v>1770.104</v>
      </c>
      <c r="D380" s="1">
        <v>931.25800000000004</v>
      </c>
      <c r="E380" s="1">
        <v>2701.3609999999999</v>
      </c>
      <c r="F380" s="1">
        <v>2801.3580000000002</v>
      </c>
      <c r="G380" s="2">
        <v>233.72200000000001</v>
      </c>
      <c r="H380" s="2">
        <v>190.298</v>
      </c>
      <c r="I380" s="2">
        <v>424.02</v>
      </c>
      <c r="J380" s="2">
        <v>424.82100000000003</v>
      </c>
      <c r="K380" s="3">
        <v>1536.3820000000001</v>
      </c>
      <c r="L380" s="3">
        <v>740.96</v>
      </c>
      <c r="M380" s="3">
        <v>2277.3409999999999</v>
      </c>
      <c r="N380" s="3">
        <v>2376.5369999999998</v>
      </c>
      <c r="O380">
        <v>2016</v>
      </c>
      <c r="Q380" s="12" t="str">
        <f>TEXT(VALUE(Table1[[#This Row],[Content.Column7]])*1000,"#,##0")</f>
        <v>233,722</v>
      </c>
      <c r="R380" s="12" t="str">
        <f>TEXT(VALUE(Table1[[#This Row],[Content.Column8]])*1000,"#,##0")</f>
        <v>190,298</v>
      </c>
      <c r="S380" s="12" t="str">
        <f>TEXT(VALUE(Table1[[#This Row],[Content.Column9]])*1000,"#,##0")</f>
        <v>424,020</v>
      </c>
      <c r="T380" s="12" t="str">
        <f>TEXT(VALUE(Table1[[#This Row],[Content.Column10]])*1000,"#,##0")</f>
        <v>424,821</v>
      </c>
      <c r="U380" s="13" t="str">
        <f>TEXT(VALUE(Table1[[#This Row],[Content.Column11]])*1000,"#,##0")</f>
        <v>1,536,382</v>
      </c>
      <c r="V380" s="13" t="str">
        <f>TEXT(VALUE(Table1[[#This Row],[Content.Column12]])*1000,"#,##0")</f>
        <v>740,960</v>
      </c>
      <c r="W380" s="13" t="str">
        <f>TEXT(VALUE(Table1[[#This Row],[Content.Column13]])*1000,"#,##0")</f>
        <v>2,277,341</v>
      </c>
      <c r="X380" s="13" t="str">
        <f>TEXT(VALUE(Table1[[#This Row],[Content.Column14]])*1000,"#,##0")</f>
        <v>2,376,537</v>
      </c>
      <c r="Y380" s="14" t="str">
        <f>TEXT(VALUE(Table1[[#This Row],[Content.Column3]])*1000,"#,##0")</f>
        <v>1,770,104</v>
      </c>
      <c r="Z380" s="14" t="str">
        <f>TEXT(VALUE(Table1[[#This Row],[Content.Column4]])*1000,"#,##0")</f>
        <v>931,258</v>
      </c>
      <c r="AA380" s="14" t="str">
        <f>TEXT(VALUE(Table1[[#This Row],[Content.Column5]])*1000,"#,##0")</f>
        <v>2,701,361</v>
      </c>
      <c r="AB380" s="14" t="str">
        <f>TEXT(VALUE(Table1[[#This Row],[Content.Column6]])*1000,"#,##0")</f>
        <v>2,801,358</v>
      </c>
    </row>
    <row r="381" spans="1:28" x14ac:dyDescent="0.3">
      <c r="A381" t="s">
        <v>108</v>
      </c>
      <c r="B381" t="s">
        <v>109</v>
      </c>
      <c r="C381" s="6">
        <v>3715.2179999999998</v>
      </c>
      <c r="D381" s="1">
        <v>1303.8420000000001</v>
      </c>
      <c r="E381" s="1">
        <v>5019.0600000000004</v>
      </c>
      <c r="F381" s="1">
        <v>5147.2020000000002</v>
      </c>
      <c r="G381" s="2">
        <v>534.11300000000006</v>
      </c>
      <c r="H381" s="2">
        <v>202.05199999999999</v>
      </c>
      <c r="I381" s="2">
        <v>736.16399999999999</v>
      </c>
      <c r="J381" s="2">
        <v>738.23599999999999</v>
      </c>
      <c r="K381" s="3">
        <v>3181.105</v>
      </c>
      <c r="L381" s="3">
        <v>1101.79</v>
      </c>
      <c r="M381" s="3">
        <v>4282.8950000000004</v>
      </c>
      <c r="N381" s="3">
        <v>4408.9660000000003</v>
      </c>
      <c r="O381">
        <v>2016</v>
      </c>
      <c r="Q381" s="12" t="str">
        <f>TEXT(VALUE(Table1[[#This Row],[Content.Column7]])*1000,"#,##0")</f>
        <v>534,113</v>
      </c>
      <c r="R381" s="12" t="str">
        <f>TEXT(VALUE(Table1[[#This Row],[Content.Column8]])*1000,"#,##0")</f>
        <v>202,052</v>
      </c>
      <c r="S381" s="12" t="str">
        <f>TEXT(VALUE(Table1[[#This Row],[Content.Column9]])*1000,"#,##0")</f>
        <v>736,164</v>
      </c>
      <c r="T381" s="12" t="str">
        <f>TEXT(VALUE(Table1[[#This Row],[Content.Column10]])*1000,"#,##0")</f>
        <v>738,236</v>
      </c>
      <c r="U381" s="13" t="str">
        <f>TEXT(VALUE(Table1[[#This Row],[Content.Column11]])*1000,"#,##0")</f>
        <v>3,181,105</v>
      </c>
      <c r="V381" s="13" t="str">
        <f>TEXT(VALUE(Table1[[#This Row],[Content.Column12]])*1000,"#,##0")</f>
        <v>1,101,790</v>
      </c>
      <c r="W381" s="13" t="str">
        <f>TEXT(VALUE(Table1[[#This Row],[Content.Column13]])*1000,"#,##0")</f>
        <v>4,282,895</v>
      </c>
      <c r="X381" s="13" t="str">
        <f>TEXT(VALUE(Table1[[#This Row],[Content.Column14]])*1000,"#,##0")</f>
        <v>4,408,966</v>
      </c>
      <c r="Y381" s="14" t="str">
        <f>TEXT(VALUE(Table1[[#This Row],[Content.Column3]])*1000,"#,##0")</f>
        <v>3,715,218</v>
      </c>
      <c r="Z381" s="14" t="str">
        <f>TEXT(VALUE(Table1[[#This Row],[Content.Column4]])*1000,"#,##0")</f>
        <v>1,303,842</v>
      </c>
      <c r="AA381" s="14" t="str">
        <f>TEXT(VALUE(Table1[[#This Row],[Content.Column5]])*1000,"#,##0")</f>
        <v>5,019,060</v>
      </c>
      <c r="AB381" s="14" t="str">
        <f>TEXT(VALUE(Table1[[#This Row],[Content.Column6]])*1000,"#,##0")</f>
        <v>5,147,202</v>
      </c>
    </row>
    <row r="382" spans="1:28" x14ac:dyDescent="0.3">
      <c r="A382" t="s">
        <v>110</v>
      </c>
      <c r="B382" t="s">
        <v>111</v>
      </c>
      <c r="C382" s="6">
        <v>2799.6469999999999</v>
      </c>
      <c r="D382" s="1">
        <v>1347.511</v>
      </c>
      <c r="E382" s="1">
        <v>4147.1559999999999</v>
      </c>
      <c r="F382" s="1">
        <v>4277.9830000000002</v>
      </c>
      <c r="G382" s="2">
        <v>355.31299999999999</v>
      </c>
      <c r="H382" s="2">
        <v>239.898</v>
      </c>
      <c r="I382" s="2">
        <v>595.21100000000001</v>
      </c>
      <c r="J382" s="2">
        <v>596.81299999999999</v>
      </c>
      <c r="K382" s="3">
        <v>2444.3339999999998</v>
      </c>
      <c r="L382" s="3">
        <v>1107.6130000000001</v>
      </c>
      <c r="M382" s="3">
        <v>3551.9450000000002</v>
      </c>
      <c r="N382" s="3">
        <v>3681.17</v>
      </c>
      <c r="O382">
        <v>2016</v>
      </c>
      <c r="Q382" s="12" t="str">
        <f>TEXT(VALUE(Table1[[#This Row],[Content.Column7]])*1000,"#,##0")</f>
        <v>355,313</v>
      </c>
      <c r="R382" s="12" t="str">
        <f>TEXT(VALUE(Table1[[#This Row],[Content.Column8]])*1000,"#,##0")</f>
        <v>239,898</v>
      </c>
      <c r="S382" s="12" t="str">
        <f>TEXT(VALUE(Table1[[#This Row],[Content.Column9]])*1000,"#,##0")</f>
        <v>595,211</v>
      </c>
      <c r="T382" s="12" t="str">
        <f>TEXT(VALUE(Table1[[#This Row],[Content.Column10]])*1000,"#,##0")</f>
        <v>596,813</v>
      </c>
      <c r="U382" s="13" t="str">
        <f>TEXT(VALUE(Table1[[#This Row],[Content.Column11]])*1000,"#,##0")</f>
        <v>2,444,334</v>
      </c>
      <c r="V382" s="13" t="str">
        <f>TEXT(VALUE(Table1[[#This Row],[Content.Column12]])*1000,"#,##0")</f>
        <v>1,107,613</v>
      </c>
      <c r="W382" s="13" t="str">
        <f>TEXT(VALUE(Table1[[#This Row],[Content.Column13]])*1000,"#,##0")</f>
        <v>3,551,945</v>
      </c>
      <c r="X382" s="13" t="str">
        <f>TEXT(VALUE(Table1[[#This Row],[Content.Column14]])*1000,"#,##0")</f>
        <v>3,681,170</v>
      </c>
      <c r="Y382" s="14" t="str">
        <f>TEXT(VALUE(Table1[[#This Row],[Content.Column3]])*1000,"#,##0")</f>
        <v>2,799,647</v>
      </c>
      <c r="Z382" s="14" t="str">
        <f>TEXT(VALUE(Table1[[#This Row],[Content.Column4]])*1000,"#,##0")</f>
        <v>1,347,511</v>
      </c>
      <c r="AA382" s="14" t="str">
        <f>TEXT(VALUE(Table1[[#This Row],[Content.Column5]])*1000,"#,##0")</f>
        <v>4,147,156</v>
      </c>
      <c r="AB382" s="14" t="str">
        <f>TEXT(VALUE(Table1[[#This Row],[Content.Column6]])*1000,"#,##0")</f>
        <v>4,277,983</v>
      </c>
    </row>
    <row r="383" spans="1:28" x14ac:dyDescent="0.3">
      <c r="A383" t="s">
        <v>112</v>
      </c>
      <c r="B383" t="s">
        <v>113</v>
      </c>
      <c r="C383" s="6">
        <v>1571.9690000000001</v>
      </c>
      <c r="D383" s="1">
        <v>847.58199999999999</v>
      </c>
      <c r="E383" s="1">
        <v>2419.5500000000002</v>
      </c>
      <c r="F383" s="1">
        <v>2548.7469999999998</v>
      </c>
      <c r="G383" s="2">
        <v>233.84200000000001</v>
      </c>
      <c r="H383" s="2">
        <v>165.447</v>
      </c>
      <c r="I383" s="2">
        <v>399.28899999999999</v>
      </c>
      <c r="J383" s="2">
        <v>400.60500000000002</v>
      </c>
      <c r="K383" s="3">
        <v>1338.127</v>
      </c>
      <c r="L383" s="3">
        <v>682.13499999999999</v>
      </c>
      <c r="M383" s="3">
        <v>2020.261</v>
      </c>
      <c r="N383" s="3">
        <v>2148.1419999999998</v>
      </c>
      <c r="O383">
        <v>2016</v>
      </c>
      <c r="Q383" s="12" t="str">
        <f>TEXT(VALUE(Table1[[#This Row],[Content.Column7]])*1000,"#,##0")</f>
        <v>233,842</v>
      </c>
      <c r="R383" s="12" t="str">
        <f>TEXT(VALUE(Table1[[#This Row],[Content.Column8]])*1000,"#,##0")</f>
        <v>165,447</v>
      </c>
      <c r="S383" s="12" t="str">
        <f>TEXT(VALUE(Table1[[#This Row],[Content.Column9]])*1000,"#,##0")</f>
        <v>399,289</v>
      </c>
      <c r="T383" s="12" t="str">
        <f>TEXT(VALUE(Table1[[#This Row],[Content.Column10]])*1000,"#,##0")</f>
        <v>400,605</v>
      </c>
      <c r="U383" s="13" t="str">
        <f>TEXT(VALUE(Table1[[#This Row],[Content.Column11]])*1000,"#,##0")</f>
        <v>1,338,127</v>
      </c>
      <c r="V383" s="13" t="str">
        <f>TEXT(VALUE(Table1[[#This Row],[Content.Column12]])*1000,"#,##0")</f>
        <v>682,135</v>
      </c>
      <c r="W383" s="13" t="str">
        <f>TEXT(VALUE(Table1[[#This Row],[Content.Column13]])*1000,"#,##0")</f>
        <v>2,020,261</v>
      </c>
      <c r="X383" s="13" t="str">
        <f>TEXT(VALUE(Table1[[#This Row],[Content.Column14]])*1000,"#,##0")</f>
        <v>2,148,142</v>
      </c>
      <c r="Y383" s="14" t="str">
        <f>TEXT(VALUE(Table1[[#This Row],[Content.Column3]])*1000,"#,##0")</f>
        <v>1,571,969</v>
      </c>
      <c r="Z383" s="14" t="str">
        <f>TEXT(VALUE(Table1[[#This Row],[Content.Column4]])*1000,"#,##0")</f>
        <v>847,582</v>
      </c>
      <c r="AA383" s="14" t="str">
        <f>TEXT(VALUE(Table1[[#This Row],[Content.Column5]])*1000,"#,##0")</f>
        <v>2,419,550</v>
      </c>
      <c r="AB383" s="14" t="str">
        <f>TEXT(VALUE(Table1[[#This Row],[Content.Column6]])*1000,"#,##0")</f>
        <v>2,548,747</v>
      </c>
    </row>
    <row r="384" spans="1:28" x14ac:dyDescent="0.3">
      <c r="A384" t="s">
        <v>114</v>
      </c>
      <c r="B384" t="s">
        <v>115</v>
      </c>
      <c r="C384" s="6">
        <v>812.40700000000004</v>
      </c>
      <c r="D384" s="1">
        <v>443.154</v>
      </c>
      <c r="E384" s="1">
        <v>1255.56</v>
      </c>
      <c r="F384" s="1">
        <v>1333.501</v>
      </c>
      <c r="G384" s="2">
        <v>179.809</v>
      </c>
      <c r="H384" s="2">
        <v>119.215</v>
      </c>
      <c r="I384" s="2">
        <v>299.024</v>
      </c>
      <c r="J384" s="2">
        <v>299.06900000000002</v>
      </c>
      <c r="K384" s="3">
        <v>632.59799999999996</v>
      </c>
      <c r="L384" s="3">
        <v>323.93799999999999</v>
      </c>
      <c r="M384" s="3">
        <v>956.53599999999994</v>
      </c>
      <c r="N384" s="3">
        <v>1034.431</v>
      </c>
      <c r="O384">
        <v>2016</v>
      </c>
      <c r="Q384" s="12" t="str">
        <f>TEXT(VALUE(Table1[[#This Row],[Content.Column7]])*1000,"#,##0")</f>
        <v>179,809</v>
      </c>
      <c r="R384" s="12" t="str">
        <f>TEXT(VALUE(Table1[[#This Row],[Content.Column8]])*1000,"#,##0")</f>
        <v>119,215</v>
      </c>
      <c r="S384" s="12" t="str">
        <f>TEXT(VALUE(Table1[[#This Row],[Content.Column9]])*1000,"#,##0")</f>
        <v>299,024</v>
      </c>
      <c r="T384" s="12" t="str">
        <f>TEXT(VALUE(Table1[[#This Row],[Content.Column10]])*1000,"#,##0")</f>
        <v>299,069</v>
      </c>
      <c r="U384" s="13" t="str">
        <f>TEXT(VALUE(Table1[[#This Row],[Content.Column11]])*1000,"#,##0")</f>
        <v>632,598</v>
      </c>
      <c r="V384" s="13" t="str">
        <f>TEXT(VALUE(Table1[[#This Row],[Content.Column12]])*1000,"#,##0")</f>
        <v>323,938</v>
      </c>
      <c r="W384" s="13" t="str">
        <f>TEXT(VALUE(Table1[[#This Row],[Content.Column13]])*1000,"#,##0")</f>
        <v>956,536</v>
      </c>
      <c r="X384" s="13" t="str">
        <f>TEXT(VALUE(Table1[[#This Row],[Content.Column14]])*1000,"#,##0")</f>
        <v>1,034,431</v>
      </c>
      <c r="Y384" s="14" t="str">
        <f>TEXT(VALUE(Table1[[#This Row],[Content.Column3]])*1000,"#,##0")</f>
        <v>812,407</v>
      </c>
      <c r="Z384" s="14" t="str">
        <f>TEXT(VALUE(Table1[[#This Row],[Content.Column4]])*1000,"#,##0")</f>
        <v>443,154</v>
      </c>
      <c r="AA384" s="14" t="str">
        <f>TEXT(VALUE(Table1[[#This Row],[Content.Column5]])*1000,"#,##0")</f>
        <v>1,255,560</v>
      </c>
      <c r="AB384" s="14" t="str">
        <f>TEXT(VALUE(Table1[[#This Row],[Content.Column6]])*1000,"#,##0")</f>
        <v>1,333,501</v>
      </c>
    </row>
    <row r="385" spans="1:28" x14ac:dyDescent="0.3">
      <c r="A385" t="s">
        <v>116</v>
      </c>
      <c r="B385" t="s">
        <v>117</v>
      </c>
      <c r="C385" s="6">
        <v>1649.3130000000001</v>
      </c>
      <c r="D385" s="1">
        <v>831.82100000000003</v>
      </c>
      <c r="E385" s="1">
        <v>2481.134</v>
      </c>
      <c r="F385" s="1">
        <v>2586.27</v>
      </c>
      <c r="G385" s="2">
        <v>353.048</v>
      </c>
      <c r="H385" s="2">
        <v>224.762</v>
      </c>
      <c r="I385" s="2">
        <v>577.80899999999997</v>
      </c>
      <c r="J385" s="2">
        <v>578.05799999999999</v>
      </c>
      <c r="K385" s="3">
        <v>1296.2650000000001</v>
      </c>
      <c r="L385" s="3">
        <v>607.05899999999997</v>
      </c>
      <c r="M385" s="3">
        <v>1903.325</v>
      </c>
      <c r="N385" s="3">
        <v>2008.212</v>
      </c>
      <c r="O385">
        <v>2016</v>
      </c>
      <c r="Q385" s="12" t="str">
        <f>TEXT(VALUE(Table1[[#This Row],[Content.Column7]])*1000,"#,##0")</f>
        <v>353,048</v>
      </c>
      <c r="R385" s="12" t="str">
        <f>TEXT(VALUE(Table1[[#This Row],[Content.Column8]])*1000,"#,##0")</f>
        <v>224,762</v>
      </c>
      <c r="S385" s="12" t="str">
        <f>TEXT(VALUE(Table1[[#This Row],[Content.Column9]])*1000,"#,##0")</f>
        <v>577,809</v>
      </c>
      <c r="T385" s="12" t="str">
        <f>TEXT(VALUE(Table1[[#This Row],[Content.Column10]])*1000,"#,##0")</f>
        <v>578,058</v>
      </c>
      <c r="U385" s="13" t="str">
        <f>TEXT(VALUE(Table1[[#This Row],[Content.Column11]])*1000,"#,##0")</f>
        <v>1,296,265</v>
      </c>
      <c r="V385" s="13" t="str">
        <f>TEXT(VALUE(Table1[[#This Row],[Content.Column12]])*1000,"#,##0")</f>
        <v>607,059</v>
      </c>
      <c r="W385" s="13" t="str">
        <f>TEXT(VALUE(Table1[[#This Row],[Content.Column13]])*1000,"#,##0")</f>
        <v>1,903,325</v>
      </c>
      <c r="X385" s="13" t="str">
        <f>TEXT(VALUE(Table1[[#This Row],[Content.Column14]])*1000,"#,##0")</f>
        <v>2,008,212</v>
      </c>
      <c r="Y385" s="14" t="str">
        <f>TEXT(VALUE(Table1[[#This Row],[Content.Column3]])*1000,"#,##0")</f>
        <v>1,649,313</v>
      </c>
      <c r="Z385" s="14" t="str">
        <f>TEXT(VALUE(Table1[[#This Row],[Content.Column4]])*1000,"#,##0")</f>
        <v>831,821</v>
      </c>
      <c r="AA385" s="14" t="str">
        <f>TEXT(VALUE(Table1[[#This Row],[Content.Column5]])*1000,"#,##0")</f>
        <v>2,481,134</v>
      </c>
      <c r="AB385" s="14" t="str">
        <f>TEXT(VALUE(Table1[[#This Row],[Content.Column6]])*1000,"#,##0")</f>
        <v>2,586,270</v>
      </c>
    </row>
    <row r="386" spans="1:28" x14ac:dyDescent="0.3">
      <c r="A386" t="s">
        <v>118</v>
      </c>
      <c r="B386" t="s">
        <v>119</v>
      </c>
      <c r="C386" s="6">
        <v>17375.809000000001</v>
      </c>
      <c r="D386" s="1">
        <v>8101.6170000000002</v>
      </c>
      <c r="E386" s="1">
        <v>25477.424999999999</v>
      </c>
      <c r="F386" s="1">
        <v>26330.381000000001</v>
      </c>
      <c r="G386" s="2">
        <v>2609.614</v>
      </c>
      <c r="H386" s="2">
        <v>1588.951</v>
      </c>
      <c r="I386" s="2">
        <v>4198.5649999999996</v>
      </c>
      <c r="J386" s="2">
        <v>4208.5079999999998</v>
      </c>
      <c r="K386" s="3">
        <v>14766.196</v>
      </c>
      <c r="L386" s="3">
        <v>6512.6660000000002</v>
      </c>
      <c r="M386" s="3">
        <v>21278.86</v>
      </c>
      <c r="N386" s="3">
        <v>22121.873</v>
      </c>
      <c r="O386">
        <v>2016</v>
      </c>
      <c r="Q386" s="12" t="str">
        <f>TEXT(VALUE(Table1[[#This Row],[Content.Column7]])*1000,"#,##0")</f>
        <v>2,609,614</v>
      </c>
      <c r="R386" s="12" t="str">
        <f>TEXT(VALUE(Table1[[#This Row],[Content.Column8]])*1000,"#,##0")</f>
        <v>1,588,951</v>
      </c>
      <c r="S386" s="12" t="str">
        <f>TEXT(VALUE(Table1[[#This Row],[Content.Column9]])*1000,"#,##0")</f>
        <v>4,198,565</v>
      </c>
      <c r="T386" s="12" t="str">
        <f>TEXT(VALUE(Table1[[#This Row],[Content.Column10]])*1000,"#,##0")</f>
        <v>4,208,508</v>
      </c>
      <c r="U386" s="13" t="str">
        <f>TEXT(VALUE(Table1[[#This Row],[Content.Column11]])*1000,"#,##0")</f>
        <v>14,766,196</v>
      </c>
      <c r="V386" s="13" t="str">
        <f>TEXT(VALUE(Table1[[#This Row],[Content.Column12]])*1000,"#,##0")</f>
        <v>6,512,666</v>
      </c>
      <c r="W386" s="13" t="str">
        <f>TEXT(VALUE(Table1[[#This Row],[Content.Column13]])*1000,"#,##0")</f>
        <v>21,278,860</v>
      </c>
      <c r="X386" s="13" t="str">
        <f>TEXT(VALUE(Table1[[#This Row],[Content.Column14]])*1000,"#,##0")</f>
        <v>22,121,873</v>
      </c>
      <c r="Y386" s="14" t="str">
        <f>TEXT(VALUE(Table1[[#This Row],[Content.Column3]])*1000,"#,##0")</f>
        <v>17,375,809</v>
      </c>
      <c r="Z386" s="14" t="str">
        <f>TEXT(VALUE(Table1[[#This Row],[Content.Column4]])*1000,"#,##0")</f>
        <v>8,101,617</v>
      </c>
      <c r="AA386" s="14" t="str">
        <f>TEXT(VALUE(Table1[[#This Row],[Content.Column5]])*1000,"#,##0")</f>
        <v>25,477,425</v>
      </c>
      <c r="AB386" s="14" t="str">
        <f>TEXT(VALUE(Table1[[#This Row],[Content.Column6]])*1000,"#,##0")</f>
        <v>26,330,381</v>
      </c>
    </row>
    <row r="387" spans="1:28" x14ac:dyDescent="0.3">
      <c r="A387" t="s">
        <v>120</v>
      </c>
      <c r="B387" t="s">
        <v>121</v>
      </c>
      <c r="C387" s="6">
        <v>19837.528999999999</v>
      </c>
      <c r="D387" s="1">
        <v>9376.5920000000006</v>
      </c>
      <c r="E387" s="1">
        <v>29214.118999999999</v>
      </c>
      <c r="F387" s="1">
        <v>30250.151999999998</v>
      </c>
      <c r="G387" s="2">
        <v>3142.47</v>
      </c>
      <c r="H387" s="2">
        <v>1932.9280000000001</v>
      </c>
      <c r="I387" s="2">
        <v>5075.3990000000003</v>
      </c>
      <c r="J387" s="2">
        <v>5085.6350000000002</v>
      </c>
      <c r="K387" s="3">
        <v>16695.059000000001</v>
      </c>
      <c r="L387" s="3">
        <v>7443.6629999999996</v>
      </c>
      <c r="M387" s="3">
        <v>24138.720000000001</v>
      </c>
      <c r="N387" s="3">
        <v>25164.516</v>
      </c>
      <c r="O387">
        <v>2016</v>
      </c>
      <c r="Q387" s="12" t="str">
        <f>TEXT(VALUE(Table1[[#This Row],[Content.Column7]])*1000,"#,##0")</f>
        <v>3,142,470</v>
      </c>
      <c r="R387" s="12" t="str">
        <f>TEXT(VALUE(Table1[[#This Row],[Content.Column8]])*1000,"#,##0")</f>
        <v>1,932,928</v>
      </c>
      <c r="S387" s="12" t="str">
        <f>TEXT(VALUE(Table1[[#This Row],[Content.Column9]])*1000,"#,##0")</f>
        <v>5,075,399</v>
      </c>
      <c r="T387" s="12" t="str">
        <f>TEXT(VALUE(Table1[[#This Row],[Content.Column10]])*1000,"#,##0")</f>
        <v>5,085,635</v>
      </c>
      <c r="U387" s="13" t="str">
        <f>TEXT(VALUE(Table1[[#This Row],[Content.Column11]])*1000,"#,##0")</f>
        <v>16,695,059</v>
      </c>
      <c r="V387" s="13" t="str">
        <f>TEXT(VALUE(Table1[[#This Row],[Content.Column12]])*1000,"#,##0")</f>
        <v>7,443,663</v>
      </c>
      <c r="W387" s="13" t="str">
        <f>TEXT(VALUE(Table1[[#This Row],[Content.Column13]])*1000,"#,##0")</f>
        <v>24,138,720</v>
      </c>
      <c r="X387" s="13" t="str">
        <f>TEXT(VALUE(Table1[[#This Row],[Content.Column14]])*1000,"#,##0")</f>
        <v>25,164,516</v>
      </c>
      <c r="Y387" s="14" t="str">
        <f>TEXT(VALUE(Table1[[#This Row],[Content.Column3]])*1000,"#,##0")</f>
        <v>19,837,529</v>
      </c>
      <c r="Z387" s="14" t="str">
        <f>TEXT(VALUE(Table1[[#This Row],[Content.Column4]])*1000,"#,##0")</f>
        <v>9,376,592</v>
      </c>
      <c r="AA387" s="14" t="str">
        <f>TEXT(VALUE(Table1[[#This Row],[Content.Column5]])*1000,"#,##0")</f>
        <v>29,214,119</v>
      </c>
      <c r="AB387" s="14" t="str">
        <f>TEXT(VALUE(Table1[[#This Row],[Content.Column6]])*1000,"#,##0")</f>
        <v>30,250,152</v>
      </c>
    </row>
    <row r="388" spans="1:28" x14ac:dyDescent="0.3">
      <c r="A388" t="s">
        <v>26</v>
      </c>
      <c r="B388" t="s">
        <v>27</v>
      </c>
      <c r="C388" s="6">
        <v>422.072</v>
      </c>
      <c r="D388" s="1">
        <v>73.527000000000001</v>
      </c>
      <c r="E388" s="1">
        <v>495.59899999999999</v>
      </c>
      <c r="F388" s="1">
        <v>512.83199999999999</v>
      </c>
      <c r="G388" s="2">
        <v>14.952999999999999</v>
      </c>
      <c r="H388" s="2">
        <v>2.6280000000000001</v>
      </c>
      <c r="I388" s="2">
        <v>17.581</v>
      </c>
      <c r="J388" s="2">
        <v>17.652000000000001</v>
      </c>
      <c r="K388" s="3">
        <v>407.11900000000003</v>
      </c>
      <c r="L388" s="3">
        <v>70.899000000000001</v>
      </c>
      <c r="M388" s="3">
        <v>478.01799999999997</v>
      </c>
      <c r="N388" s="3">
        <v>495.18</v>
      </c>
      <c r="O388">
        <v>2017</v>
      </c>
      <c r="Q388" s="12" t="str">
        <f>TEXT(VALUE(Table1[[#This Row],[Content.Column7]])*1000,"#,##0")</f>
        <v>14,953</v>
      </c>
      <c r="R388" s="12" t="str">
        <f>TEXT(VALUE(Table1[[#This Row],[Content.Column8]])*1000,"#,##0")</f>
        <v>2,628</v>
      </c>
      <c r="S388" s="12" t="str">
        <f>TEXT(VALUE(Table1[[#This Row],[Content.Column9]])*1000,"#,##0")</f>
        <v>17,581</v>
      </c>
      <c r="T388" s="12" t="str">
        <f>TEXT(VALUE(Table1[[#This Row],[Content.Column10]])*1000,"#,##0")</f>
        <v>17,652</v>
      </c>
      <c r="U388" s="13" t="str">
        <f>TEXT(VALUE(Table1[[#This Row],[Content.Column11]])*1000,"#,##0")</f>
        <v>407,119</v>
      </c>
      <c r="V388" s="13" t="str">
        <f>TEXT(VALUE(Table1[[#This Row],[Content.Column12]])*1000,"#,##0")</f>
        <v>70,899</v>
      </c>
      <c r="W388" s="13" t="str">
        <f>TEXT(VALUE(Table1[[#This Row],[Content.Column13]])*1000,"#,##0")</f>
        <v>478,018</v>
      </c>
      <c r="X388" s="13" t="str">
        <f>TEXT(VALUE(Table1[[#This Row],[Content.Column14]])*1000,"#,##0")</f>
        <v>495,180</v>
      </c>
      <c r="Y388" s="14" t="str">
        <f>TEXT(VALUE(Table1[[#This Row],[Content.Column3]])*1000,"#,##0")</f>
        <v>422,072</v>
      </c>
      <c r="Z388" s="14" t="str">
        <f>TEXT(VALUE(Table1[[#This Row],[Content.Column4]])*1000,"#,##0")</f>
        <v>73,527</v>
      </c>
      <c r="AA388" s="14" t="str">
        <f>TEXT(VALUE(Table1[[#This Row],[Content.Column5]])*1000,"#,##0")</f>
        <v>495,599</v>
      </c>
      <c r="AB388" s="14" t="str">
        <f>TEXT(VALUE(Table1[[#This Row],[Content.Column6]])*1000,"#,##0")</f>
        <v>512,832</v>
      </c>
    </row>
    <row r="389" spans="1:28" x14ac:dyDescent="0.3">
      <c r="A389" t="s">
        <v>28</v>
      </c>
      <c r="B389" t="s">
        <v>29</v>
      </c>
      <c r="C389" s="6">
        <v>37.572000000000003</v>
      </c>
      <c r="D389" s="1">
        <v>17.420000000000002</v>
      </c>
      <c r="E389" s="1">
        <v>54.993000000000002</v>
      </c>
      <c r="F389" s="1">
        <v>56.055999999999997</v>
      </c>
      <c r="G389" s="2">
        <v>5.9749999999999996</v>
      </c>
      <c r="H389" s="2">
        <v>3.742</v>
      </c>
      <c r="I389" s="2">
        <v>9.7170000000000005</v>
      </c>
      <c r="J389" s="2">
        <v>9.7230000000000008</v>
      </c>
      <c r="K389" s="3">
        <v>31.597000000000001</v>
      </c>
      <c r="L389" s="3">
        <v>13.678000000000001</v>
      </c>
      <c r="M389" s="3">
        <v>45.274999999999999</v>
      </c>
      <c r="N389" s="3">
        <v>46.332999999999998</v>
      </c>
      <c r="O389">
        <v>2017</v>
      </c>
      <c r="Q389" s="12" t="str">
        <f>TEXT(VALUE(Table1[[#This Row],[Content.Column7]])*1000,"#,##0")</f>
        <v>5,975</v>
      </c>
      <c r="R389" s="12" t="str">
        <f>TEXT(VALUE(Table1[[#This Row],[Content.Column8]])*1000,"#,##0")</f>
        <v>3,742</v>
      </c>
      <c r="S389" s="12" t="str">
        <f>TEXT(VALUE(Table1[[#This Row],[Content.Column9]])*1000,"#,##0")</f>
        <v>9,717</v>
      </c>
      <c r="T389" s="12" t="str">
        <f>TEXT(VALUE(Table1[[#This Row],[Content.Column10]])*1000,"#,##0")</f>
        <v>9,723</v>
      </c>
      <c r="U389" s="13" t="str">
        <f>TEXT(VALUE(Table1[[#This Row],[Content.Column11]])*1000,"#,##0")</f>
        <v>31,597</v>
      </c>
      <c r="V389" s="13" t="str">
        <f>TEXT(VALUE(Table1[[#This Row],[Content.Column12]])*1000,"#,##0")</f>
        <v>13,678</v>
      </c>
      <c r="W389" s="13" t="str">
        <f>TEXT(VALUE(Table1[[#This Row],[Content.Column13]])*1000,"#,##0")</f>
        <v>45,275</v>
      </c>
      <c r="X389" s="13" t="str">
        <f>TEXT(VALUE(Table1[[#This Row],[Content.Column14]])*1000,"#,##0")</f>
        <v>46,333</v>
      </c>
      <c r="Y389" s="14" t="str">
        <f>TEXT(VALUE(Table1[[#This Row],[Content.Column3]])*1000,"#,##0")</f>
        <v>37,572</v>
      </c>
      <c r="Z389" s="14" t="str">
        <f>TEXT(VALUE(Table1[[#This Row],[Content.Column4]])*1000,"#,##0")</f>
        <v>17,420</v>
      </c>
      <c r="AA389" s="14" t="str">
        <f>TEXT(VALUE(Table1[[#This Row],[Content.Column5]])*1000,"#,##0")</f>
        <v>54,993</v>
      </c>
      <c r="AB389" s="14" t="str">
        <f>TEXT(VALUE(Table1[[#This Row],[Content.Column6]])*1000,"#,##0")</f>
        <v>56,056</v>
      </c>
    </row>
    <row r="390" spans="1:28" x14ac:dyDescent="0.3">
      <c r="A390" t="s">
        <v>30</v>
      </c>
      <c r="B390" t="s">
        <v>31</v>
      </c>
      <c r="C390" s="6">
        <v>85.635000000000005</v>
      </c>
      <c r="D390" s="1">
        <v>46.7</v>
      </c>
      <c r="E390" s="1">
        <v>132.33500000000001</v>
      </c>
      <c r="F390" s="1">
        <v>136.11600000000001</v>
      </c>
      <c r="G390" s="2">
        <v>13.5</v>
      </c>
      <c r="H390" s="2">
        <v>7.8239999999999998</v>
      </c>
      <c r="I390" s="2">
        <v>21.324000000000002</v>
      </c>
      <c r="J390" s="2">
        <v>21.353000000000002</v>
      </c>
      <c r="K390" s="3">
        <v>72.135000000000005</v>
      </c>
      <c r="L390" s="3">
        <v>38.875999999999998</v>
      </c>
      <c r="M390" s="3">
        <v>111.011</v>
      </c>
      <c r="N390" s="3">
        <v>114.76300000000001</v>
      </c>
      <c r="O390">
        <v>2017</v>
      </c>
      <c r="Q390" s="12" t="str">
        <f>TEXT(VALUE(Table1[[#This Row],[Content.Column7]])*1000,"#,##0")</f>
        <v>13,500</v>
      </c>
      <c r="R390" s="12" t="str">
        <f>TEXT(VALUE(Table1[[#This Row],[Content.Column8]])*1000,"#,##0")</f>
        <v>7,824</v>
      </c>
      <c r="S390" s="12" t="str">
        <f>TEXT(VALUE(Table1[[#This Row],[Content.Column9]])*1000,"#,##0")</f>
        <v>21,324</v>
      </c>
      <c r="T390" s="12" t="str">
        <f>TEXT(VALUE(Table1[[#This Row],[Content.Column10]])*1000,"#,##0")</f>
        <v>21,353</v>
      </c>
      <c r="U390" s="13" t="str">
        <f>TEXT(VALUE(Table1[[#This Row],[Content.Column11]])*1000,"#,##0")</f>
        <v>72,135</v>
      </c>
      <c r="V390" s="13" t="str">
        <f>TEXT(VALUE(Table1[[#This Row],[Content.Column12]])*1000,"#,##0")</f>
        <v>38,876</v>
      </c>
      <c r="W390" s="13" t="str">
        <f>TEXT(VALUE(Table1[[#This Row],[Content.Column13]])*1000,"#,##0")</f>
        <v>111,011</v>
      </c>
      <c r="X390" s="13" t="str">
        <f>TEXT(VALUE(Table1[[#This Row],[Content.Column14]])*1000,"#,##0")</f>
        <v>114,763</v>
      </c>
      <c r="Y390" s="14" t="str">
        <f>TEXT(VALUE(Table1[[#This Row],[Content.Column3]])*1000,"#,##0")</f>
        <v>85,635</v>
      </c>
      <c r="Z390" s="14" t="str">
        <f>TEXT(VALUE(Table1[[#This Row],[Content.Column4]])*1000,"#,##0")</f>
        <v>46,700</v>
      </c>
      <c r="AA390" s="14" t="str">
        <f>TEXT(VALUE(Table1[[#This Row],[Content.Column5]])*1000,"#,##0")</f>
        <v>132,335</v>
      </c>
      <c r="AB390" s="14" t="str">
        <f>TEXT(VALUE(Table1[[#This Row],[Content.Column6]])*1000,"#,##0")</f>
        <v>136,116</v>
      </c>
    </row>
    <row r="391" spans="1:28" x14ac:dyDescent="0.3">
      <c r="A391" t="s">
        <v>32</v>
      </c>
      <c r="B391" t="s">
        <v>33</v>
      </c>
      <c r="C391" s="6">
        <v>47.610999999999997</v>
      </c>
      <c r="D391" s="1">
        <v>27.513000000000002</v>
      </c>
      <c r="E391" s="1">
        <v>75.123999999999995</v>
      </c>
      <c r="F391" s="1">
        <v>77.055000000000007</v>
      </c>
      <c r="G391" s="2">
        <v>6.7450000000000001</v>
      </c>
      <c r="H391" s="2">
        <v>4.2830000000000004</v>
      </c>
      <c r="I391" s="2">
        <v>11.026999999999999</v>
      </c>
      <c r="J391" s="2">
        <v>11.053000000000001</v>
      </c>
      <c r="K391" s="3">
        <v>40.866999999999997</v>
      </c>
      <c r="L391" s="3">
        <v>23.231000000000002</v>
      </c>
      <c r="M391" s="3">
        <v>64.096999999999994</v>
      </c>
      <c r="N391" s="3">
        <v>66.001999999999995</v>
      </c>
      <c r="O391">
        <v>2017</v>
      </c>
      <c r="Q391" s="12" t="str">
        <f>TEXT(VALUE(Table1[[#This Row],[Content.Column7]])*1000,"#,##0")</f>
        <v>6,745</v>
      </c>
      <c r="R391" s="12" t="str">
        <f>TEXT(VALUE(Table1[[#This Row],[Content.Column8]])*1000,"#,##0")</f>
        <v>4,283</v>
      </c>
      <c r="S391" s="12" t="str">
        <f>TEXT(VALUE(Table1[[#This Row],[Content.Column9]])*1000,"#,##0")</f>
        <v>11,027</v>
      </c>
      <c r="T391" s="12" t="str">
        <f>TEXT(VALUE(Table1[[#This Row],[Content.Column10]])*1000,"#,##0")</f>
        <v>11,053</v>
      </c>
      <c r="U391" s="13" t="str">
        <f>TEXT(VALUE(Table1[[#This Row],[Content.Column11]])*1000,"#,##0")</f>
        <v>40,867</v>
      </c>
      <c r="V391" s="13" t="str">
        <f>TEXT(VALUE(Table1[[#This Row],[Content.Column12]])*1000,"#,##0")</f>
        <v>23,231</v>
      </c>
      <c r="W391" s="13" t="str">
        <f>TEXT(VALUE(Table1[[#This Row],[Content.Column13]])*1000,"#,##0")</f>
        <v>64,097</v>
      </c>
      <c r="X391" s="13" t="str">
        <f>TEXT(VALUE(Table1[[#This Row],[Content.Column14]])*1000,"#,##0")</f>
        <v>66,002</v>
      </c>
      <c r="Y391" s="14" t="str">
        <f>TEXT(VALUE(Table1[[#This Row],[Content.Column3]])*1000,"#,##0")</f>
        <v>47,611</v>
      </c>
      <c r="Z391" s="14" t="str">
        <f>TEXT(VALUE(Table1[[#This Row],[Content.Column4]])*1000,"#,##0")</f>
        <v>27,513</v>
      </c>
      <c r="AA391" s="14" t="str">
        <f>TEXT(VALUE(Table1[[#This Row],[Content.Column5]])*1000,"#,##0")</f>
        <v>75,124</v>
      </c>
      <c r="AB391" s="14" t="str">
        <f>TEXT(VALUE(Table1[[#This Row],[Content.Column6]])*1000,"#,##0")</f>
        <v>77,055</v>
      </c>
    </row>
    <row r="392" spans="1:28" x14ac:dyDescent="0.3">
      <c r="A392" t="s">
        <v>34</v>
      </c>
      <c r="B392" t="s">
        <v>35</v>
      </c>
      <c r="C392" s="6">
        <v>91.149000000000001</v>
      </c>
      <c r="D392" s="1">
        <v>34.420999999999999</v>
      </c>
      <c r="E392" s="1">
        <v>125.571</v>
      </c>
      <c r="F392" s="1">
        <v>128.232</v>
      </c>
      <c r="G392" s="2">
        <v>19.074999999999999</v>
      </c>
      <c r="H392" s="2">
        <v>5.48</v>
      </c>
      <c r="I392" s="2">
        <v>24.556000000000001</v>
      </c>
      <c r="J392" s="2">
        <v>24.591999999999999</v>
      </c>
      <c r="K392" s="3">
        <v>72.073999999999998</v>
      </c>
      <c r="L392" s="3">
        <v>28.940999999999999</v>
      </c>
      <c r="M392" s="3">
        <v>101.015</v>
      </c>
      <c r="N392" s="3">
        <v>103.64</v>
      </c>
      <c r="O392">
        <v>2017</v>
      </c>
      <c r="Q392" s="12" t="str">
        <f>TEXT(VALUE(Table1[[#This Row],[Content.Column7]])*1000,"#,##0")</f>
        <v>19,075</v>
      </c>
      <c r="R392" s="12" t="str">
        <f>TEXT(VALUE(Table1[[#This Row],[Content.Column8]])*1000,"#,##0")</f>
        <v>5,480</v>
      </c>
      <c r="S392" s="12" t="str">
        <f>TEXT(VALUE(Table1[[#This Row],[Content.Column9]])*1000,"#,##0")</f>
        <v>24,556</v>
      </c>
      <c r="T392" s="12" t="str">
        <f>TEXT(VALUE(Table1[[#This Row],[Content.Column10]])*1000,"#,##0")</f>
        <v>24,592</v>
      </c>
      <c r="U392" s="13" t="str">
        <f>TEXT(VALUE(Table1[[#This Row],[Content.Column11]])*1000,"#,##0")</f>
        <v>72,074</v>
      </c>
      <c r="V392" s="13" t="str">
        <f>TEXT(VALUE(Table1[[#This Row],[Content.Column12]])*1000,"#,##0")</f>
        <v>28,941</v>
      </c>
      <c r="W392" s="13" t="str">
        <f>TEXT(VALUE(Table1[[#This Row],[Content.Column13]])*1000,"#,##0")</f>
        <v>101,015</v>
      </c>
      <c r="X392" s="13" t="str">
        <f>TEXT(VALUE(Table1[[#This Row],[Content.Column14]])*1000,"#,##0")</f>
        <v>103,640</v>
      </c>
      <c r="Y392" s="14" t="str">
        <f>TEXT(VALUE(Table1[[#This Row],[Content.Column3]])*1000,"#,##0")</f>
        <v>91,149</v>
      </c>
      <c r="Z392" s="14" t="str">
        <f>TEXT(VALUE(Table1[[#This Row],[Content.Column4]])*1000,"#,##0")</f>
        <v>34,421</v>
      </c>
      <c r="AA392" s="14" t="str">
        <f>TEXT(VALUE(Table1[[#This Row],[Content.Column5]])*1000,"#,##0")</f>
        <v>125,571</v>
      </c>
      <c r="AB392" s="14" t="str">
        <f>TEXT(VALUE(Table1[[#This Row],[Content.Column6]])*1000,"#,##0")</f>
        <v>128,232</v>
      </c>
    </row>
    <row r="393" spans="1:28" x14ac:dyDescent="0.3">
      <c r="A393" t="s">
        <v>36</v>
      </c>
      <c r="B393" t="s">
        <v>37</v>
      </c>
      <c r="C393" s="6">
        <v>69.003</v>
      </c>
      <c r="D393" s="1">
        <v>40.707999999999998</v>
      </c>
      <c r="E393" s="1">
        <v>109.711</v>
      </c>
      <c r="F393" s="1">
        <v>112.577</v>
      </c>
      <c r="G393" s="2">
        <v>9.0459999999999994</v>
      </c>
      <c r="H393" s="2">
        <v>6.4240000000000004</v>
      </c>
      <c r="I393" s="2">
        <v>15.47</v>
      </c>
      <c r="J393" s="2">
        <v>15.518000000000001</v>
      </c>
      <c r="K393" s="3">
        <v>59.957000000000001</v>
      </c>
      <c r="L393" s="3">
        <v>34.283999999999999</v>
      </c>
      <c r="M393" s="3">
        <v>94.241</v>
      </c>
      <c r="N393" s="3">
        <v>97.058999999999997</v>
      </c>
      <c r="O393">
        <v>2017</v>
      </c>
      <c r="Q393" s="12" t="str">
        <f>TEXT(VALUE(Table1[[#This Row],[Content.Column7]])*1000,"#,##0")</f>
        <v>9,046</v>
      </c>
      <c r="R393" s="12" t="str">
        <f>TEXT(VALUE(Table1[[#This Row],[Content.Column8]])*1000,"#,##0")</f>
        <v>6,424</v>
      </c>
      <c r="S393" s="12" t="str">
        <f>TEXT(VALUE(Table1[[#This Row],[Content.Column9]])*1000,"#,##0")</f>
        <v>15,470</v>
      </c>
      <c r="T393" s="12" t="str">
        <f>TEXT(VALUE(Table1[[#This Row],[Content.Column10]])*1000,"#,##0")</f>
        <v>15,518</v>
      </c>
      <c r="U393" s="13" t="str">
        <f>TEXT(VALUE(Table1[[#This Row],[Content.Column11]])*1000,"#,##0")</f>
        <v>59,957</v>
      </c>
      <c r="V393" s="13" t="str">
        <f>TEXT(VALUE(Table1[[#This Row],[Content.Column12]])*1000,"#,##0")</f>
        <v>34,284</v>
      </c>
      <c r="W393" s="13" t="str">
        <f>TEXT(VALUE(Table1[[#This Row],[Content.Column13]])*1000,"#,##0")</f>
        <v>94,241</v>
      </c>
      <c r="X393" s="13" t="str">
        <f>TEXT(VALUE(Table1[[#This Row],[Content.Column14]])*1000,"#,##0")</f>
        <v>97,059</v>
      </c>
      <c r="Y393" s="14" t="str">
        <f>TEXT(VALUE(Table1[[#This Row],[Content.Column3]])*1000,"#,##0")</f>
        <v>69,003</v>
      </c>
      <c r="Z393" s="14" t="str">
        <f>TEXT(VALUE(Table1[[#This Row],[Content.Column4]])*1000,"#,##0")</f>
        <v>40,708</v>
      </c>
      <c r="AA393" s="14" t="str">
        <f>TEXT(VALUE(Table1[[#This Row],[Content.Column5]])*1000,"#,##0")</f>
        <v>109,711</v>
      </c>
      <c r="AB393" s="14" t="str">
        <f>TEXT(VALUE(Table1[[#This Row],[Content.Column6]])*1000,"#,##0")</f>
        <v>112,577</v>
      </c>
    </row>
    <row r="394" spans="1:28" x14ac:dyDescent="0.3">
      <c r="A394" t="s">
        <v>38</v>
      </c>
      <c r="B394" t="s">
        <v>39</v>
      </c>
      <c r="C394" s="6">
        <v>268.61099999999999</v>
      </c>
      <c r="D394" s="1">
        <v>92.429000000000002</v>
      </c>
      <c r="E394" s="1">
        <v>361.04</v>
      </c>
      <c r="F394" s="1">
        <v>373.02800000000002</v>
      </c>
      <c r="G394" s="2">
        <v>35.213999999999999</v>
      </c>
      <c r="H394" s="2">
        <v>12.98</v>
      </c>
      <c r="I394" s="2">
        <v>48.194000000000003</v>
      </c>
      <c r="J394" s="2">
        <v>48.271999999999998</v>
      </c>
      <c r="K394" s="3">
        <v>233.39699999999999</v>
      </c>
      <c r="L394" s="3">
        <v>79.448999999999998</v>
      </c>
      <c r="M394" s="3">
        <v>312.846</v>
      </c>
      <c r="N394" s="3">
        <v>324.75599999999997</v>
      </c>
      <c r="O394">
        <v>2017</v>
      </c>
      <c r="Q394" s="12" t="str">
        <f>TEXT(VALUE(Table1[[#This Row],[Content.Column7]])*1000,"#,##0")</f>
        <v>35,214</v>
      </c>
      <c r="R394" s="12" t="str">
        <f>TEXT(VALUE(Table1[[#This Row],[Content.Column8]])*1000,"#,##0")</f>
        <v>12,980</v>
      </c>
      <c r="S394" s="12" t="str">
        <f>TEXT(VALUE(Table1[[#This Row],[Content.Column9]])*1000,"#,##0")</f>
        <v>48,194</v>
      </c>
      <c r="T394" s="12" t="str">
        <f>TEXT(VALUE(Table1[[#This Row],[Content.Column10]])*1000,"#,##0")</f>
        <v>48,272</v>
      </c>
      <c r="U394" s="13" t="str">
        <f>TEXT(VALUE(Table1[[#This Row],[Content.Column11]])*1000,"#,##0")</f>
        <v>233,397</v>
      </c>
      <c r="V394" s="13" t="str">
        <f>TEXT(VALUE(Table1[[#This Row],[Content.Column12]])*1000,"#,##0")</f>
        <v>79,449</v>
      </c>
      <c r="W394" s="13" t="str">
        <f>TEXT(VALUE(Table1[[#This Row],[Content.Column13]])*1000,"#,##0")</f>
        <v>312,846</v>
      </c>
      <c r="X394" s="13" t="str">
        <f>TEXT(VALUE(Table1[[#This Row],[Content.Column14]])*1000,"#,##0")</f>
        <v>324,756</v>
      </c>
      <c r="Y394" s="14" t="str">
        <f>TEXT(VALUE(Table1[[#This Row],[Content.Column3]])*1000,"#,##0")</f>
        <v>268,611</v>
      </c>
      <c r="Z394" s="14" t="str">
        <f>TEXT(VALUE(Table1[[#This Row],[Content.Column4]])*1000,"#,##0")</f>
        <v>92,429</v>
      </c>
      <c r="AA394" s="14" t="str">
        <f>TEXT(VALUE(Table1[[#This Row],[Content.Column5]])*1000,"#,##0")</f>
        <v>361,040</v>
      </c>
      <c r="AB394" s="14" t="str">
        <f>TEXT(VALUE(Table1[[#This Row],[Content.Column6]])*1000,"#,##0")</f>
        <v>373,028</v>
      </c>
    </row>
    <row r="395" spans="1:28" x14ac:dyDescent="0.3">
      <c r="A395" t="s">
        <v>40</v>
      </c>
      <c r="B395" t="s">
        <v>41</v>
      </c>
      <c r="C395" s="6">
        <v>82.908000000000001</v>
      </c>
      <c r="D395" s="1">
        <v>41.115000000000002</v>
      </c>
      <c r="E395" s="1">
        <v>124.02200000000001</v>
      </c>
      <c r="F395" s="1">
        <v>127.236</v>
      </c>
      <c r="G395" s="2">
        <v>17.234000000000002</v>
      </c>
      <c r="H395" s="2">
        <v>8.1270000000000007</v>
      </c>
      <c r="I395" s="2">
        <v>25.361000000000001</v>
      </c>
      <c r="J395" s="2">
        <v>25.405000000000001</v>
      </c>
      <c r="K395" s="3">
        <v>65.674000000000007</v>
      </c>
      <c r="L395" s="3">
        <v>32.988</v>
      </c>
      <c r="M395" s="3">
        <v>98.662000000000006</v>
      </c>
      <c r="N395" s="3">
        <v>101.831</v>
      </c>
      <c r="O395">
        <v>2017</v>
      </c>
      <c r="Q395" s="12" t="str">
        <f>TEXT(VALUE(Table1[[#This Row],[Content.Column7]])*1000,"#,##0")</f>
        <v>17,234</v>
      </c>
      <c r="R395" s="12" t="str">
        <f>TEXT(VALUE(Table1[[#This Row],[Content.Column8]])*1000,"#,##0")</f>
        <v>8,127</v>
      </c>
      <c r="S395" s="12" t="str">
        <f>TEXT(VALUE(Table1[[#This Row],[Content.Column9]])*1000,"#,##0")</f>
        <v>25,361</v>
      </c>
      <c r="T395" s="12" t="str">
        <f>TEXT(VALUE(Table1[[#This Row],[Content.Column10]])*1000,"#,##0")</f>
        <v>25,405</v>
      </c>
      <c r="U395" s="13" t="str">
        <f>TEXT(VALUE(Table1[[#This Row],[Content.Column11]])*1000,"#,##0")</f>
        <v>65,674</v>
      </c>
      <c r="V395" s="13" t="str">
        <f>TEXT(VALUE(Table1[[#This Row],[Content.Column12]])*1000,"#,##0")</f>
        <v>32,988</v>
      </c>
      <c r="W395" s="13" t="str">
        <f>TEXT(VALUE(Table1[[#This Row],[Content.Column13]])*1000,"#,##0")</f>
        <v>98,662</v>
      </c>
      <c r="X395" s="13" t="str">
        <f>TEXT(VALUE(Table1[[#This Row],[Content.Column14]])*1000,"#,##0")</f>
        <v>101,831</v>
      </c>
      <c r="Y395" s="14" t="str">
        <f>TEXT(VALUE(Table1[[#This Row],[Content.Column3]])*1000,"#,##0")</f>
        <v>82,908</v>
      </c>
      <c r="Z395" s="14" t="str">
        <f>TEXT(VALUE(Table1[[#This Row],[Content.Column4]])*1000,"#,##0")</f>
        <v>41,115</v>
      </c>
      <c r="AA395" s="14" t="str">
        <f>TEXT(VALUE(Table1[[#This Row],[Content.Column5]])*1000,"#,##0")</f>
        <v>124,022</v>
      </c>
      <c r="AB395" s="14" t="str">
        <f>TEXT(VALUE(Table1[[#This Row],[Content.Column6]])*1000,"#,##0")</f>
        <v>127,236</v>
      </c>
    </row>
    <row r="396" spans="1:28" x14ac:dyDescent="0.3">
      <c r="A396" t="s">
        <v>42</v>
      </c>
      <c r="B396" t="s">
        <v>43</v>
      </c>
      <c r="C396" s="6">
        <v>94.953000000000003</v>
      </c>
      <c r="D396" s="1">
        <v>39.551000000000002</v>
      </c>
      <c r="E396" s="1">
        <v>134.50399999999999</v>
      </c>
      <c r="F396" s="1">
        <v>137.755</v>
      </c>
      <c r="G396" s="2">
        <v>11.946</v>
      </c>
      <c r="H396" s="2">
        <v>5.4020000000000001</v>
      </c>
      <c r="I396" s="2">
        <v>17.347999999999999</v>
      </c>
      <c r="J396" s="2">
        <v>17.367999999999999</v>
      </c>
      <c r="K396" s="3">
        <v>83.007000000000005</v>
      </c>
      <c r="L396" s="3">
        <v>34.149000000000001</v>
      </c>
      <c r="M396" s="3">
        <v>117.15600000000001</v>
      </c>
      <c r="N396" s="3">
        <v>120.386</v>
      </c>
      <c r="O396">
        <v>2017</v>
      </c>
      <c r="Q396" s="12" t="str">
        <f>TEXT(VALUE(Table1[[#This Row],[Content.Column7]])*1000,"#,##0")</f>
        <v>11,946</v>
      </c>
      <c r="R396" s="12" t="str">
        <f>TEXT(VALUE(Table1[[#This Row],[Content.Column8]])*1000,"#,##0")</f>
        <v>5,402</v>
      </c>
      <c r="S396" s="12" t="str">
        <f>TEXT(VALUE(Table1[[#This Row],[Content.Column9]])*1000,"#,##0")</f>
        <v>17,348</v>
      </c>
      <c r="T396" s="12" t="str">
        <f>TEXT(VALUE(Table1[[#This Row],[Content.Column10]])*1000,"#,##0")</f>
        <v>17,368</v>
      </c>
      <c r="U396" s="13" t="str">
        <f>TEXT(VALUE(Table1[[#This Row],[Content.Column11]])*1000,"#,##0")</f>
        <v>83,007</v>
      </c>
      <c r="V396" s="13" t="str">
        <f>TEXT(VALUE(Table1[[#This Row],[Content.Column12]])*1000,"#,##0")</f>
        <v>34,149</v>
      </c>
      <c r="W396" s="13" t="str">
        <f>TEXT(VALUE(Table1[[#This Row],[Content.Column13]])*1000,"#,##0")</f>
        <v>117,156</v>
      </c>
      <c r="X396" s="13" t="str">
        <f>TEXT(VALUE(Table1[[#This Row],[Content.Column14]])*1000,"#,##0")</f>
        <v>120,386</v>
      </c>
      <c r="Y396" s="14" t="str">
        <f>TEXT(VALUE(Table1[[#This Row],[Content.Column3]])*1000,"#,##0")</f>
        <v>94,953</v>
      </c>
      <c r="Z396" s="14" t="str">
        <f>TEXT(VALUE(Table1[[#This Row],[Content.Column4]])*1000,"#,##0")</f>
        <v>39,551</v>
      </c>
      <c r="AA396" s="14" t="str">
        <f>TEXT(VALUE(Table1[[#This Row],[Content.Column5]])*1000,"#,##0")</f>
        <v>134,504</v>
      </c>
      <c r="AB396" s="14" t="str">
        <f>TEXT(VALUE(Table1[[#This Row],[Content.Column6]])*1000,"#,##0")</f>
        <v>137,755</v>
      </c>
    </row>
    <row r="397" spans="1:28" x14ac:dyDescent="0.3">
      <c r="A397" t="s">
        <v>44</v>
      </c>
      <c r="B397" t="s">
        <v>45</v>
      </c>
      <c r="C397" s="6">
        <v>68.757999999999996</v>
      </c>
      <c r="D397" s="1">
        <v>37.06</v>
      </c>
      <c r="E397" s="1">
        <v>105.818</v>
      </c>
      <c r="F397" s="1">
        <v>108.039</v>
      </c>
      <c r="G397" s="2">
        <v>12.654</v>
      </c>
      <c r="H397" s="2">
        <v>7.968</v>
      </c>
      <c r="I397" s="2">
        <v>20.622</v>
      </c>
      <c r="J397" s="2">
        <v>20.632999999999999</v>
      </c>
      <c r="K397" s="3">
        <v>56.103999999999999</v>
      </c>
      <c r="L397" s="3">
        <v>29.091999999999999</v>
      </c>
      <c r="M397" s="3">
        <v>85.195999999999998</v>
      </c>
      <c r="N397" s="3">
        <v>87.406000000000006</v>
      </c>
      <c r="O397">
        <v>2017</v>
      </c>
      <c r="Q397" s="12" t="str">
        <f>TEXT(VALUE(Table1[[#This Row],[Content.Column7]])*1000,"#,##0")</f>
        <v>12,654</v>
      </c>
      <c r="R397" s="12" t="str">
        <f>TEXT(VALUE(Table1[[#This Row],[Content.Column8]])*1000,"#,##0")</f>
        <v>7,968</v>
      </c>
      <c r="S397" s="12" t="str">
        <f>TEXT(VALUE(Table1[[#This Row],[Content.Column9]])*1000,"#,##0")</f>
        <v>20,622</v>
      </c>
      <c r="T397" s="12" t="str">
        <f>TEXT(VALUE(Table1[[#This Row],[Content.Column10]])*1000,"#,##0")</f>
        <v>20,633</v>
      </c>
      <c r="U397" s="13" t="str">
        <f>TEXT(VALUE(Table1[[#This Row],[Content.Column11]])*1000,"#,##0")</f>
        <v>56,104</v>
      </c>
      <c r="V397" s="13" t="str">
        <f>TEXT(VALUE(Table1[[#This Row],[Content.Column12]])*1000,"#,##0")</f>
        <v>29,092</v>
      </c>
      <c r="W397" s="13" t="str">
        <f>TEXT(VALUE(Table1[[#This Row],[Content.Column13]])*1000,"#,##0")</f>
        <v>85,196</v>
      </c>
      <c r="X397" s="13" t="str">
        <f>TEXT(VALUE(Table1[[#This Row],[Content.Column14]])*1000,"#,##0")</f>
        <v>87,406</v>
      </c>
      <c r="Y397" s="14" t="str">
        <f>TEXT(VALUE(Table1[[#This Row],[Content.Column3]])*1000,"#,##0")</f>
        <v>68,758</v>
      </c>
      <c r="Z397" s="14" t="str">
        <f>TEXT(VALUE(Table1[[#This Row],[Content.Column4]])*1000,"#,##0")</f>
        <v>37,060</v>
      </c>
      <c r="AA397" s="14" t="str">
        <f>TEXT(VALUE(Table1[[#This Row],[Content.Column5]])*1000,"#,##0")</f>
        <v>105,818</v>
      </c>
      <c r="AB397" s="14" t="str">
        <f>TEXT(VALUE(Table1[[#This Row],[Content.Column6]])*1000,"#,##0")</f>
        <v>108,039</v>
      </c>
    </row>
    <row r="398" spans="1:28" x14ac:dyDescent="0.3">
      <c r="A398" t="s">
        <v>46</v>
      </c>
      <c r="B398" t="s">
        <v>47</v>
      </c>
      <c r="C398" s="6">
        <v>51.993000000000002</v>
      </c>
      <c r="D398" s="1">
        <v>32.981000000000002</v>
      </c>
      <c r="E398" s="1">
        <v>84.972999999999999</v>
      </c>
      <c r="F398" s="1">
        <v>87.132000000000005</v>
      </c>
      <c r="G398" s="2">
        <v>12.914</v>
      </c>
      <c r="H398" s="2">
        <v>8.6999999999999993</v>
      </c>
      <c r="I398" s="2">
        <v>21.614000000000001</v>
      </c>
      <c r="J398" s="2">
        <v>21.62</v>
      </c>
      <c r="K398" s="3">
        <v>39.079000000000001</v>
      </c>
      <c r="L398" s="3">
        <v>24.280999999999999</v>
      </c>
      <c r="M398" s="3">
        <v>63.36</v>
      </c>
      <c r="N398" s="3">
        <v>65.512</v>
      </c>
      <c r="O398">
        <v>2017</v>
      </c>
      <c r="Q398" s="12" t="str">
        <f>TEXT(VALUE(Table1[[#This Row],[Content.Column7]])*1000,"#,##0")</f>
        <v>12,914</v>
      </c>
      <c r="R398" s="12" t="str">
        <f>TEXT(VALUE(Table1[[#This Row],[Content.Column8]])*1000,"#,##0")</f>
        <v>8,700</v>
      </c>
      <c r="S398" s="12" t="str">
        <f>TEXT(VALUE(Table1[[#This Row],[Content.Column9]])*1000,"#,##0")</f>
        <v>21,614</v>
      </c>
      <c r="T398" s="12" t="str">
        <f>TEXT(VALUE(Table1[[#This Row],[Content.Column10]])*1000,"#,##0")</f>
        <v>21,620</v>
      </c>
      <c r="U398" s="13" t="str">
        <f>TEXT(VALUE(Table1[[#This Row],[Content.Column11]])*1000,"#,##0")</f>
        <v>39,079</v>
      </c>
      <c r="V398" s="13" t="str">
        <f>TEXT(VALUE(Table1[[#This Row],[Content.Column12]])*1000,"#,##0")</f>
        <v>24,281</v>
      </c>
      <c r="W398" s="13" t="str">
        <f>TEXT(VALUE(Table1[[#This Row],[Content.Column13]])*1000,"#,##0")</f>
        <v>63,360</v>
      </c>
      <c r="X398" s="13" t="str">
        <f>TEXT(VALUE(Table1[[#This Row],[Content.Column14]])*1000,"#,##0")</f>
        <v>65,512</v>
      </c>
      <c r="Y398" s="14" t="str">
        <f>TEXT(VALUE(Table1[[#This Row],[Content.Column3]])*1000,"#,##0")</f>
        <v>51,993</v>
      </c>
      <c r="Z398" s="14" t="str">
        <f>TEXT(VALUE(Table1[[#This Row],[Content.Column4]])*1000,"#,##0")</f>
        <v>32,981</v>
      </c>
      <c r="AA398" s="14" t="str">
        <f>TEXT(VALUE(Table1[[#This Row],[Content.Column5]])*1000,"#,##0")</f>
        <v>84,973</v>
      </c>
      <c r="AB398" s="14" t="str">
        <f>TEXT(VALUE(Table1[[#This Row],[Content.Column6]])*1000,"#,##0")</f>
        <v>87,132</v>
      </c>
    </row>
    <row r="399" spans="1:28" x14ac:dyDescent="0.3">
      <c r="A399" t="s">
        <v>48</v>
      </c>
      <c r="B399" t="s">
        <v>49</v>
      </c>
      <c r="C399" s="6">
        <v>87.090999999999994</v>
      </c>
      <c r="D399" s="1">
        <v>32.615000000000002</v>
      </c>
      <c r="E399" s="1">
        <v>119.706</v>
      </c>
      <c r="F399" s="1">
        <v>123.343</v>
      </c>
      <c r="G399" s="2">
        <v>13.599</v>
      </c>
      <c r="H399" s="2">
        <v>5.452</v>
      </c>
      <c r="I399" s="2">
        <v>19.052</v>
      </c>
      <c r="J399" s="2">
        <v>19.076000000000001</v>
      </c>
      <c r="K399" s="3">
        <v>73.492000000000004</v>
      </c>
      <c r="L399" s="3">
        <v>27.163</v>
      </c>
      <c r="M399" s="3">
        <v>100.655</v>
      </c>
      <c r="N399" s="3">
        <v>104.267</v>
      </c>
      <c r="O399">
        <v>2017</v>
      </c>
      <c r="Q399" s="12" t="str">
        <f>TEXT(VALUE(Table1[[#This Row],[Content.Column7]])*1000,"#,##0")</f>
        <v>13,599</v>
      </c>
      <c r="R399" s="12" t="str">
        <f>TEXT(VALUE(Table1[[#This Row],[Content.Column8]])*1000,"#,##0")</f>
        <v>5,452</v>
      </c>
      <c r="S399" s="12" t="str">
        <f>TEXT(VALUE(Table1[[#This Row],[Content.Column9]])*1000,"#,##0")</f>
        <v>19,052</v>
      </c>
      <c r="T399" s="12" t="str">
        <f>TEXT(VALUE(Table1[[#This Row],[Content.Column10]])*1000,"#,##0")</f>
        <v>19,076</v>
      </c>
      <c r="U399" s="13" t="str">
        <f>TEXT(VALUE(Table1[[#This Row],[Content.Column11]])*1000,"#,##0")</f>
        <v>73,492</v>
      </c>
      <c r="V399" s="13" t="str">
        <f>TEXT(VALUE(Table1[[#This Row],[Content.Column12]])*1000,"#,##0")</f>
        <v>27,163</v>
      </c>
      <c r="W399" s="13" t="str">
        <f>TEXT(VALUE(Table1[[#This Row],[Content.Column13]])*1000,"#,##0")</f>
        <v>100,655</v>
      </c>
      <c r="X399" s="13" t="str">
        <f>TEXT(VALUE(Table1[[#This Row],[Content.Column14]])*1000,"#,##0")</f>
        <v>104,267</v>
      </c>
      <c r="Y399" s="14" t="str">
        <f>TEXT(VALUE(Table1[[#This Row],[Content.Column3]])*1000,"#,##0")</f>
        <v>87,091</v>
      </c>
      <c r="Z399" s="14" t="str">
        <f>TEXT(VALUE(Table1[[#This Row],[Content.Column4]])*1000,"#,##0")</f>
        <v>32,615</v>
      </c>
      <c r="AA399" s="14" t="str">
        <f>TEXT(VALUE(Table1[[#This Row],[Content.Column5]])*1000,"#,##0")</f>
        <v>119,706</v>
      </c>
      <c r="AB399" s="14" t="str">
        <f>TEXT(VALUE(Table1[[#This Row],[Content.Column6]])*1000,"#,##0")</f>
        <v>123,343</v>
      </c>
    </row>
    <row r="400" spans="1:28" x14ac:dyDescent="0.3">
      <c r="A400" t="s">
        <v>50</v>
      </c>
      <c r="B400" t="s">
        <v>51</v>
      </c>
      <c r="C400" s="6">
        <v>97.605999999999995</v>
      </c>
      <c r="D400" s="1">
        <v>37.630000000000003</v>
      </c>
      <c r="E400" s="1">
        <v>135.23500000000001</v>
      </c>
      <c r="F400" s="1">
        <v>137.57900000000001</v>
      </c>
      <c r="G400" s="2">
        <v>17.141999999999999</v>
      </c>
      <c r="H400" s="2">
        <v>3.5270000000000001</v>
      </c>
      <c r="I400" s="2">
        <v>20.669</v>
      </c>
      <c r="J400" s="2">
        <v>20.741</v>
      </c>
      <c r="K400" s="3">
        <v>80.463999999999999</v>
      </c>
      <c r="L400" s="3">
        <v>34.103000000000002</v>
      </c>
      <c r="M400" s="3">
        <v>114.566</v>
      </c>
      <c r="N400" s="3">
        <v>116.83799999999999</v>
      </c>
      <c r="O400">
        <v>2017</v>
      </c>
      <c r="Q400" s="12" t="str">
        <f>TEXT(VALUE(Table1[[#This Row],[Content.Column7]])*1000,"#,##0")</f>
        <v>17,142</v>
      </c>
      <c r="R400" s="12" t="str">
        <f>TEXT(VALUE(Table1[[#This Row],[Content.Column8]])*1000,"#,##0")</f>
        <v>3,527</v>
      </c>
      <c r="S400" s="12" t="str">
        <f>TEXT(VALUE(Table1[[#This Row],[Content.Column9]])*1000,"#,##0")</f>
        <v>20,669</v>
      </c>
      <c r="T400" s="12" t="str">
        <f>TEXT(VALUE(Table1[[#This Row],[Content.Column10]])*1000,"#,##0")</f>
        <v>20,741</v>
      </c>
      <c r="U400" s="13" t="str">
        <f>TEXT(VALUE(Table1[[#This Row],[Content.Column11]])*1000,"#,##0")</f>
        <v>80,464</v>
      </c>
      <c r="V400" s="13" t="str">
        <f>TEXT(VALUE(Table1[[#This Row],[Content.Column12]])*1000,"#,##0")</f>
        <v>34,103</v>
      </c>
      <c r="W400" s="13" t="str">
        <f>TEXT(VALUE(Table1[[#This Row],[Content.Column13]])*1000,"#,##0")</f>
        <v>114,566</v>
      </c>
      <c r="X400" s="13" t="str">
        <f>TEXT(VALUE(Table1[[#This Row],[Content.Column14]])*1000,"#,##0")</f>
        <v>116,838</v>
      </c>
      <c r="Y400" s="14" t="str">
        <f>TEXT(VALUE(Table1[[#This Row],[Content.Column3]])*1000,"#,##0")</f>
        <v>97,606</v>
      </c>
      <c r="Z400" s="14" t="str">
        <f>TEXT(VALUE(Table1[[#This Row],[Content.Column4]])*1000,"#,##0")</f>
        <v>37,630</v>
      </c>
      <c r="AA400" s="14" t="str">
        <f>TEXT(VALUE(Table1[[#This Row],[Content.Column5]])*1000,"#,##0")</f>
        <v>135,235</v>
      </c>
      <c r="AB400" s="14" t="str">
        <f>TEXT(VALUE(Table1[[#This Row],[Content.Column6]])*1000,"#,##0")</f>
        <v>137,579</v>
      </c>
    </row>
    <row r="401" spans="1:28" x14ac:dyDescent="0.3">
      <c r="A401" t="s">
        <v>52</v>
      </c>
      <c r="B401" t="s">
        <v>53</v>
      </c>
      <c r="C401" s="6">
        <v>46.000999999999998</v>
      </c>
      <c r="D401" s="1">
        <v>23.864000000000001</v>
      </c>
      <c r="E401" s="1">
        <v>69.866</v>
      </c>
      <c r="F401" s="1">
        <v>72.578999999999994</v>
      </c>
      <c r="G401" s="2">
        <v>8.7859999999999996</v>
      </c>
      <c r="H401" s="2">
        <v>3.238</v>
      </c>
      <c r="I401" s="2">
        <v>12.023999999999999</v>
      </c>
      <c r="J401" s="2">
        <v>12.045</v>
      </c>
      <c r="K401" s="3">
        <v>37.215000000000003</v>
      </c>
      <c r="L401" s="3">
        <v>20.626000000000001</v>
      </c>
      <c r="M401" s="3">
        <v>57.841000000000001</v>
      </c>
      <c r="N401" s="3">
        <v>60.533999999999999</v>
      </c>
      <c r="O401">
        <v>2017</v>
      </c>
      <c r="Q401" s="12" t="str">
        <f>TEXT(VALUE(Table1[[#This Row],[Content.Column7]])*1000,"#,##0")</f>
        <v>8,786</v>
      </c>
      <c r="R401" s="12" t="str">
        <f>TEXT(VALUE(Table1[[#This Row],[Content.Column8]])*1000,"#,##0")</f>
        <v>3,238</v>
      </c>
      <c r="S401" s="12" t="str">
        <f>TEXT(VALUE(Table1[[#This Row],[Content.Column9]])*1000,"#,##0")</f>
        <v>12,024</v>
      </c>
      <c r="T401" s="12" t="str">
        <f>TEXT(VALUE(Table1[[#This Row],[Content.Column10]])*1000,"#,##0")</f>
        <v>12,045</v>
      </c>
      <c r="U401" s="13" t="str">
        <f>TEXT(VALUE(Table1[[#This Row],[Content.Column11]])*1000,"#,##0")</f>
        <v>37,215</v>
      </c>
      <c r="V401" s="13" t="str">
        <f>TEXT(VALUE(Table1[[#This Row],[Content.Column12]])*1000,"#,##0")</f>
        <v>20,626</v>
      </c>
      <c r="W401" s="13" t="str">
        <f>TEXT(VALUE(Table1[[#This Row],[Content.Column13]])*1000,"#,##0")</f>
        <v>57,841</v>
      </c>
      <c r="X401" s="13" t="str">
        <f>TEXT(VALUE(Table1[[#This Row],[Content.Column14]])*1000,"#,##0")</f>
        <v>60,534</v>
      </c>
      <c r="Y401" s="14" t="str">
        <f>TEXT(VALUE(Table1[[#This Row],[Content.Column3]])*1000,"#,##0")</f>
        <v>46,001</v>
      </c>
      <c r="Z401" s="14" t="str">
        <f>TEXT(VALUE(Table1[[#This Row],[Content.Column4]])*1000,"#,##0")</f>
        <v>23,864</v>
      </c>
      <c r="AA401" s="14" t="str">
        <f>TEXT(VALUE(Table1[[#This Row],[Content.Column5]])*1000,"#,##0")</f>
        <v>69,866</v>
      </c>
      <c r="AB401" s="14" t="str">
        <f>TEXT(VALUE(Table1[[#This Row],[Content.Column6]])*1000,"#,##0")</f>
        <v>72,579</v>
      </c>
    </row>
    <row r="402" spans="1:28" x14ac:dyDescent="0.3">
      <c r="A402" t="s">
        <v>54</v>
      </c>
      <c r="B402" t="s">
        <v>55</v>
      </c>
      <c r="C402" s="6">
        <v>48.241999999999997</v>
      </c>
      <c r="D402" s="1">
        <v>25.983000000000001</v>
      </c>
      <c r="E402" s="1">
        <v>74.224999999999994</v>
      </c>
      <c r="F402" s="1">
        <v>76.495999999999995</v>
      </c>
      <c r="G402" s="2">
        <v>6.1050000000000004</v>
      </c>
      <c r="H402" s="2">
        <v>4.8179999999999996</v>
      </c>
      <c r="I402" s="2">
        <v>10.922000000000001</v>
      </c>
      <c r="J402" s="2">
        <v>10.930999999999999</v>
      </c>
      <c r="K402" s="3">
        <v>42.137999999999998</v>
      </c>
      <c r="L402" s="3">
        <v>21.166</v>
      </c>
      <c r="M402" s="3">
        <v>63.302999999999997</v>
      </c>
      <c r="N402" s="3">
        <v>65.564999999999998</v>
      </c>
      <c r="O402">
        <v>2017</v>
      </c>
      <c r="Q402" s="12" t="str">
        <f>TEXT(VALUE(Table1[[#This Row],[Content.Column7]])*1000,"#,##0")</f>
        <v>6,105</v>
      </c>
      <c r="R402" s="12" t="str">
        <f>TEXT(VALUE(Table1[[#This Row],[Content.Column8]])*1000,"#,##0")</f>
        <v>4,818</v>
      </c>
      <c r="S402" s="12" t="str">
        <f>TEXT(VALUE(Table1[[#This Row],[Content.Column9]])*1000,"#,##0")</f>
        <v>10,922</v>
      </c>
      <c r="T402" s="12" t="str">
        <f>TEXT(VALUE(Table1[[#This Row],[Content.Column10]])*1000,"#,##0")</f>
        <v>10,931</v>
      </c>
      <c r="U402" s="13" t="str">
        <f>TEXT(VALUE(Table1[[#This Row],[Content.Column11]])*1000,"#,##0")</f>
        <v>42,138</v>
      </c>
      <c r="V402" s="13" t="str">
        <f>TEXT(VALUE(Table1[[#This Row],[Content.Column12]])*1000,"#,##0")</f>
        <v>21,166</v>
      </c>
      <c r="W402" s="13" t="str">
        <f>TEXT(VALUE(Table1[[#This Row],[Content.Column13]])*1000,"#,##0")</f>
        <v>63,303</v>
      </c>
      <c r="X402" s="13" t="str">
        <f>TEXT(VALUE(Table1[[#This Row],[Content.Column14]])*1000,"#,##0")</f>
        <v>65,565</v>
      </c>
      <c r="Y402" s="14" t="str">
        <f>TEXT(VALUE(Table1[[#This Row],[Content.Column3]])*1000,"#,##0")</f>
        <v>48,242</v>
      </c>
      <c r="Z402" s="14" t="str">
        <f>TEXT(VALUE(Table1[[#This Row],[Content.Column4]])*1000,"#,##0")</f>
        <v>25,983</v>
      </c>
      <c r="AA402" s="14" t="str">
        <f>TEXT(VALUE(Table1[[#This Row],[Content.Column5]])*1000,"#,##0")</f>
        <v>74,225</v>
      </c>
      <c r="AB402" s="14" t="str">
        <f>TEXT(VALUE(Table1[[#This Row],[Content.Column6]])*1000,"#,##0")</f>
        <v>76,496</v>
      </c>
    </row>
    <row r="403" spans="1:28" x14ac:dyDescent="0.3">
      <c r="A403" t="s">
        <v>56</v>
      </c>
      <c r="B403" t="s">
        <v>57</v>
      </c>
      <c r="C403" s="6">
        <v>54.155999999999999</v>
      </c>
      <c r="D403" s="1">
        <v>29.943999999999999</v>
      </c>
      <c r="E403" s="1">
        <v>84.1</v>
      </c>
      <c r="F403" s="1">
        <v>86.087000000000003</v>
      </c>
      <c r="G403" s="2">
        <v>10.336</v>
      </c>
      <c r="H403" s="2">
        <v>6.08</v>
      </c>
      <c r="I403" s="2">
        <v>16.414999999999999</v>
      </c>
      <c r="J403" s="2">
        <v>16.422999999999998</v>
      </c>
      <c r="K403" s="3">
        <v>43.82</v>
      </c>
      <c r="L403" s="3">
        <v>23.864000000000001</v>
      </c>
      <c r="M403" s="3">
        <v>67.683999999999997</v>
      </c>
      <c r="N403" s="3">
        <v>69.664000000000001</v>
      </c>
      <c r="O403">
        <v>2017</v>
      </c>
      <c r="Q403" s="12" t="str">
        <f>TEXT(VALUE(Table1[[#This Row],[Content.Column7]])*1000,"#,##0")</f>
        <v>10,336</v>
      </c>
      <c r="R403" s="12" t="str">
        <f>TEXT(VALUE(Table1[[#This Row],[Content.Column8]])*1000,"#,##0")</f>
        <v>6,080</v>
      </c>
      <c r="S403" s="12" t="str">
        <f>TEXT(VALUE(Table1[[#This Row],[Content.Column9]])*1000,"#,##0")</f>
        <v>16,415</v>
      </c>
      <c r="T403" s="12" t="str">
        <f>TEXT(VALUE(Table1[[#This Row],[Content.Column10]])*1000,"#,##0")</f>
        <v>16,423</v>
      </c>
      <c r="U403" s="13" t="str">
        <f>TEXT(VALUE(Table1[[#This Row],[Content.Column11]])*1000,"#,##0")</f>
        <v>43,820</v>
      </c>
      <c r="V403" s="13" t="str">
        <f>TEXT(VALUE(Table1[[#This Row],[Content.Column12]])*1000,"#,##0")</f>
        <v>23,864</v>
      </c>
      <c r="W403" s="13" t="str">
        <f>TEXT(VALUE(Table1[[#This Row],[Content.Column13]])*1000,"#,##0")</f>
        <v>67,684</v>
      </c>
      <c r="X403" s="13" t="str">
        <f>TEXT(VALUE(Table1[[#This Row],[Content.Column14]])*1000,"#,##0")</f>
        <v>69,664</v>
      </c>
      <c r="Y403" s="14" t="str">
        <f>TEXT(VALUE(Table1[[#This Row],[Content.Column3]])*1000,"#,##0")</f>
        <v>54,156</v>
      </c>
      <c r="Z403" s="14" t="str">
        <f>TEXT(VALUE(Table1[[#This Row],[Content.Column4]])*1000,"#,##0")</f>
        <v>29,944</v>
      </c>
      <c r="AA403" s="14" t="str">
        <f>TEXT(VALUE(Table1[[#This Row],[Content.Column5]])*1000,"#,##0")</f>
        <v>84,100</v>
      </c>
      <c r="AB403" s="14" t="str">
        <f>TEXT(VALUE(Table1[[#This Row],[Content.Column6]])*1000,"#,##0")</f>
        <v>86,087</v>
      </c>
    </row>
    <row r="404" spans="1:28" x14ac:dyDescent="0.3">
      <c r="A404" t="s">
        <v>58</v>
      </c>
      <c r="B404" t="s">
        <v>59</v>
      </c>
      <c r="C404" s="6">
        <v>138.863</v>
      </c>
      <c r="D404" s="1">
        <v>50.496000000000002</v>
      </c>
      <c r="E404" s="1">
        <v>189.35900000000001</v>
      </c>
      <c r="F404" s="1">
        <v>192.38900000000001</v>
      </c>
      <c r="G404" s="2">
        <v>14.91</v>
      </c>
      <c r="H404" s="2">
        <v>9.8840000000000003</v>
      </c>
      <c r="I404" s="2">
        <v>24.795000000000002</v>
      </c>
      <c r="J404" s="2">
        <v>24.888999999999999</v>
      </c>
      <c r="K404" s="3">
        <v>123.953</v>
      </c>
      <c r="L404" s="3">
        <v>40.610999999999997</v>
      </c>
      <c r="M404" s="3">
        <v>164.56399999999999</v>
      </c>
      <c r="N404" s="3">
        <v>167.501</v>
      </c>
      <c r="O404">
        <v>2017</v>
      </c>
      <c r="Q404" s="12" t="str">
        <f>TEXT(VALUE(Table1[[#This Row],[Content.Column7]])*1000,"#,##0")</f>
        <v>14,910</v>
      </c>
      <c r="R404" s="12" t="str">
        <f>TEXT(VALUE(Table1[[#This Row],[Content.Column8]])*1000,"#,##0")</f>
        <v>9,884</v>
      </c>
      <c r="S404" s="12" t="str">
        <f>TEXT(VALUE(Table1[[#This Row],[Content.Column9]])*1000,"#,##0")</f>
        <v>24,795</v>
      </c>
      <c r="T404" s="12" t="str">
        <f>TEXT(VALUE(Table1[[#This Row],[Content.Column10]])*1000,"#,##0")</f>
        <v>24,889</v>
      </c>
      <c r="U404" s="13" t="str">
        <f>TEXT(VALUE(Table1[[#This Row],[Content.Column11]])*1000,"#,##0")</f>
        <v>123,953</v>
      </c>
      <c r="V404" s="13" t="str">
        <f>TEXT(VALUE(Table1[[#This Row],[Content.Column12]])*1000,"#,##0")</f>
        <v>40,611</v>
      </c>
      <c r="W404" s="13" t="str">
        <f>TEXT(VALUE(Table1[[#This Row],[Content.Column13]])*1000,"#,##0")</f>
        <v>164,564</v>
      </c>
      <c r="X404" s="13" t="str">
        <f>TEXT(VALUE(Table1[[#This Row],[Content.Column14]])*1000,"#,##0")</f>
        <v>167,501</v>
      </c>
      <c r="Y404" s="14" t="str">
        <f>TEXT(VALUE(Table1[[#This Row],[Content.Column3]])*1000,"#,##0")</f>
        <v>138,863</v>
      </c>
      <c r="Z404" s="14" t="str">
        <f>TEXT(VALUE(Table1[[#This Row],[Content.Column4]])*1000,"#,##0")</f>
        <v>50,496</v>
      </c>
      <c r="AA404" s="14" t="str">
        <f>TEXT(VALUE(Table1[[#This Row],[Content.Column5]])*1000,"#,##0")</f>
        <v>189,359</v>
      </c>
      <c r="AB404" s="14" t="str">
        <f>TEXT(VALUE(Table1[[#This Row],[Content.Column6]])*1000,"#,##0")</f>
        <v>192,389</v>
      </c>
    </row>
    <row r="405" spans="1:28" x14ac:dyDescent="0.3">
      <c r="A405" t="s">
        <v>60</v>
      </c>
      <c r="B405" t="s">
        <v>61</v>
      </c>
      <c r="C405" s="6">
        <v>117.042</v>
      </c>
      <c r="D405" s="1">
        <v>45.036000000000001</v>
      </c>
      <c r="E405" s="1">
        <v>162.078</v>
      </c>
      <c r="F405" s="1">
        <v>164.34299999999999</v>
      </c>
      <c r="G405" s="2">
        <v>12.002000000000001</v>
      </c>
      <c r="H405" s="2">
        <v>4.0609999999999999</v>
      </c>
      <c r="I405" s="2">
        <v>16.062999999999999</v>
      </c>
      <c r="J405" s="2">
        <v>16.411999999999999</v>
      </c>
      <c r="K405" s="3">
        <v>105.039</v>
      </c>
      <c r="L405" s="3">
        <v>40.975999999999999</v>
      </c>
      <c r="M405" s="3">
        <v>146.01499999999999</v>
      </c>
      <c r="N405" s="3">
        <v>147.93100000000001</v>
      </c>
      <c r="O405">
        <v>2017</v>
      </c>
      <c r="Q405" s="12" t="str">
        <f>TEXT(VALUE(Table1[[#This Row],[Content.Column7]])*1000,"#,##0")</f>
        <v>12,002</v>
      </c>
      <c r="R405" s="12" t="str">
        <f>TEXT(VALUE(Table1[[#This Row],[Content.Column8]])*1000,"#,##0")</f>
        <v>4,061</v>
      </c>
      <c r="S405" s="12" t="str">
        <f>TEXT(VALUE(Table1[[#This Row],[Content.Column9]])*1000,"#,##0")</f>
        <v>16,063</v>
      </c>
      <c r="T405" s="12" t="str">
        <f>TEXT(VALUE(Table1[[#This Row],[Content.Column10]])*1000,"#,##0")</f>
        <v>16,412</v>
      </c>
      <c r="U405" s="13" t="str">
        <f>TEXT(VALUE(Table1[[#This Row],[Content.Column11]])*1000,"#,##0")</f>
        <v>105,039</v>
      </c>
      <c r="V405" s="13" t="str">
        <f>TEXT(VALUE(Table1[[#This Row],[Content.Column12]])*1000,"#,##0")</f>
        <v>40,976</v>
      </c>
      <c r="W405" s="13" t="str">
        <f>TEXT(VALUE(Table1[[#This Row],[Content.Column13]])*1000,"#,##0")</f>
        <v>146,015</v>
      </c>
      <c r="X405" s="13" t="str">
        <f>TEXT(VALUE(Table1[[#This Row],[Content.Column14]])*1000,"#,##0")</f>
        <v>147,931</v>
      </c>
      <c r="Y405" s="14" t="str">
        <f>TEXT(VALUE(Table1[[#This Row],[Content.Column3]])*1000,"#,##0")</f>
        <v>117,042</v>
      </c>
      <c r="Z405" s="14" t="str">
        <f>TEXT(VALUE(Table1[[#This Row],[Content.Column4]])*1000,"#,##0")</f>
        <v>45,036</v>
      </c>
      <c r="AA405" s="14" t="str">
        <f>TEXT(VALUE(Table1[[#This Row],[Content.Column5]])*1000,"#,##0")</f>
        <v>162,078</v>
      </c>
      <c r="AB405" s="14" t="str">
        <f>TEXT(VALUE(Table1[[#This Row],[Content.Column6]])*1000,"#,##0")</f>
        <v>164,343</v>
      </c>
    </row>
    <row r="406" spans="1:28" x14ac:dyDescent="0.3">
      <c r="A406" t="s">
        <v>62</v>
      </c>
      <c r="B406" t="s">
        <v>63</v>
      </c>
      <c r="C406" s="6">
        <v>175.24100000000001</v>
      </c>
      <c r="D406" s="1">
        <v>45.418999999999997</v>
      </c>
      <c r="E406" s="1">
        <v>220.66</v>
      </c>
      <c r="F406" s="1">
        <v>226.239</v>
      </c>
      <c r="G406" s="2">
        <v>14.583</v>
      </c>
      <c r="H406" s="2">
        <v>4.0190000000000001</v>
      </c>
      <c r="I406" s="2">
        <v>18.602</v>
      </c>
      <c r="J406" s="2">
        <v>18.611000000000001</v>
      </c>
      <c r="K406" s="3">
        <v>160.65700000000001</v>
      </c>
      <c r="L406" s="3">
        <v>41.4</v>
      </c>
      <c r="M406" s="3">
        <v>202.05799999999999</v>
      </c>
      <c r="N406" s="3">
        <v>207.62700000000001</v>
      </c>
      <c r="O406">
        <v>2017</v>
      </c>
      <c r="Q406" s="12" t="str">
        <f>TEXT(VALUE(Table1[[#This Row],[Content.Column7]])*1000,"#,##0")</f>
        <v>14,583</v>
      </c>
      <c r="R406" s="12" t="str">
        <f>TEXT(VALUE(Table1[[#This Row],[Content.Column8]])*1000,"#,##0")</f>
        <v>4,019</v>
      </c>
      <c r="S406" s="12" t="str">
        <f>TEXT(VALUE(Table1[[#This Row],[Content.Column9]])*1000,"#,##0")</f>
        <v>18,602</v>
      </c>
      <c r="T406" s="12" t="str">
        <f>TEXT(VALUE(Table1[[#This Row],[Content.Column10]])*1000,"#,##0")</f>
        <v>18,611</v>
      </c>
      <c r="U406" s="13" t="str">
        <f>TEXT(VALUE(Table1[[#This Row],[Content.Column11]])*1000,"#,##0")</f>
        <v>160,657</v>
      </c>
      <c r="V406" s="13" t="str">
        <f>TEXT(VALUE(Table1[[#This Row],[Content.Column12]])*1000,"#,##0")</f>
        <v>41,400</v>
      </c>
      <c r="W406" s="13" t="str">
        <f>TEXT(VALUE(Table1[[#This Row],[Content.Column13]])*1000,"#,##0")</f>
        <v>202,058</v>
      </c>
      <c r="X406" s="13" t="str">
        <f>TEXT(VALUE(Table1[[#This Row],[Content.Column14]])*1000,"#,##0")</f>
        <v>207,627</v>
      </c>
      <c r="Y406" s="14" t="str">
        <f>TEXT(VALUE(Table1[[#This Row],[Content.Column3]])*1000,"#,##0")</f>
        <v>175,241</v>
      </c>
      <c r="Z406" s="14" t="str">
        <f>TEXT(VALUE(Table1[[#This Row],[Content.Column4]])*1000,"#,##0")</f>
        <v>45,419</v>
      </c>
      <c r="AA406" s="14" t="str">
        <f>TEXT(VALUE(Table1[[#This Row],[Content.Column5]])*1000,"#,##0")</f>
        <v>220,660</v>
      </c>
      <c r="AB406" s="14" t="str">
        <f>TEXT(VALUE(Table1[[#This Row],[Content.Column6]])*1000,"#,##0")</f>
        <v>226,239</v>
      </c>
    </row>
    <row r="407" spans="1:28" x14ac:dyDescent="0.3">
      <c r="A407" t="s">
        <v>64</v>
      </c>
      <c r="B407" t="s">
        <v>65</v>
      </c>
      <c r="C407" s="6">
        <v>99.385000000000005</v>
      </c>
      <c r="D407" s="1">
        <v>36.125</v>
      </c>
      <c r="E407" s="1">
        <v>135.51</v>
      </c>
      <c r="F407" s="1">
        <v>139.166</v>
      </c>
      <c r="G407" s="2">
        <v>14.861000000000001</v>
      </c>
      <c r="H407" s="2">
        <v>4.9329999999999998</v>
      </c>
      <c r="I407" s="2">
        <v>19.794</v>
      </c>
      <c r="J407" s="2">
        <v>19.8</v>
      </c>
      <c r="K407" s="3">
        <v>84.524000000000001</v>
      </c>
      <c r="L407" s="3">
        <v>31.192</v>
      </c>
      <c r="M407" s="3">
        <v>115.71599999999999</v>
      </c>
      <c r="N407" s="3">
        <v>119.366</v>
      </c>
      <c r="O407">
        <v>2017</v>
      </c>
      <c r="Q407" s="12" t="str">
        <f>TEXT(VALUE(Table1[[#This Row],[Content.Column7]])*1000,"#,##0")</f>
        <v>14,861</v>
      </c>
      <c r="R407" s="12" t="str">
        <f>TEXT(VALUE(Table1[[#This Row],[Content.Column8]])*1000,"#,##0")</f>
        <v>4,933</v>
      </c>
      <c r="S407" s="12" t="str">
        <f>TEXT(VALUE(Table1[[#This Row],[Content.Column9]])*1000,"#,##0")</f>
        <v>19,794</v>
      </c>
      <c r="T407" s="12" t="str">
        <f>TEXT(VALUE(Table1[[#This Row],[Content.Column10]])*1000,"#,##0")</f>
        <v>19,800</v>
      </c>
      <c r="U407" s="13" t="str">
        <f>TEXT(VALUE(Table1[[#This Row],[Content.Column11]])*1000,"#,##0")</f>
        <v>84,524</v>
      </c>
      <c r="V407" s="13" t="str">
        <f>TEXT(VALUE(Table1[[#This Row],[Content.Column12]])*1000,"#,##0")</f>
        <v>31,192</v>
      </c>
      <c r="W407" s="13" t="str">
        <f>TEXT(VALUE(Table1[[#This Row],[Content.Column13]])*1000,"#,##0")</f>
        <v>115,716</v>
      </c>
      <c r="X407" s="13" t="str">
        <f>TEXT(VALUE(Table1[[#This Row],[Content.Column14]])*1000,"#,##0")</f>
        <v>119,366</v>
      </c>
      <c r="Y407" s="14" t="str">
        <f>TEXT(VALUE(Table1[[#This Row],[Content.Column3]])*1000,"#,##0")</f>
        <v>99,385</v>
      </c>
      <c r="Z407" s="14" t="str">
        <f>TEXT(VALUE(Table1[[#This Row],[Content.Column4]])*1000,"#,##0")</f>
        <v>36,125</v>
      </c>
      <c r="AA407" s="14" t="str">
        <f>TEXT(VALUE(Table1[[#This Row],[Content.Column5]])*1000,"#,##0")</f>
        <v>135,510</v>
      </c>
      <c r="AB407" s="14" t="str">
        <f>TEXT(VALUE(Table1[[#This Row],[Content.Column6]])*1000,"#,##0")</f>
        <v>139,166</v>
      </c>
    </row>
    <row r="408" spans="1:28" x14ac:dyDescent="0.3">
      <c r="A408" t="s">
        <v>66</v>
      </c>
      <c r="B408" t="s">
        <v>67</v>
      </c>
      <c r="C408" s="6">
        <v>52.991</v>
      </c>
      <c r="D408" s="1">
        <v>32.738</v>
      </c>
      <c r="E408" s="1">
        <v>85.728999999999999</v>
      </c>
      <c r="F408" s="1">
        <v>87.057000000000002</v>
      </c>
      <c r="G408" s="2">
        <v>7.0679999999999996</v>
      </c>
      <c r="H408" s="2">
        <v>4.4779999999999998</v>
      </c>
      <c r="I408" s="2">
        <v>11.545999999999999</v>
      </c>
      <c r="J408" s="2">
        <v>11.56</v>
      </c>
      <c r="K408" s="3">
        <v>45.923000000000002</v>
      </c>
      <c r="L408" s="3">
        <v>28.26</v>
      </c>
      <c r="M408" s="3">
        <v>74.183000000000007</v>
      </c>
      <c r="N408" s="3">
        <v>75.497</v>
      </c>
      <c r="O408">
        <v>2017</v>
      </c>
      <c r="Q408" s="12" t="str">
        <f>TEXT(VALUE(Table1[[#This Row],[Content.Column7]])*1000,"#,##0")</f>
        <v>7,068</v>
      </c>
      <c r="R408" s="12" t="str">
        <f>TEXT(VALUE(Table1[[#This Row],[Content.Column8]])*1000,"#,##0")</f>
        <v>4,478</v>
      </c>
      <c r="S408" s="12" t="str">
        <f>TEXT(VALUE(Table1[[#This Row],[Content.Column9]])*1000,"#,##0")</f>
        <v>11,546</v>
      </c>
      <c r="T408" s="12" t="str">
        <f>TEXT(VALUE(Table1[[#This Row],[Content.Column10]])*1000,"#,##0")</f>
        <v>11,560</v>
      </c>
      <c r="U408" s="13" t="str">
        <f>TEXT(VALUE(Table1[[#This Row],[Content.Column11]])*1000,"#,##0")</f>
        <v>45,923</v>
      </c>
      <c r="V408" s="13" t="str">
        <f>TEXT(VALUE(Table1[[#This Row],[Content.Column12]])*1000,"#,##0")</f>
        <v>28,260</v>
      </c>
      <c r="W408" s="13" t="str">
        <f>TEXT(VALUE(Table1[[#This Row],[Content.Column13]])*1000,"#,##0")</f>
        <v>74,183</v>
      </c>
      <c r="X408" s="13" t="str">
        <f>TEXT(VALUE(Table1[[#This Row],[Content.Column14]])*1000,"#,##0")</f>
        <v>75,497</v>
      </c>
      <c r="Y408" s="14" t="str">
        <f>TEXT(VALUE(Table1[[#This Row],[Content.Column3]])*1000,"#,##0")</f>
        <v>52,991</v>
      </c>
      <c r="Z408" s="14" t="str">
        <f>TEXT(VALUE(Table1[[#This Row],[Content.Column4]])*1000,"#,##0")</f>
        <v>32,738</v>
      </c>
      <c r="AA408" s="14" t="str">
        <f>TEXT(VALUE(Table1[[#This Row],[Content.Column5]])*1000,"#,##0")</f>
        <v>85,729</v>
      </c>
      <c r="AB408" s="14" t="str">
        <f>TEXT(VALUE(Table1[[#This Row],[Content.Column6]])*1000,"#,##0")</f>
        <v>87,057</v>
      </c>
    </row>
    <row r="409" spans="1:28" x14ac:dyDescent="0.3">
      <c r="A409" t="s">
        <v>68</v>
      </c>
      <c r="B409" t="s">
        <v>69</v>
      </c>
      <c r="C409" s="6">
        <v>104.003</v>
      </c>
      <c r="D409" s="1">
        <v>44.024999999999999</v>
      </c>
      <c r="E409" s="1">
        <v>148.02799999999999</v>
      </c>
      <c r="F409" s="1">
        <v>151.97300000000001</v>
      </c>
      <c r="G409" s="2">
        <v>26.992999999999999</v>
      </c>
      <c r="H409" s="2">
        <v>9.0359999999999996</v>
      </c>
      <c r="I409" s="2">
        <v>36.029000000000003</v>
      </c>
      <c r="J409" s="2">
        <v>36.359000000000002</v>
      </c>
      <c r="K409" s="3">
        <v>77.009</v>
      </c>
      <c r="L409" s="3">
        <v>34.99</v>
      </c>
      <c r="M409" s="3">
        <v>111.999</v>
      </c>
      <c r="N409" s="3">
        <v>115.614</v>
      </c>
      <c r="O409">
        <v>2017</v>
      </c>
      <c r="Q409" s="12" t="str">
        <f>TEXT(VALUE(Table1[[#This Row],[Content.Column7]])*1000,"#,##0")</f>
        <v>26,993</v>
      </c>
      <c r="R409" s="12" t="str">
        <f>TEXT(VALUE(Table1[[#This Row],[Content.Column8]])*1000,"#,##0")</f>
        <v>9,036</v>
      </c>
      <c r="S409" s="12" t="str">
        <f>TEXT(VALUE(Table1[[#This Row],[Content.Column9]])*1000,"#,##0")</f>
        <v>36,029</v>
      </c>
      <c r="T409" s="12" t="str">
        <f>TEXT(VALUE(Table1[[#This Row],[Content.Column10]])*1000,"#,##0")</f>
        <v>36,359</v>
      </c>
      <c r="U409" s="13" t="str">
        <f>TEXT(VALUE(Table1[[#This Row],[Content.Column11]])*1000,"#,##0")</f>
        <v>77,009</v>
      </c>
      <c r="V409" s="13" t="str">
        <f>TEXT(VALUE(Table1[[#This Row],[Content.Column12]])*1000,"#,##0")</f>
        <v>34,990</v>
      </c>
      <c r="W409" s="13" t="str">
        <f>TEXT(VALUE(Table1[[#This Row],[Content.Column13]])*1000,"#,##0")</f>
        <v>111,999</v>
      </c>
      <c r="X409" s="13" t="str">
        <f>TEXT(VALUE(Table1[[#This Row],[Content.Column14]])*1000,"#,##0")</f>
        <v>115,614</v>
      </c>
      <c r="Y409" s="14" t="str">
        <f>TEXT(VALUE(Table1[[#This Row],[Content.Column3]])*1000,"#,##0")</f>
        <v>104,003</v>
      </c>
      <c r="Z409" s="14" t="str">
        <f>TEXT(VALUE(Table1[[#This Row],[Content.Column4]])*1000,"#,##0")</f>
        <v>44,025</v>
      </c>
      <c r="AA409" s="14" t="str">
        <f>TEXT(VALUE(Table1[[#This Row],[Content.Column5]])*1000,"#,##0")</f>
        <v>148,028</v>
      </c>
      <c r="AB409" s="14" t="str">
        <f>TEXT(VALUE(Table1[[#This Row],[Content.Column6]])*1000,"#,##0")</f>
        <v>151,973</v>
      </c>
    </row>
    <row r="410" spans="1:28" x14ac:dyDescent="0.3">
      <c r="A410" t="s">
        <v>70</v>
      </c>
      <c r="B410" t="s">
        <v>71</v>
      </c>
      <c r="C410" s="6">
        <v>41.326999999999998</v>
      </c>
      <c r="D410" s="1">
        <v>25.969000000000001</v>
      </c>
      <c r="E410" s="1">
        <v>67.296000000000006</v>
      </c>
      <c r="F410" s="1">
        <v>69.406000000000006</v>
      </c>
      <c r="G410" s="2">
        <v>9.7420000000000009</v>
      </c>
      <c r="H410" s="2">
        <v>6.024</v>
      </c>
      <c r="I410" s="2">
        <v>15.765000000000001</v>
      </c>
      <c r="J410" s="2">
        <v>16.181999999999999</v>
      </c>
      <c r="K410" s="3">
        <v>31.585000000000001</v>
      </c>
      <c r="L410" s="3">
        <v>19.945</v>
      </c>
      <c r="M410" s="3">
        <v>51.53</v>
      </c>
      <c r="N410" s="3">
        <v>53.223999999999997</v>
      </c>
      <c r="O410">
        <v>2017</v>
      </c>
      <c r="Q410" s="12" t="str">
        <f>TEXT(VALUE(Table1[[#This Row],[Content.Column7]])*1000,"#,##0")</f>
        <v>9,742</v>
      </c>
      <c r="R410" s="12" t="str">
        <f>TEXT(VALUE(Table1[[#This Row],[Content.Column8]])*1000,"#,##0")</f>
        <v>6,024</v>
      </c>
      <c r="S410" s="12" t="str">
        <f>TEXT(VALUE(Table1[[#This Row],[Content.Column9]])*1000,"#,##0")</f>
        <v>15,765</v>
      </c>
      <c r="T410" s="12" t="str">
        <f>TEXT(VALUE(Table1[[#This Row],[Content.Column10]])*1000,"#,##0")</f>
        <v>16,182</v>
      </c>
      <c r="U410" s="13" t="str">
        <f>TEXT(VALUE(Table1[[#This Row],[Content.Column11]])*1000,"#,##0")</f>
        <v>31,585</v>
      </c>
      <c r="V410" s="13" t="str">
        <f>TEXT(VALUE(Table1[[#This Row],[Content.Column12]])*1000,"#,##0")</f>
        <v>19,945</v>
      </c>
      <c r="W410" s="13" t="str">
        <f>TEXT(VALUE(Table1[[#This Row],[Content.Column13]])*1000,"#,##0")</f>
        <v>51,530</v>
      </c>
      <c r="X410" s="13" t="str">
        <f>TEXT(VALUE(Table1[[#This Row],[Content.Column14]])*1000,"#,##0")</f>
        <v>53,224</v>
      </c>
      <c r="Y410" s="14" t="str">
        <f>TEXT(VALUE(Table1[[#This Row],[Content.Column3]])*1000,"#,##0")</f>
        <v>41,327</v>
      </c>
      <c r="Z410" s="14" t="str">
        <f>TEXT(VALUE(Table1[[#This Row],[Content.Column4]])*1000,"#,##0")</f>
        <v>25,969</v>
      </c>
      <c r="AA410" s="14" t="str">
        <f>TEXT(VALUE(Table1[[#This Row],[Content.Column5]])*1000,"#,##0")</f>
        <v>67,296</v>
      </c>
      <c r="AB410" s="14" t="str">
        <f>TEXT(VALUE(Table1[[#This Row],[Content.Column6]])*1000,"#,##0")</f>
        <v>69,406</v>
      </c>
    </row>
    <row r="411" spans="1:28" x14ac:dyDescent="0.3">
      <c r="A411" t="s">
        <v>72</v>
      </c>
      <c r="B411" t="s">
        <v>73</v>
      </c>
      <c r="C411" s="6">
        <v>56.48</v>
      </c>
      <c r="D411" s="1">
        <v>26.363</v>
      </c>
      <c r="E411" s="1">
        <v>82.841999999999999</v>
      </c>
      <c r="F411" s="1">
        <v>84.557000000000002</v>
      </c>
      <c r="G411" s="2">
        <v>6.0149999999999997</v>
      </c>
      <c r="H411" s="2">
        <v>2.851</v>
      </c>
      <c r="I411" s="2">
        <v>8.8659999999999997</v>
      </c>
      <c r="J411" s="2">
        <v>8.8729999999999993</v>
      </c>
      <c r="K411" s="3">
        <v>50.463999999999999</v>
      </c>
      <c r="L411" s="3">
        <v>23.510999999999999</v>
      </c>
      <c r="M411" s="3">
        <v>73.975999999999999</v>
      </c>
      <c r="N411" s="3">
        <v>75.683999999999997</v>
      </c>
      <c r="O411">
        <v>2017</v>
      </c>
      <c r="Q411" s="12" t="str">
        <f>TEXT(VALUE(Table1[[#This Row],[Content.Column7]])*1000,"#,##0")</f>
        <v>6,015</v>
      </c>
      <c r="R411" s="12" t="str">
        <f>TEXT(VALUE(Table1[[#This Row],[Content.Column8]])*1000,"#,##0")</f>
        <v>2,851</v>
      </c>
      <c r="S411" s="12" t="str">
        <f>TEXT(VALUE(Table1[[#This Row],[Content.Column9]])*1000,"#,##0")</f>
        <v>8,866</v>
      </c>
      <c r="T411" s="12" t="str">
        <f>TEXT(VALUE(Table1[[#This Row],[Content.Column10]])*1000,"#,##0")</f>
        <v>8,873</v>
      </c>
      <c r="U411" s="13" t="str">
        <f>TEXT(VALUE(Table1[[#This Row],[Content.Column11]])*1000,"#,##0")</f>
        <v>50,464</v>
      </c>
      <c r="V411" s="13" t="str">
        <f>TEXT(VALUE(Table1[[#This Row],[Content.Column12]])*1000,"#,##0")</f>
        <v>23,511</v>
      </c>
      <c r="W411" s="13" t="str">
        <f>TEXT(VALUE(Table1[[#This Row],[Content.Column13]])*1000,"#,##0")</f>
        <v>73,976</v>
      </c>
      <c r="X411" s="13" t="str">
        <f>TEXT(VALUE(Table1[[#This Row],[Content.Column14]])*1000,"#,##0")</f>
        <v>75,684</v>
      </c>
      <c r="Y411" s="14" t="str">
        <f>TEXT(VALUE(Table1[[#This Row],[Content.Column3]])*1000,"#,##0")</f>
        <v>56,480</v>
      </c>
      <c r="Z411" s="14" t="str">
        <f>TEXT(VALUE(Table1[[#This Row],[Content.Column4]])*1000,"#,##0")</f>
        <v>26,363</v>
      </c>
      <c r="AA411" s="14" t="str">
        <f>TEXT(VALUE(Table1[[#This Row],[Content.Column5]])*1000,"#,##0")</f>
        <v>82,842</v>
      </c>
      <c r="AB411" s="14" t="str">
        <f>TEXT(VALUE(Table1[[#This Row],[Content.Column6]])*1000,"#,##0")</f>
        <v>84,557</v>
      </c>
    </row>
    <row r="412" spans="1:28" x14ac:dyDescent="0.3">
      <c r="A412" t="s">
        <v>74</v>
      </c>
      <c r="B412" t="s">
        <v>75</v>
      </c>
      <c r="C412" s="6">
        <v>70.363</v>
      </c>
      <c r="D412" s="1">
        <v>36.722000000000001</v>
      </c>
      <c r="E412" s="1">
        <v>107.08499999999999</v>
      </c>
      <c r="F412" s="1">
        <v>109.116</v>
      </c>
      <c r="G412" s="2">
        <v>15.917</v>
      </c>
      <c r="H412" s="2">
        <v>6.7759999999999998</v>
      </c>
      <c r="I412" s="2">
        <v>22.693000000000001</v>
      </c>
      <c r="J412" s="2">
        <v>22.734000000000002</v>
      </c>
      <c r="K412" s="3">
        <v>54.445999999999998</v>
      </c>
      <c r="L412" s="3">
        <v>29.946000000000002</v>
      </c>
      <c r="M412" s="3">
        <v>84.391999999999996</v>
      </c>
      <c r="N412" s="3">
        <v>86.382000000000005</v>
      </c>
      <c r="O412">
        <v>2017</v>
      </c>
      <c r="Q412" s="12" t="str">
        <f>TEXT(VALUE(Table1[[#This Row],[Content.Column7]])*1000,"#,##0")</f>
        <v>15,917</v>
      </c>
      <c r="R412" s="12" t="str">
        <f>TEXT(VALUE(Table1[[#This Row],[Content.Column8]])*1000,"#,##0")</f>
        <v>6,776</v>
      </c>
      <c r="S412" s="12" t="str">
        <f>TEXT(VALUE(Table1[[#This Row],[Content.Column9]])*1000,"#,##0")</f>
        <v>22,693</v>
      </c>
      <c r="T412" s="12" t="str">
        <f>TEXT(VALUE(Table1[[#This Row],[Content.Column10]])*1000,"#,##0")</f>
        <v>22,734</v>
      </c>
      <c r="U412" s="13" t="str">
        <f>TEXT(VALUE(Table1[[#This Row],[Content.Column11]])*1000,"#,##0")</f>
        <v>54,446</v>
      </c>
      <c r="V412" s="13" t="str">
        <f>TEXT(VALUE(Table1[[#This Row],[Content.Column12]])*1000,"#,##0")</f>
        <v>29,946</v>
      </c>
      <c r="W412" s="13" t="str">
        <f>TEXT(VALUE(Table1[[#This Row],[Content.Column13]])*1000,"#,##0")</f>
        <v>84,392</v>
      </c>
      <c r="X412" s="13" t="str">
        <f>TEXT(VALUE(Table1[[#This Row],[Content.Column14]])*1000,"#,##0")</f>
        <v>86,382</v>
      </c>
      <c r="Y412" s="14" t="str">
        <f>TEXT(VALUE(Table1[[#This Row],[Content.Column3]])*1000,"#,##0")</f>
        <v>70,363</v>
      </c>
      <c r="Z412" s="14" t="str">
        <f>TEXT(VALUE(Table1[[#This Row],[Content.Column4]])*1000,"#,##0")</f>
        <v>36,722</v>
      </c>
      <c r="AA412" s="14" t="str">
        <f>TEXT(VALUE(Table1[[#This Row],[Content.Column5]])*1000,"#,##0")</f>
        <v>107,085</v>
      </c>
      <c r="AB412" s="14" t="str">
        <f>TEXT(VALUE(Table1[[#This Row],[Content.Column6]])*1000,"#,##0")</f>
        <v>109,116</v>
      </c>
    </row>
    <row r="413" spans="1:28" x14ac:dyDescent="0.3">
      <c r="A413" t="s">
        <v>76</v>
      </c>
      <c r="B413" t="s">
        <v>77</v>
      </c>
      <c r="C413" s="6">
        <v>52.308</v>
      </c>
      <c r="D413" s="1">
        <v>27.829000000000001</v>
      </c>
      <c r="E413" s="1">
        <v>80.135999999999996</v>
      </c>
      <c r="F413" s="1">
        <v>82.287999999999997</v>
      </c>
      <c r="G413" s="2">
        <v>11.932</v>
      </c>
      <c r="H413" s="2">
        <v>5.6379999999999999</v>
      </c>
      <c r="I413" s="2">
        <v>17.57</v>
      </c>
      <c r="J413" s="2">
        <v>17.582000000000001</v>
      </c>
      <c r="K413" s="3">
        <v>40.375999999999998</v>
      </c>
      <c r="L413" s="3">
        <v>22.19</v>
      </c>
      <c r="M413" s="3">
        <v>62.566000000000003</v>
      </c>
      <c r="N413" s="3">
        <v>64.706000000000003</v>
      </c>
      <c r="O413">
        <v>2017</v>
      </c>
      <c r="Q413" s="12" t="str">
        <f>TEXT(VALUE(Table1[[#This Row],[Content.Column7]])*1000,"#,##0")</f>
        <v>11,932</v>
      </c>
      <c r="R413" s="12" t="str">
        <f>TEXT(VALUE(Table1[[#This Row],[Content.Column8]])*1000,"#,##0")</f>
        <v>5,638</v>
      </c>
      <c r="S413" s="12" t="str">
        <f>TEXT(VALUE(Table1[[#This Row],[Content.Column9]])*1000,"#,##0")</f>
        <v>17,570</v>
      </c>
      <c r="T413" s="12" t="str">
        <f>TEXT(VALUE(Table1[[#This Row],[Content.Column10]])*1000,"#,##0")</f>
        <v>17,582</v>
      </c>
      <c r="U413" s="13" t="str">
        <f>TEXT(VALUE(Table1[[#This Row],[Content.Column11]])*1000,"#,##0")</f>
        <v>40,376</v>
      </c>
      <c r="V413" s="13" t="str">
        <f>TEXT(VALUE(Table1[[#This Row],[Content.Column12]])*1000,"#,##0")</f>
        <v>22,190</v>
      </c>
      <c r="W413" s="13" t="str">
        <f>TEXT(VALUE(Table1[[#This Row],[Content.Column13]])*1000,"#,##0")</f>
        <v>62,566</v>
      </c>
      <c r="X413" s="13" t="str">
        <f>TEXT(VALUE(Table1[[#This Row],[Content.Column14]])*1000,"#,##0")</f>
        <v>64,706</v>
      </c>
      <c r="Y413" s="14" t="str">
        <f>TEXT(VALUE(Table1[[#This Row],[Content.Column3]])*1000,"#,##0")</f>
        <v>52,308</v>
      </c>
      <c r="Z413" s="14" t="str">
        <f>TEXT(VALUE(Table1[[#This Row],[Content.Column4]])*1000,"#,##0")</f>
        <v>27,829</v>
      </c>
      <c r="AA413" s="14" t="str">
        <f>TEXT(VALUE(Table1[[#This Row],[Content.Column5]])*1000,"#,##0")</f>
        <v>80,136</v>
      </c>
      <c r="AB413" s="14" t="str">
        <f>TEXT(VALUE(Table1[[#This Row],[Content.Column6]])*1000,"#,##0")</f>
        <v>82,288</v>
      </c>
    </row>
    <row r="414" spans="1:28" x14ac:dyDescent="0.3">
      <c r="A414" t="s">
        <v>78</v>
      </c>
      <c r="B414" t="s">
        <v>79</v>
      </c>
      <c r="C414" s="6">
        <v>55.18</v>
      </c>
      <c r="D414" s="1">
        <v>26.091999999999999</v>
      </c>
      <c r="E414" s="1">
        <v>81.272000000000006</v>
      </c>
      <c r="F414" s="1">
        <v>83.626000000000005</v>
      </c>
      <c r="G414" s="2">
        <v>6.3390000000000004</v>
      </c>
      <c r="H414" s="2">
        <v>3.15</v>
      </c>
      <c r="I414" s="2">
        <v>9.4890000000000008</v>
      </c>
      <c r="J414" s="2">
        <v>9.5020000000000007</v>
      </c>
      <c r="K414" s="3">
        <v>48.841000000000001</v>
      </c>
      <c r="L414" s="3">
        <v>22.942</v>
      </c>
      <c r="M414" s="3">
        <v>71.783000000000001</v>
      </c>
      <c r="N414" s="3">
        <v>74.123999999999995</v>
      </c>
      <c r="O414">
        <v>2017</v>
      </c>
      <c r="Q414" s="12" t="str">
        <f>TEXT(VALUE(Table1[[#This Row],[Content.Column7]])*1000,"#,##0")</f>
        <v>6,339</v>
      </c>
      <c r="R414" s="12" t="str">
        <f>TEXT(VALUE(Table1[[#This Row],[Content.Column8]])*1000,"#,##0")</f>
        <v>3,150</v>
      </c>
      <c r="S414" s="12" t="str">
        <f>TEXT(VALUE(Table1[[#This Row],[Content.Column9]])*1000,"#,##0")</f>
        <v>9,489</v>
      </c>
      <c r="T414" s="12" t="str">
        <f>TEXT(VALUE(Table1[[#This Row],[Content.Column10]])*1000,"#,##0")</f>
        <v>9,502</v>
      </c>
      <c r="U414" s="13" t="str">
        <f>TEXT(VALUE(Table1[[#This Row],[Content.Column11]])*1000,"#,##0")</f>
        <v>48,841</v>
      </c>
      <c r="V414" s="13" t="str">
        <f>TEXT(VALUE(Table1[[#This Row],[Content.Column12]])*1000,"#,##0")</f>
        <v>22,942</v>
      </c>
      <c r="W414" s="13" t="str">
        <f>TEXT(VALUE(Table1[[#This Row],[Content.Column13]])*1000,"#,##0")</f>
        <v>71,783</v>
      </c>
      <c r="X414" s="13" t="str">
        <f>TEXT(VALUE(Table1[[#This Row],[Content.Column14]])*1000,"#,##0")</f>
        <v>74,124</v>
      </c>
      <c r="Y414" s="14" t="str">
        <f>TEXT(VALUE(Table1[[#This Row],[Content.Column3]])*1000,"#,##0")</f>
        <v>55,180</v>
      </c>
      <c r="Z414" s="14" t="str">
        <f>TEXT(VALUE(Table1[[#This Row],[Content.Column4]])*1000,"#,##0")</f>
        <v>26,092</v>
      </c>
      <c r="AA414" s="14" t="str">
        <f>TEXT(VALUE(Table1[[#This Row],[Content.Column5]])*1000,"#,##0")</f>
        <v>81,272</v>
      </c>
      <c r="AB414" s="14" t="str">
        <f>TEXT(VALUE(Table1[[#This Row],[Content.Column6]])*1000,"#,##0")</f>
        <v>83,626</v>
      </c>
    </row>
    <row r="415" spans="1:28" x14ac:dyDescent="0.3">
      <c r="A415" t="s">
        <v>80</v>
      </c>
      <c r="B415" t="s">
        <v>81</v>
      </c>
      <c r="C415" s="6">
        <v>185.29</v>
      </c>
      <c r="D415" s="1">
        <v>49.247</v>
      </c>
      <c r="E415" s="1">
        <v>234.53700000000001</v>
      </c>
      <c r="F415" s="1">
        <v>239.952</v>
      </c>
      <c r="G415" s="2">
        <v>34.914000000000001</v>
      </c>
      <c r="H415" s="2">
        <v>7.7649999999999997</v>
      </c>
      <c r="I415" s="2">
        <v>42.679000000000002</v>
      </c>
      <c r="J415" s="2">
        <v>42.773000000000003</v>
      </c>
      <c r="K415" s="3">
        <v>150.375</v>
      </c>
      <c r="L415" s="3">
        <v>41.481999999999999</v>
      </c>
      <c r="M415" s="3">
        <v>191.858</v>
      </c>
      <c r="N415" s="3">
        <v>197.179</v>
      </c>
      <c r="O415">
        <v>2017</v>
      </c>
      <c r="Q415" s="12" t="str">
        <f>TEXT(VALUE(Table1[[#This Row],[Content.Column7]])*1000,"#,##0")</f>
        <v>34,914</v>
      </c>
      <c r="R415" s="12" t="str">
        <f>TEXT(VALUE(Table1[[#This Row],[Content.Column8]])*1000,"#,##0")</f>
        <v>7,765</v>
      </c>
      <c r="S415" s="12" t="str">
        <f>TEXT(VALUE(Table1[[#This Row],[Content.Column9]])*1000,"#,##0")</f>
        <v>42,679</v>
      </c>
      <c r="T415" s="12" t="str">
        <f>TEXT(VALUE(Table1[[#This Row],[Content.Column10]])*1000,"#,##0")</f>
        <v>42,773</v>
      </c>
      <c r="U415" s="13" t="str">
        <f>TEXT(VALUE(Table1[[#This Row],[Content.Column11]])*1000,"#,##0")</f>
        <v>150,375</v>
      </c>
      <c r="V415" s="13" t="str">
        <f>TEXT(VALUE(Table1[[#This Row],[Content.Column12]])*1000,"#,##0")</f>
        <v>41,482</v>
      </c>
      <c r="W415" s="13" t="str">
        <f>TEXT(VALUE(Table1[[#This Row],[Content.Column13]])*1000,"#,##0")</f>
        <v>191,858</v>
      </c>
      <c r="X415" s="13" t="str">
        <f>TEXT(VALUE(Table1[[#This Row],[Content.Column14]])*1000,"#,##0")</f>
        <v>197,179</v>
      </c>
      <c r="Y415" s="14" t="str">
        <f>TEXT(VALUE(Table1[[#This Row],[Content.Column3]])*1000,"#,##0")</f>
        <v>185,290</v>
      </c>
      <c r="Z415" s="14" t="str">
        <f>TEXT(VALUE(Table1[[#This Row],[Content.Column4]])*1000,"#,##0")</f>
        <v>49,247</v>
      </c>
      <c r="AA415" s="14" t="str">
        <f>TEXT(VALUE(Table1[[#This Row],[Content.Column5]])*1000,"#,##0")</f>
        <v>234,537</v>
      </c>
      <c r="AB415" s="14" t="str">
        <f>TEXT(VALUE(Table1[[#This Row],[Content.Column6]])*1000,"#,##0")</f>
        <v>239,952</v>
      </c>
    </row>
    <row r="416" spans="1:28" x14ac:dyDescent="0.3">
      <c r="A416" t="s">
        <v>82</v>
      </c>
      <c r="B416" t="s">
        <v>83</v>
      </c>
      <c r="C416" s="6">
        <v>44.856999999999999</v>
      </c>
      <c r="D416" s="1">
        <v>26.613</v>
      </c>
      <c r="E416" s="1">
        <v>71.471000000000004</v>
      </c>
      <c r="F416" s="1">
        <v>73.17</v>
      </c>
      <c r="G416" s="2">
        <v>8.7729999999999997</v>
      </c>
      <c r="H416" s="2">
        <v>5.8630000000000004</v>
      </c>
      <c r="I416" s="2">
        <v>14.635999999999999</v>
      </c>
      <c r="J416" s="2">
        <v>14.675000000000001</v>
      </c>
      <c r="K416" s="3">
        <v>36.084000000000003</v>
      </c>
      <c r="L416" s="3">
        <v>20.75</v>
      </c>
      <c r="M416" s="3">
        <v>56.834000000000003</v>
      </c>
      <c r="N416" s="3">
        <v>58.494999999999997</v>
      </c>
      <c r="O416">
        <v>2017</v>
      </c>
      <c r="Q416" s="12" t="str">
        <f>TEXT(VALUE(Table1[[#This Row],[Content.Column7]])*1000,"#,##0")</f>
        <v>8,773</v>
      </c>
      <c r="R416" s="12" t="str">
        <f>TEXT(VALUE(Table1[[#This Row],[Content.Column8]])*1000,"#,##0")</f>
        <v>5,863</v>
      </c>
      <c r="S416" s="12" t="str">
        <f>TEXT(VALUE(Table1[[#This Row],[Content.Column9]])*1000,"#,##0")</f>
        <v>14,636</v>
      </c>
      <c r="T416" s="12" t="str">
        <f>TEXT(VALUE(Table1[[#This Row],[Content.Column10]])*1000,"#,##0")</f>
        <v>14,675</v>
      </c>
      <c r="U416" s="13" t="str">
        <f>TEXT(VALUE(Table1[[#This Row],[Content.Column11]])*1000,"#,##0")</f>
        <v>36,084</v>
      </c>
      <c r="V416" s="13" t="str">
        <f>TEXT(VALUE(Table1[[#This Row],[Content.Column12]])*1000,"#,##0")</f>
        <v>20,750</v>
      </c>
      <c r="W416" s="13" t="str">
        <f>TEXT(VALUE(Table1[[#This Row],[Content.Column13]])*1000,"#,##0")</f>
        <v>56,834</v>
      </c>
      <c r="X416" s="13" t="str">
        <f>TEXT(VALUE(Table1[[#This Row],[Content.Column14]])*1000,"#,##0")</f>
        <v>58,495</v>
      </c>
      <c r="Y416" s="14" t="str">
        <f>TEXT(VALUE(Table1[[#This Row],[Content.Column3]])*1000,"#,##0")</f>
        <v>44,857</v>
      </c>
      <c r="Z416" s="14" t="str">
        <f>TEXT(VALUE(Table1[[#This Row],[Content.Column4]])*1000,"#,##0")</f>
        <v>26,613</v>
      </c>
      <c r="AA416" s="14" t="str">
        <f>TEXT(VALUE(Table1[[#This Row],[Content.Column5]])*1000,"#,##0")</f>
        <v>71,471</v>
      </c>
      <c r="AB416" s="14" t="str">
        <f>TEXT(VALUE(Table1[[#This Row],[Content.Column6]])*1000,"#,##0")</f>
        <v>73,170</v>
      </c>
    </row>
    <row r="417" spans="1:28" x14ac:dyDescent="0.3">
      <c r="A417" t="s">
        <v>84</v>
      </c>
      <c r="B417" t="s">
        <v>85</v>
      </c>
      <c r="C417" s="6">
        <v>226.78200000000001</v>
      </c>
      <c r="D417" s="1">
        <v>63.731000000000002</v>
      </c>
      <c r="E417" s="1">
        <v>290.512</v>
      </c>
      <c r="F417" s="1">
        <v>295.13600000000002</v>
      </c>
      <c r="G417" s="2">
        <v>30.402999999999999</v>
      </c>
      <c r="H417" s="2">
        <v>15.342000000000001</v>
      </c>
      <c r="I417" s="2">
        <v>45.746000000000002</v>
      </c>
      <c r="J417" s="2">
        <v>45.786000000000001</v>
      </c>
      <c r="K417" s="3">
        <v>196.37799999999999</v>
      </c>
      <c r="L417" s="3">
        <v>48.387999999999998</v>
      </c>
      <c r="M417" s="3">
        <v>244.76599999999999</v>
      </c>
      <c r="N417" s="3">
        <v>249.35</v>
      </c>
      <c r="O417">
        <v>2017</v>
      </c>
      <c r="Q417" s="12" t="str">
        <f>TEXT(VALUE(Table1[[#This Row],[Content.Column7]])*1000,"#,##0")</f>
        <v>30,403</v>
      </c>
      <c r="R417" s="12" t="str">
        <f>TEXT(VALUE(Table1[[#This Row],[Content.Column8]])*1000,"#,##0")</f>
        <v>15,342</v>
      </c>
      <c r="S417" s="12" t="str">
        <f>TEXT(VALUE(Table1[[#This Row],[Content.Column9]])*1000,"#,##0")</f>
        <v>45,746</v>
      </c>
      <c r="T417" s="12" t="str">
        <f>TEXT(VALUE(Table1[[#This Row],[Content.Column10]])*1000,"#,##0")</f>
        <v>45,786</v>
      </c>
      <c r="U417" s="13" t="str">
        <f>TEXT(VALUE(Table1[[#This Row],[Content.Column11]])*1000,"#,##0")</f>
        <v>196,378</v>
      </c>
      <c r="V417" s="13" t="str">
        <f>TEXT(VALUE(Table1[[#This Row],[Content.Column12]])*1000,"#,##0")</f>
        <v>48,388</v>
      </c>
      <c r="W417" s="13" t="str">
        <f>TEXT(VALUE(Table1[[#This Row],[Content.Column13]])*1000,"#,##0")</f>
        <v>244,766</v>
      </c>
      <c r="X417" s="13" t="str">
        <f>TEXT(VALUE(Table1[[#This Row],[Content.Column14]])*1000,"#,##0")</f>
        <v>249,350</v>
      </c>
      <c r="Y417" s="14" t="str">
        <f>TEXT(VALUE(Table1[[#This Row],[Content.Column3]])*1000,"#,##0")</f>
        <v>226,782</v>
      </c>
      <c r="Z417" s="14" t="str">
        <f>TEXT(VALUE(Table1[[#This Row],[Content.Column4]])*1000,"#,##0")</f>
        <v>63,731</v>
      </c>
      <c r="AA417" s="14" t="str">
        <f>TEXT(VALUE(Table1[[#This Row],[Content.Column5]])*1000,"#,##0")</f>
        <v>290,512</v>
      </c>
      <c r="AB417" s="14" t="str">
        <f>TEXT(VALUE(Table1[[#This Row],[Content.Column6]])*1000,"#,##0")</f>
        <v>295,136</v>
      </c>
    </row>
    <row r="418" spans="1:28" x14ac:dyDescent="0.3">
      <c r="A418" t="s">
        <v>86</v>
      </c>
      <c r="B418" t="s">
        <v>87</v>
      </c>
      <c r="C418" s="6">
        <v>49.113</v>
      </c>
      <c r="D418" s="1">
        <v>22.984000000000002</v>
      </c>
      <c r="E418" s="1">
        <v>72.096999999999994</v>
      </c>
      <c r="F418" s="1">
        <v>74.242000000000004</v>
      </c>
      <c r="G418" s="2">
        <v>10.775</v>
      </c>
      <c r="H418" s="2">
        <v>4.907</v>
      </c>
      <c r="I418" s="2">
        <v>15.682</v>
      </c>
      <c r="J418" s="2">
        <v>15.709</v>
      </c>
      <c r="K418" s="3">
        <v>38.338000000000001</v>
      </c>
      <c r="L418" s="3">
        <v>18.077000000000002</v>
      </c>
      <c r="M418" s="3">
        <v>56.414999999999999</v>
      </c>
      <c r="N418" s="3">
        <v>58.533000000000001</v>
      </c>
      <c r="O418">
        <v>2017</v>
      </c>
      <c r="Q418" s="12" t="str">
        <f>TEXT(VALUE(Table1[[#This Row],[Content.Column7]])*1000,"#,##0")</f>
        <v>10,775</v>
      </c>
      <c r="R418" s="12" t="str">
        <f>TEXT(VALUE(Table1[[#This Row],[Content.Column8]])*1000,"#,##0")</f>
        <v>4,907</v>
      </c>
      <c r="S418" s="12" t="str">
        <f>TEXT(VALUE(Table1[[#This Row],[Content.Column9]])*1000,"#,##0")</f>
        <v>15,682</v>
      </c>
      <c r="T418" s="12" t="str">
        <f>TEXT(VALUE(Table1[[#This Row],[Content.Column10]])*1000,"#,##0")</f>
        <v>15,709</v>
      </c>
      <c r="U418" s="13" t="str">
        <f>TEXT(VALUE(Table1[[#This Row],[Content.Column11]])*1000,"#,##0")</f>
        <v>38,338</v>
      </c>
      <c r="V418" s="13" t="str">
        <f>TEXT(VALUE(Table1[[#This Row],[Content.Column12]])*1000,"#,##0")</f>
        <v>18,077</v>
      </c>
      <c r="W418" s="13" t="str">
        <f>TEXT(VALUE(Table1[[#This Row],[Content.Column13]])*1000,"#,##0")</f>
        <v>56,415</v>
      </c>
      <c r="X418" s="13" t="str">
        <f>TEXT(VALUE(Table1[[#This Row],[Content.Column14]])*1000,"#,##0")</f>
        <v>58,533</v>
      </c>
      <c r="Y418" s="14" t="str">
        <f>TEXT(VALUE(Table1[[#This Row],[Content.Column3]])*1000,"#,##0")</f>
        <v>49,113</v>
      </c>
      <c r="Z418" s="14" t="str">
        <f>TEXT(VALUE(Table1[[#This Row],[Content.Column4]])*1000,"#,##0")</f>
        <v>22,984</v>
      </c>
      <c r="AA418" s="14" t="str">
        <f>TEXT(VALUE(Table1[[#This Row],[Content.Column5]])*1000,"#,##0")</f>
        <v>72,097</v>
      </c>
      <c r="AB418" s="14" t="str">
        <f>TEXT(VALUE(Table1[[#This Row],[Content.Column6]])*1000,"#,##0")</f>
        <v>74,242</v>
      </c>
    </row>
    <row r="419" spans="1:28" x14ac:dyDescent="0.3">
      <c r="A419" t="s">
        <v>88</v>
      </c>
      <c r="B419" t="s">
        <v>89</v>
      </c>
      <c r="C419" s="6">
        <v>80.198999999999998</v>
      </c>
      <c r="D419" s="1">
        <v>39.298000000000002</v>
      </c>
      <c r="E419" s="1">
        <v>119.497</v>
      </c>
      <c r="F419" s="1">
        <v>122.458</v>
      </c>
      <c r="G419" s="2">
        <v>17.222999999999999</v>
      </c>
      <c r="H419" s="2">
        <v>8.016</v>
      </c>
      <c r="I419" s="2">
        <v>25.239000000000001</v>
      </c>
      <c r="J419" s="2">
        <v>25.282</v>
      </c>
      <c r="K419" s="3">
        <v>62.975999999999999</v>
      </c>
      <c r="L419" s="3">
        <v>31.282</v>
      </c>
      <c r="M419" s="3">
        <v>94.257999999999996</v>
      </c>
      <c r="N419" s="3">
        <v>97.174999999999997</v>
      </c>
      <c r="O419">
        <v>2017</v>
      </c>
      <c r="Q419" s="12" t="str">
        <f>TEXT(VALUE(Table1[[#This Row],[Content.Column7]])*1000,"#,##0")</f>
        <v>17,223</v>
      </c>
      <c r="R419" s="12" t="str">
        <f>TEXT(VALUE(Table1[[#This Row],[Content.Column8]])*1000,"#,##0")</f>
        <v>8,016</v>
      </c>
      <c r="S419" s="12" t="str">
        <f>TEXT(VALUE(Table1[[#This Row],[Content.Column9]])*1000,"#,##0")</f>
        <v>25,239</v>
      </c>
      <c r="T419" s="12" t="str">
        <f>TEXT(VALUE(Table1[[#This Row],[Content.Column10]])*1000,"#,##0")</f>
        <v>25,282</v>
      </c>
      <c r="U419" s="13" t="str">
        <f>TEXT(VALUE(Table1[[#This Row],[Content.Column11]])*1000,"#,##0")</f>
        <v>62,976</v>
      </c>
      <c r="V419" s="13" t="str">
        <f>TEXT(VALUE(Table1[[#This Row],[Content.Column12]])*1000,"#,##0")</f>
        <v>31,282</v>
      </c>
      <c r="W419" s="13" t="str">
        <f>TEXT(VALUE(Table1[[#This Row],[Content.Column13]])*1000,"#,##0")</f>
        <v>94,258</v>
      </c>
      <c r="X419" s="13" t="str">
        <f>TEXT(VALUE(Table1[[#This Row],[Content.Column14]])*1000,"#,##0")</f>
        <v>97,175</v>
      </c>
      <c r="Y419" s="14" t="str">
        <f>TEXT(VALUE(Table1[[#This Row],[Content.Column3]])*1000,"#,##0")</f>
        <v>80,199</v>
      </c>
      <c r="Z419" s="14" t="str">
        <f>TEXT(VALUE(Table1[[#This Row],[Content.Column4]])*1000,"#,##0")</f>
        <v>39,298</v>
      </c>
      <c r="AA419" s="14" t="str">
        <f>TEXT(VALUE(Table1[[#This Row],[Content.Column5]])*1000,"#,##0")</f>
        <v>119,497</v>
      </c>
      <c r="AB419" s="14" t="str">
        <f>TEXT(VALUE(Table1[[#This Row],[Content.Column6]])*1000,"#,##0")</f>
        <v>122,458</v>
      </c>
    </row>
    <row r="420" spans="1:28" x14ac:dyDescent="0.3">
      <c r="A420" t="s">
        <v>90</v>
      </c>
      <c r="B420" t="s">
        <v>91</v>
      </c>
      <c r="C420" s="6">
        <v>545.90099999999995</v>
      </c>
      <c r="D420" s="1">
        <v>153.28100000000001</v>
      </c>
      <c r="E420" s="1">
        <v>699.18100000000004</v>
      </c>
      <c r="F420" s="1">
        <v>720.63499999999999</v>
      </c>
      <c r="G420" s="2">
        <v>87.796000000000006</v>
      </c>
      <c r="H420" s="2">
        <v>11.846</v>
      </c>
      <c r="I420" s="2">
        <v>99.641999999999996</v>
      </c>
      <c r="J420" s="2">
        <v>99.897999999999996</v>
      </c>
      <c r="K420" s="3">
        <v>458.10500000000002</v>
      </c>
      <c r="L420" s="3">
        <v>141.434</v>
      </c>
      <c r="M420" s="3">
        <v>599.53899999999999</v>
      </c>
      <c r="N420" s="3">
        <v>620.73699999999997</v>
      </c>
      <c r="O420">
        <v>2017</v>
      </c>
      <c r="Q420" s="12" t="str">
        <f>TEXT(VALUE(Table1[[#This Row],[Content.Column7]])*1000,"#,##0")</f>
        <v>87,796</v>
      </c>
      <c r="R420" s="12" t="str">
        <f>TEXT(VALUE(Table1[[#This Row],[Content.Column8]])*1000,"#,##0")</f>
        <v>11,846</v>
      </c>
      <c r="S420" s="12" t="str">
        <f>TEXT(VALUE(Table1[[#This Row],[Content.Column9]])*1000,"#,##0")</f>
        <v>99,642</v>
      </c>
      <c r="T420" s="12" t="str">
        <f>TEXT(VALUE(Table1[[#This Row],[Content.Column10]])*1000,"#,##0")</f>
        <v>99,898</v>
      </c>
      <c r="U420" s="13" t="str">
        <f>TEXT(VALUE(Table1[[#This Row],[Content.Column11]])*1000,"#,##0")</f>
        <v>458,105</v>
      </c>
      <c r="V420" s="13" t="str">
        <f>TEXT(VALUE(Table1[[#This Row],[Content.Column12]])*1000,"#,##0")</f>
        <v>141,434</v>
      </c>
      <c r="W420" s="13" t="str">
        <f>TEXT(VALUE(Table1[[#This Row],[Content.Column13]])*1000,"#,##0")</f>
        <v>599,539</v>
      </c>
      <c r="X420" s="13" t="str">
        <f>TEXT(VALUE(Table1[[#This Row],[Content.Column14]])*1000,"#,##0")</f>
        <v>620,737</v>
      </c>
      <c r="Y420" s="14" t="str">
        <f>TEXT(VALUE(Table1[[#This Row],[Content.Column3]])*1000,"#,##0")</f>
        <v>545,901</v>
      </c>
      <c r="Z420" s="14" t="str">
        <f>TEXT(VALUE(Table1[[#This Row],[Content.Column4]])*1000,"#,##0")</f>
        <v>153,281</v>
      </c>
      <c r="AA420" s="14" t="str">
        <f>TEXT(VALUE(Table1[[#This Row],[Content.Column5]])*1000,"#,##0")</f>
        <v>699,181</v>
      </c>
      <c r="AB420" s="14" t="str">
        <f>TEXT(VALUE(Table1[[#This Row],[Content.Column6]])*1000,"#,##0")</f>
        <v>720,635</v>
      </c>
    </row>
    <row r="421" spans="1:28" x14ac:dyDescent="0.3">
      <c r="A421" t="s">
        <v>92</v>
      </c>
      <c r="B421" t="s">
        <v>93</v>
      </c>
      <c r="C421" s="6">
        <v>2449.87</v>
      </c>
      <c r="D421" s="1">
        <v>753.88</v>
      </c>
      <c r="E421" s="1">
        <v>3203.7510000000002</v>
      </c>
      <c r="F421" s="1">
        <v>3293.4409999999998</v>
      </c>
      <c r="G421" s="2">
        <v>342.12700000000001</v>
      </c>
      <c r="H421" s="2">
        <v>101.581</v>
      </c>
      <c r="I421" s="2">
        <v>443.709</v>
      </c>
      <c r="J421" s="2">
        <v>445.21100000000001</v>
      </c>
      <c r="K421" s="3">
        <v>2107.7429999999999</v>
      </c>
      <c r="L421" s="3">
        <v>652.29899999999998</v>
      </c>
      <c r="M421" s="3">
        <v>2760.0419999999999</v>
      </c>
      <c r="N421" s="3">
        <v>2848.23</v>
      </c>
      <c r="O421">
        <v>2017</v>
      </c>
      <c r="Q421" s="12" t="str">
        <f>TEXT(VALUE(Table1[[#This Row],[Content.Column7]])*1000,"#,##0")</f>
        <v>342,127</v>
      </c>
      <c r="R421" s="12" t="str">
        <f>TEXT(VALUE(Table1[[#This Row],[Content.Column8]])*1000,"#,##0")</f>
        <v>101,581</v>
      </c>
      <c r="S421" s="12" t="str">
        <f>TEXT(VALUE(Table1[[#This Row],[Content.Column9]])*1000,"#,##0")</f>
        <v>443,709</v>
      </c>
      <c r="T421" s="12" t="str">
        <f>TEXT(VALUE(Table1[[#This Row],[Content.Column10]])*1000,"#,##0")</f>
        <v>445,211</v>
      </c>
      <c r="U421" s="13" t="str">
        <f>TEXT(VALUE(Table1[[#This Row],[Content.Column11]])*1000,"#,##0")</f>
        <v>2,107,743</v>
      </c>
      <c r="V421" s="13" t="str">
        <f>TEXT(VALUE(Table1[[#This Row],[Content.Column12]])*1000,"#,##0")</f>
        <v>652,299</v>
      </c>
      <c r="W421" s="13" t="str">
        <f>TEXT(VALUE(Table1[[#This Row],[Content.Column13]])*1000,"#,##0")</f>
        <v>2,760,042</v>
      </c>
      <c r="X421" s="13" t="str">
        <f>TEXT(VALUE(Table1[[#This Row],[Content.Column14]])*1000,"#,##0")</f>
        <v>2,848,230</v>
      </c>
      <c r="Y421" s="14" t="str">
        <f>TEXT(VALUE(Table1[[#This Row],[Content.Column3]])*1000,"#,##0")</f>
        <v>2,449,870</v>
      </c>
      <c r="Z421" s="14" t="str">
        <f>TEXT(VALUE(Table1[[#This Row],[Content.Column4]])*1000,"#,##0")</f>
        <v>753,880</v>
      </c>
      <c r="AA421" s="14" t="str">
        <f>TEXT(VALUE(Table1[[#This Row],[Content.Column5]])*1000,"#,##0")</f>
        <v>3,203,751</v>
      </c>
      <c r="AB421" s="14" t="str">
        <f>TEXT(VALUE(Table1[[#This Row],[Content.Column6]])*1000,"#,##0")</f>
        <v>3,293,441</v>
      </c>
    </row>
    <row r="422" spans="1:28" x14ac:dyDescent="0.3">
      <c r="A422" t="s">
        <v>94</v>
      </c>
      <c r="B422" t="s">
        <v>95</v>
      </c>
      <c r="C422" s="6">
        <v>1298.8130000000001</v>
      </c>
      <c r="D422" s="1">
        <v>631.54700000000003</v>
      </c>
      <c r="E422" s="1">
        <v>1930.36</v>
      </c>
      <c r="F422" s="1">
        <v>1974.451</v>
      </c>
      <c r="G422" s="2">
        <v>203.345</v>
      </c>
      <c r="H422" s="2">
        <v>109.68</v>
      </c>
      <c r="I422" s="2">
        <v>313.024</v>
      </c>
      <c r="J422" s="2">
        <v>313.82100000000003</v>
      </c>
      <c r="K422" s="3">
        <v>1095.4680000000001</v>
      </c>
      <c r="L422" s="3">
        <v>521.86800000000005</v>
      </c>
      <c r="M422" s="3">
        <v>1617.336</v>
      </c>
      <c r="N422" s="3">
        <v>1660.63</v>
      </c>
      <c r="O422">
        <v>2017</v>
      </c>
      <c r="Q422" s="12" t="str">
        <f>TEXT(VALUE(Table1[[#This Row],[Content.Column7]])*1000,"#,##0")</f>
        <v>203,345</v>
      </c>
      <c r="R422" s="12" t="str">
        <f>TEXT(VALUE(Table1[[#This Row],[Content.Column8]])*1000,"#,##0")</f>
        <v>109,680</v>
      </c>
      <c r="S422" s="12" t="str">
        <f>TEXT(VALUE(Table1[[#This Row],[Content.Column9]])*1000,"#,##0")</f>
        <v>313,024</v>
      </c>
      <c r="T422" s="12" t="str">
        <f>TEXT(VALUE(Table1[[#This Row],[Content.Column10]])*1000,"#,##0")</f>
        <v>313,821</v>
      </c>
      <c r="U422" s="13" t="str">
        <f>TEXT(VALUE(Table1[[#This Row],[Content.Column11]])*1000,"#,##0")</f>
        <v>1,095,468</v>
      </c>
      <c r="V422" s="13" t="str">
        <f>TEXT(VALUE(Table1[[#This Row],[Content.Column12]])*1000,"#,##0")</f>
        <v>521,868</v>
      </c>
      <c r="W422" s="13" t="str">
        <f>TEXT(VALUE(Table1[[#This Row],[Content.Column13]])*1000,"#,##0")</f>
        <v>1,617,336</v>
      </c>
      <c r="X422" s="13" t="str">
        <f>TEXT(VALUE(Table1[[#This Row],[Content.Column14]])*1000,"#,##0")</f>
        <v>1,660,630</v>
      </c>
      <c r="Y422" s="14" t="str">
        <f>TEXT(VALUE(Table1[[#This Row],[Content.Column3]])*1000,"#,##0")</f>
        <v>1,298,813</v>
      </c>
      <c r="Z422" s="14" t="str">
        <f>TEXT(VALUE(Table1[[#This Row],[Content.Column4]])*1000,"#,##0")</f>
        <v>631,547</v>
      </c>
      <c r="AA422" s="14" t="str">
        <f>TEXT(VALUE(Table1[[#This Row],[Content.Column5]])*1000,"#,##0")</f>
        <v>1,930,360</v>
      </c>
      <c r="AB422" s="14" t="str">
        <f>TEXT(VALUE(Table1[[#This Row],[Content.Column6]])*1000,"#,##0")</f>
        <v>1,974,451</v>
      </c>
    </row>
    <row r="423" spans="1:28" x14ac:dyDescent="0.3">
      <c r="A423" t="s">
        <v>96</v>
      </c>
      <c r="B423" t="s">
        <v>97</v>
      </c>
      <c r="C423" s="6">
        <v>700.04399999999998</v>
      </c>
      <c r="D423" s="1">
        <v>364.01499999999999</v>
      </c>
      <c r="E423" s="1">
        <v>1064.059</v>
      </c>
      <c r="F423" s="1">
        <v>1096.104</v>
      </c>
      <c r="G423" s="2">
        <v>140.24</v>
      </c>
      <c r="H423" s="2">
        <v>85.421999999999997</v>
      </c>
      <c r="I423" s="2">
        <v>225.66200000000001</v>
      </c>
      <c r="J423" s="2">
        <v>225.98500000000001</v>
      </c>
      <c r="K423" s="3">
        <v>559.80399999999997</v>
      </c>
      <c r="L423" s="3">
        <v>278.59300000000002</v>
      </c>
      <c r="M423" s="3">
        <v>838.39700000000005</v>
      </c>
      <c r="N423" s="3">
        <v>870.12</v>
      </c>
      <c r="O423">
        <v>2017</v>
      </c>
      <c r="Q423" s="12" t="str">
        <f>TEXT(VALUE(Table1[[#This Row],[Content.Column7]])*1000,"#,##0")</f>
        <v>140,240</v>
      </c>
      <c r="R423" s="12" t="str">
        <f>TEXT(VALUE(Table1[[#This Row],[Content.Column8]])*1000,"#,##0")</f>
        <v>85,422</v>
      </c>
      <c r="S423" s="12" t="str">
        <f>TEXT(VALUE(Table1[[#This Row],[Content.Column9]])*1000,"#,##0")</f>
        <v>225,662</v>
      </c>
      <c r="T423" s="12" t="str">
        <f>TEXT(VALUE(Table1[[#This Row],[Content.Column10]])*1000,"#,##0")</f>
        <v>225,985</v>
      </c>
      <c r="U423" s="13" t="str">
        <f>TEXT(VALUE(Table1[[#This Row],[Content.Column11]])*1000,"#,##0")</f>
        <v>559,804</v>
      </c>
      <c r="V423" s="13" t="str">
        <f>TEXT(VALUE(Table1[[#This Row],[Content.Column12]])*1000,"#,##0")</f>
        <v>278,593</v>
      </c>
      <c r="W423" s="13" t="str">
        <f>TEXT(VALUE(Table1[[#This Row],[Content.Column13]])*1000,"#,##0")</f>
        <v>838,397</v>
      </c>
      <c r="X423" s="13" t="str">
        <f>TEXT(VALUE(Table1[[#This Row],[Content.Column14]])*1000,"#,##0")</f>
        <v>870,120</v>
      </c>
      <c r="Y423" s="14" t="str">
        <f>TEXT(VALUE(Table1[[#This Row],[Content.Column3]])*1000,"#,##0")</f>
        <v>700,044</v>
      </c>
      <c r="Z423" s="14" t="str">
        <f>TEXT(VALUE(Table1[[#This Row],[Content.Column4]])*1000,"#,##0")</f>
        <v>364,015</v>
      </c>
      <c r="AA423" s="14" t="str">
        <f>TEXT(VALUE(Table1[[#This Row],[Content.Column5]])*1000,"#,##0")</f>
        <v>1,064,059</v>
      </c>
      <c r="AB423" s="14" t="str">
        <f>TEXT(VALUE(Table1[[#This Row],[Content.Column6]])*1000,"#,##0")</f>
        <v>1,096,104</v>
      </c>
    </row>
    <row r="424" spans="1:28" x14ac:dyDescent="0.3">
      <c r="A424" t="s">
        <v>98</v>
      </c>
      <c r="B424" t="s">
        <v>99</v>
      </c>
      <c r="C424" s="6">
        <v>2218.6419999999998</v>
      </c>
      <c r="D424" s="1">
        <v>1072.261</v>
      </c>
      <c r="E424" s="1">
        <v>3290.902</v>
      </c>
      <c r="F424" s="1">
        <v>3384.297</v>
      </c>
      <c r="G424" s="2">
        <v>377.62299999999999</v>
      </c>
      <c r="H424" s="2">
        <v>231.607</v>
      </c>
      <c r="I424" s="2">
        <v>609.23</v>
      </c>
      <c r="J424" s="2">
        <v>610.23299999999995</v>
      </c>
      <c r="K424" s="3">
        <v>1841.019</v>
      </c>
      <c r="L424" s="3">
        <v>840.654</v>
      </c>
      <c r="M424" s="3">
        <v>2681.672</v>
      </c>
      <c r="N424" s="3">
        <v>2774.0639999999999</v>
      </c>
      <c r="O424">
        <v>2017</v>
      </c>
      <c r="Q424" s="12" t="str">
        <f>TEXT(VALUE(Table1[[#This Row],[Content.Column7]])*1000,"#,##0")</f>
        <v>377,623</v>
      </c>
      <c r="R424" s="12" t="str">
        <f>TEXT(VALUE(Table1[[#This Row],[Content.Column8]])*1000,"#,##0")</f>
        <v>231,607</v>
      </c>
      <c r="S424" s="12" t="str">
        <f>TEXT(VALUE(Table1[[#This Row],[Content.Column9]])*1000,"#,##0")</f>
        <v>609,230</v>
      </c>
      <c r="T424" s="12" t="str">
        <f>TEXT(VALUE(Table1[[#This Row],[Content.Column10]])*1000,"#,##0")</f>
        <v>610,233</v>
      </c>
      <c r="U424" s="13" t="str">
        <f>TEXT(VALUE(Table1[[#This Row],[Content.Column11]])*1000,"#,##0")</f>
        <v>1,841,019</v>
      </c>
      <c r="V424" s="13" t="str">
        <f>TEXT(VALUE(Table1[[#This Row],[Content.Column12]])*1000,"#,##0")</f>
        <v>840,654</v>
      </c>
      <c r="W424" s="13" t="str">
        <f>TEXT(VALUE(Table1[[#This Row],[Content.Column13]])*1000,"#,##0")</f>
        <v>2,681,672</v>
      </c>
      <c r="X424" s="13" t="str">
        <f>TEXT(VALUE(Table1[[#This Row],[Content.Column14]])*1000,"#,##0")</f>
        <v>2,774,064</v>
      </c>
      <c r="Y424" s="14" t="str">
        <f>TEXT(VALUE(Table1[[#This Row],[Content.Column3]])*1000,"#,##0")</f>
        <v>2,218,642</v>
      </c>
      <c r="Z424" s="14" t="str">
        <f>TEXT(VALUE(Table1[[#This Row],[Content.Column4]])*1000,"#,##0")</f>
        <v>1,072,261</v>
      </c>
      <c r="AA424" s="14" t="str">
        <f>TEXT(VALUE(Table1[[#This Row],[Content.Column5]])*1000,"#,##0")</f>
        <v>3,290,902</v>
      </c>
      <c r="AB424" s="14" t="str">
        <f>TEXT(VALUE(Table1[[#This Row],[Content.Column6]])*1000,"#,##0")</f>
        <v>3,384,297</v>
      </c>
    </row>
    <row r="425" spans="1:28" x14ac:dyDescent="0.3">
      <c r="A425" t="s">
        <v>100</v>
      </c>
      <c r="B425" t="s">
        <v>101</v>
      </c>
      <c r="C425" s="6">
        <v>1594.838</v>
      </c>
      <c r="D425" s="1">
        <v>781.90200000000004</v>
      </c>
      <c r="E425" s="1">
        <v>2376.739</v>
      </c>
      <c r="F425" s="1">
        <v>2463.1550000000002</v>
      </c>
      <c r="G425" s="2">
        <v>271.779</v>
      </c>
      <c r="H425" s="2">
        <v>168.71899999999999</v>
      </c>
      <c r="I425" s="2">
        <v>440.49799999999999</v>
      </c>
      <c r="J425" s="2">
        <v>441.26400000000001</v>
      </c>
      <c r="K425" s="3">
        <v>1323.059</v>
      </c>
      <c r="L425" s="3">
        <v>613.18299999999999</v>
      </c>
      <c r="M425" s="3">
        <v>1936.241</v>
      </c>
      <c r="N425" s="3">
        <v>2021.8910000000001</v>
      </c>
      <c r="O425">
        <v>2017</v>
      </c>
      <c r="Q425" s="12" t="str">
        <f>TEXT(VALUE(Table1[[#This Row],[Content.Column7]])*1000,"#,##0")</f>
        <v>271,779</v>
      </c>
      <c r="R425" s="12" t="str">
        <f>TEXT(VALUE(Table1[[#This Row],[Content.Column8]])*1000,"#,##0")</f>
        <v>168,719</v>
      </c>
      <c r="S425" s="12" t="str">
        <f>TEXT(VALUE(Table1[[#This Row],[Content.Column9]])*1000,"#,##0")</f>
        <v>440,498</v>
      </c>
      <c r="T425" s="12" t="str">
        <f>TEXT(VALUE(Table1[[#This Row],[Content.Column10]])*1000,"#,##0")</f>
        <v>441,264</v>
      </c>
      <c r="U425" s="13" t="str">
        <f>TEXT(VALUE(Table1[[#This Row],[Content.Column11]])*1000,"#,##0")</f>
        <v>1,323,059</v>
      </c>
      <c r="V425" s="13" t="str">
        <f>TEXT(VALUE(Table1[[#This Row],[Content.Column12]])*1000,"#,##0")</f>
        <v>613,183</v>
      </c>
      <c r="W425" s="13" t="str">
        <f>TEXT(VALUE(Table1[[#This Row],[Content.Column13]])*1000,"#,##0")</f>
        <v>1,936,241</v>
      </c>
      <c r="X425" s="13" t="str">
        <f>TEXT(VALUE(Table1[[#This Row],[Content.Column14]])*1000,"#,##0")</f>
        <v>2,021,891</v>
      </c>
      <c r="Y425" s="14" t="str">
        <f>TEXT(VALUE(Table1[[#This Row],[Content.Column3]])*1000,"#,##0")</f>
        <v>1,594,838</v>
      </c>
      <c r="Z425" s="14" t="str">
        <f>TEXT(VALUE(Table1[[#This Row],[Content.Column4]])*1000,"#,##0")</f>
        <v>781,902</v>
      </c>
      <c r="AA425" s="14" t="str">
        <f>TEXT(VALUE(Table1[[#This Row],[Content.Column5]])*1000,"#,##0")</f>
        <v>2,376,739</v>
      </c>
      <c r="AB425" s="14" t="str">
        <f>TEXT(VALUE(Table1[[#This Row],[Content.Column6]])*1000,"#,##0")</f>
        <v>2,463,155</v>
      </c>
    </row>
    <row r="426" spans="1:28" x14ac:dyDescent="0.3">
      <c r="A426" t="s">
        <v>102</v>
      </c>
      <c r="B426" t="s">
        <v>103</v>
      </c>
      <c r="C426" s="6">
        <v>1420.809</v>
      </c>
      <c r="D426" s="1">
        <v>666.95</v>
      </c>
      <c r="E426" s="1">
        <v>2087.7600000000002</v>
      </c>
      <c r="F426" s="1">
        <v>2155.6819999999998</v>
      </c>
      <c r="G426" s="2">
        <v>192.976</v>
      </c>
      <c r="H426" s="2">
        <v>134.685</v>
      </c>
      <c r="I426" s="2">
        <v>327.66199999999998</v>
      </c>
      <c r="J426" s="2">
        <v>328.12</v>
      </c>
      <c r="K426" s="3">
        <v>1227.8330000000001</v>
      </c>
      <c r="L426" s="3">
        <v>532.26499999999999</v>
      </c>
      <c r="M426" s="3">
        <v>1760.098</v>
      </c>
      <c r="N426" s="3">
        <v>1827.5619999999999</v>
      </c>
      <c r="O426">
        <v>2017</v>
      </c>
      <c r="Q426" s="12" t="str">
        <f>TEXT(VALUE(Table1[[#This Row],[Content.Column7]])*1000,"#,##0")</f>
        <v>192,976</v>
      </c>
      <c r="R426" s="12" t="str">
        <f>TEXT(VALUE(Table1[[#This Row],[Content.Column8]])*1000,"#,##0")</f>
        <v>134,685</v>
      </c>
      <c r="S426" s="12" t="str">
        <f>TEXT(VALUE(Table1[[#This Row],[Content.Column9]])*1000,"#,##0")</f>
        <v>327,662</v>
      </c>
      <c r="T426" s="12" t="str">
        <f>TEXT(VALUE(Table1[[#This Row],[Content.Column10]])*1000,"#,##0")</f>
        <v>328,120</v>
      </c>
      <c r="U426" s="13" t="str">
        <f>TEXT(VALUE(Table1[[#This Row],[Content.Column11]])*1000,"#,##0")</f>
        <v>1,227,833</v>
      </c>
      <c r="V426" s="13" t="str">
        <f>TEXT(VALUE(Table1[[#This Row],[Content.Column12]])*1000,"#,##0")</f>
        <v>532,265</v>
      </c>
      <c r="W426" s="13" t="str">
        <f>TEXT(VALUE(Table1[[#This Row],[Content.Column13]])*1000,"#,##0")</f>
        <v>1,760,098</v>
      </c>
      <c r="X426" s="13" t="str">
        <f>TEXT(VALUE(Table1[[#This Row],[Content.Column14]])*1000,"#,##0")</f>
        <v>1,827,562</v>
      </c>
      <c r="Y426" s="14" t="str">
        <f>TEXT(VALUE(Table1[[#This Row],[Content.Column3]])*1000,"#,##0")</f>
        <v>1,420,809</v>
      </c>
      <c r="Z426" s="14" t="str">
        <f>TEXT(VALUE(Table1[[#This Row],[Content.Column4]])*1000,"#,##0")</f>
        <v>666,950</v>
      </c>
      <c r="AA426" s="14" t="str">
        <f>TEXT(VALUE(Table1[[#This Row],[Content.Column5]])*1000,"#,##0")</f>
        <v>2,087,760</v>
      </c>
      <c r="AB426" s="14" t="str">
        <f>TEXT(VALUE(Table1[[#This Row],[Content.Column6]])*1000,"#,##0")</f>
        <v>2,155,682</v>
      </c>
    </row>
    <row r="427" spans="1:28" x14ac:dyDescent="0.3">
      <c r="A427" t="s">
        <v>104</v>
      </c>
      <c r="B427" t="s">
        <v>105</v>
      </c>
      <c r="C427" s="6">
        <v>1743.856</v>
      </c>
      <c r="D427" s="1">
        <v>834.66399999999999</v>
      </c>
      <c r="E427" s="1">
        <v>2578.52</v>
      </c>
      <c r="F427" s="1">
        <v>2664.48</v>
      </c>
      <c r="G427" s="2">
        <v>265.69099999999997</v>
      </c>
      <c r="H427" s="2">
        <v>169.27799999999999</v>
      </c>
      <c r="I427" s="2">
        <v>434.96899999999999</v>
      </c>
      <c r="J427" s="2">
        <v>436.78300000000002</v>
      </c>
      <c r="K427" s="3">
        <v>1478.165</v>
      </c>
      <c r="L427" s="3">
        <v>665.38599999999997</v>
      </c>
      <c r="M427" s="3">
        <v>2143.5509999999999</v>
      </c>
      <c r="N427" s="3">
        <v>2227.6970000000001</v>
      </c>
      <c r="O427">
        <v>2017</v>
      </c>
      <c r="Q427" s="12" t="str">
        <f>TEXT(VALUE(Table1[[#This Row],[Content.Column7]])*1000,"#,##0")</f>
        <v>265,691</v>
      </c>
      <c r="R427" s="12" t="str">
        <f>TEXT(VALUE(Table1[[#This Row],[Content.Column8]])*1000,"#,##0")</f>
        <v>169,278</v>
      </c>
      <c r="S427" s="12" t="str">
        <f>TEXT(VALUE(Table1[[#This Row],[Content.Column9]])*1000,"#,##0")</f>
        <v>434,969</v>
      </c>
      <c r="T427" s="12" t="str">
        <f>TEXT(VALUE(Table1[[#This Row],[Content.Column10]])*1000,"#,##0")</f>
        <v>436,783</v>
      </c>
      <c r="U427" s="13" t="str">
        <f>TEXT(VALUE(Table1[[#This Row],[Content.Column11]])*1000,"#,##0")</f>
        <v>1,478,165</v>
      </c>
      <c r="V427" s="13" t="str">
        <f>TEXT(VALUE(Table1[[#This Row],[Content.Column12]])*1000,"#,##0")</f>
        <v>665,386</v>
      </c>
      <c r="W427" s="13" t="str">
        <f>TEXT(VALUE(Table1[[#This Row],[Content.Column13]])*1000,"#,##0")</f>
        <v>2,143,551</v>
      </c>
      <c r="X427" s="13" t="str">
        <f>TEXT(VALUE(Table1[[#This Row],[Content.Column14]])*1000,"#,##0")</f>
        <v>2,227,697</v>
      </c>
      <c r="Y427" s="14" t="str">
        <f>TEXT(VALUE(Table1[[#This Row],[Content.Column3]])*1000,"#,##0")</f>
        <v>1,743,856</v>
      </c>
      <c r="Z427" s="14" t="str">
        <f>TEXT(VALUE(Table1[[#This Row],[Content.Column4]])*1000,"#,##0")</f>
        <v>834,664</v>
      </c>
      <c r="AA427" s="14" t="str">
        <f>TEXT(VALUE(Table1[[#This Row],[Content.Column5]])*1000,"#,##0")</f>
        <v>2,578,520</v>
      </c>
      <c r="AB427" s="14" t="str">
        <f>TEXT(VALUE(Table1[[#This Row],[Content.Column6]])*1000,"#,##0")</f>
        <v>2,664,480</v>
      </c>
    </row>
    <row r="428" spans="1:28" x14ac:dyDescent="0.3">
      <c r="A428" t="s">
        <v>106</v>
      </c>
      <c r="B428" t="s">
        <v>107</v>
      </c>
      <c r="C428" s="6">
        <v>1802.529</v>
      </c>
      <c r="D428" s="1">
        <v>954.52499999999998</v>
      </c>
      <c r="E428" s="1">
        <v>2757.0540000000001</v>
      </c>
      <c r="F428" s="1">
        <v>2849.826</v>
      </c>
      <c r="G428" s="2">
        <v>229.50800000000001</v>
      </c>
      <c r="H428" s="2">
        <v>192.88499999999999</v>
      </c>
      <c r="I428" s="2">
        <v>422.392</v>
      </c>
      <c r="J428" s="2">
        <v>423.096</v>
      </c>
      <c r="K428" s="3">
        <v>1573.021</v>
      </c>
      <c r="L428" s="3">
        <v>761.64</v>
      </c>
      <c r="M428" s="3">
        <v>2334.6619999999998</v>
      </c>
      <c r="N428" s="3">
        <v>2426.73</v>
      </c>
      <c r="O428">
        <v>2017</v>
      </c>
      <c r="Q428" s="12" t="str">
        <f>TEXT(VALUE(Table1[[#This Row],[Content.Column7]])*1000,"#,##0")</f>
        <v>229,508</v>
      </c>
      <c r="R428" s="12" t="str">
        <f>TEXT(VALUE(Table1[[#This Row],[Content.Column8]])*1000,"#,##0")</f>
        <v>192,885</v>
      </c>
      <c r="S428" s="12" t="str">
        <f>TEXT(VALUE(Table1[[#This Row],[Content.Column9]])*1000,"#,##0")</f>
        <v>422,392</v>
      </c>
      <c r="T428" s="12" t="str">
        <f>TEXT(VALUE(Table1[[#This Row],[Content.Column10]])*1000,"#,##0")</f>
        <v>423,096</v>
      </c>
      <c r="U428" s="13" t="str">
        <f>TEXT(VALUE(Table1[[#This Row],[Content.Column11]])*1000,"#,##0")</f>
        <v>1,573,021</v>
      </c>
      <c r="V428" s="13" t="str">
        <f>TEXT(VALUE(Table1[[#This Row],[Content.Column12]])*1000,"#,##0")</f>
        <v>761,640</v>
      </c>
      <c r="W428" s="13" t="str">
        <f>TEXT(VALUE(Table1[[#This Row],[Content.Column13]])*1000,"#,##0")</f>
        <v>2,334,662</v>
      </c>
      <c r="X428" s="13" t="str">
        <f>TEXT(VALUE(Table1[[#This Row],[Content.Column14]])*1000,"#,##0")</f>
        <v>2,426,730</v>
      </c>
      <c r="Y428" s="14" t="str">
        <f>TEXT(VALUE(Table1[[#This Row],[Content.Column3]])*1000,"#,##0")</f>
        <v>1,802,529</v>
      </c>
      <c r="Z428" s="14" t="str">
        <f>TEXT(VALUE(Table1[[#This Row],[Content.Column4]])*1000,"#,##0")</f>
        <v>954,525</v>
      </c>
      <c r="AA428" s="14" t="str">
        <f>TEXT(VALUE(Table1[[#This Row],[Content.Column5]])*1000,"#,##0")</f>
        <v>2,757,054</v>
      </c>
      <c r="AB428" s="14" t="str">
        <f>TEXT(VALUE(Table1[[#This Row],[Content.Column6]])*1000,"#,##0")</f>
        <v>2,849,826</v>
      </c>
    </row>
    <row r="429" spans="1:28" x14ac:dyDescent="0.3">
      <c r="A429" t="s">
        <v>108</v>
      </c>
      <c r="B429" t="s">
        <v>109</v>
      </c>
      <c r="C429" s="6">
        <v>3748.683</v>
      </c>
      <c r="D429" s="1">
        <v>1385.4280000000001</v>
      </c>
      <c r="E429" s="1">
        <v>5134.1109999999999</v>
      </c>
      <c r="F429" s="1">
        <v>5267.893</v>
      </c>
      <c r="G429" s="2">
        <v>545.47199999999998</v>
      </c>
      <c r="H429" s="2">
        <v>211.261</v>
      </c>
      <c r="I429" s="2">
        <v>756.73299999999995</v>
      </c>
      <c r="J429" s="2">
        <v>759.03300000000002</v>
      </c>
      <c r="K429" s="3">
        <v>3203.2109999999998</v>
      </c>
      <c r="L429" s="3">
        <v>1174.1669999999999</v>
      </c>
      <c r="M429" s="3">
        <v>4377.3779999999997</v>
      </c>
      <c r="N429" s="3">
        <v>4508.8599999999997</v>
      </c>
      <c r="O429">
        <v>2017</v>
      </c>
      <c r="Q429" s="12" t="str">
        <f>TEXT(VALUE(Table1[[#This Row],[Content.Column7]])*1000,"#,##0")</f>
        <v>545,472</v>
      </c>
      <c r="R429" s="12" t="str">
        <f>TEXT(VALUE(Table1[[#This Row],[Content.Column8]])*1000,"#,##0")</f>
        <v>211,261</v>
      </c>
      <c r="S429" s="12" t="str">
        <f>TEXT(VALUE(Table1[[#This Row],[Content.Column9]])*1000,"#,##0")</f>
        <v>756,733</v>
      </c>
      <c r="T429" s="12" t="str">
        <f>TEXT(VALUE(Table1[[#This Row],[Content.Column10]])*1000,"#,##0")</f>
        <v>759,033</v>
      </c>
      <c r="U429" s="13" t="str">
        <f>TEXT(VALUE(Table1[[#This Row],[Content.Column11]])*1000,"#,##0")</f>
        <v>3,203,211</v>
      </c>
      <c r="V429" s="13" t="str">
        <f>TEXT(VALUE(Table1[[#This Row],[Content.Column12]])*1000,"#,##0")</f>
        <v>1,174,167</v>
      </c>
      <c r="W429" s="13" t="str">
        <f>TEXT(VALUE(Table1[[#This Row],[Content.Column13]])*1000,"#,##0")</f>
        <v>4,377,378</v>
      </c>
      <c r="X429" s="13" t="str">
        <f>TEXT(VALUE(Table1[[#This Row],[Content.Column14]])*1000,"#,##0")</f>
        <v>4,508,860</v>
      </c>
      <c r="Y429" s="14" t="str">
        <f>TEXT(VALUE(Table1[[#This Row],[Content.Column3]])*1000,"#,##0")</f>
        <v>3,748,683</v>
      </c>
      <c r="Z429" s="14" t="str">
        <f>TEXT(VALUE(Table1[[#This Row],[Content.Column4]])*1000,"#,##0")</f>
        <v>1,385,428</v>
      </c>
      <c r="AA429" s="14" t="str">
        <f>TEXT(VALUE(Table1[[#This Row],[Content.Column5]])*1000,"#,##0")</f>
        <v>5,134,111</v>
      </c>
      <c r="AB429" s="14" t="str">
        <f>TEXT(VALUE(Table1[[#This Row],[Content.Column6]])*1000,"#,##0")</f>
        <v>5,267,893</v>
      </c>
    </row>
    <row r="430" spans="1:28" x14ac:dyDescent="0.3">
      <c r="A430" t="s">
        <v>110</v>
      </c>
      <c r="B430" t="s">
        <v>111</v>
      </c>
      <c r="C430" s="6">
        <v>2718.7449999999999</v>
      </c>
      <c r="D430" s="1">
        <v>1384.252</v>
      </c>
      <c r="E430" s="1">
        <v>4102.9960000000001</v>
      </c>
      <c r="F430" s="1">
        <v>4239.5820000000003</v>
      </c>
      <c r="G430" s="2">
        <v>356.041</v>
      </c>
      <c r="H430" s="2">
        <v>239.43899999999999</v>
      </c>
      <c r="I430" s="2">
        <v>595.48</v>
      </c>
      <c r="J430" s="2">
        <v>597.22299999999996</v>
      </c>
      <c r="K430" s="3">
        <v>2362.7040000000002</v>
      </c>
      <c r="L430" s="3">
        <v>1144.8130000000001</v>
      </c>
      <c r="M430" s="3">
        <v>3507.5160000000001</v>
      </c>
      <c r="N430" s="3">
        <v>3642.3580000000002</v>
      </c>
      <c r="O430">
        <v>2017</v>
      </c>
      <c r="Q430" s="12" t="str">
        <f>TEXT(VALUE(Table1[[#This Row],[Content.Column7]])*1000,"#,##0")</f>
        <v>356,041</v>
      </c>
      <c r="R430" s="12" t="str">
        <f>TEXT(VALUE(Table1[[#This Row],[Content.Column8]])*1000,"#,##0")</f>
        <v>239,439</v>
      </c>
      <c r="S430" s="12" t="str">
        <f>TEXT(VALUE(Table1[[#This Row],[Content.Column9]])*1000,"#,##0")</f>
        <v>595,480</v>
      </c>
      <c r="T430" s="12" t="str">
        <f>TEXT(VALUE(Table1[[#This Row],[Content.Column10]])*1000,"#,##0")</f>
        <v>597,223</v>
      </c>
      <c r="U430" s="13" t="str">
        <f>TEXT(VALUE(Table1[[#This Row],[Content.Column11]])*1000,"#,##0")</f>
        <v>2,362,704</v>
      </c>
      <c r="V430" s="13" t="str">
        <f>TEXT(VALUE(Table1[[#This Row],[Content.Column12]])*1000,"#,##0")</f>
        <v>1,144,813</v>
      </c>
      <c r="W430" s="13" t="str">
        <f>TEXT(VALUE(Table1[[#This Row],[Content.Column13]])*1000,"#,##0")</f>
        <v>3,507,516</v>
      </c>
      <c r="X430" s="13" t="str">
        <f>TEXT(VALUE(Table1[[#This Row],[Content.Column14]])*1000,"#,##0")</f>
        <v>3,642,358</v>
      </c>
      <c r="Y430" s="14" t="str">
        <f>TEXT(VALUE(Table1[[#This Row],[Content.Column3]])*1000,"#,##0")</f>
        <v>2,718,745</v>
      </c>
      <c r="Z430" s="14" t="str">
        <f>TEXT(VALUE(Table1[[#This Row],[Content.Column4]])*1000,"#,##0")</f>
        <v>1,384,252</v>
      </c>
      <c r="AA430" s="14" t="str">
        <f>TEXT(VALUE(Table1[[#This Row],[Content.Column5]])*1000,"#,##0")</f>
        <v>4,102,996</v>
      </c>
      <c r="AB430" s="14" t="str">
        <f>TEXT(VALUE(Table1[[#This Row],[Content.Column6]])*1000,"#,##0")</f>
        <v>4,239,582</v>
      </c>
    </row>
    <row r="431" spans="1:28" x14ac:dyDescent="0.3">
      <c r="A431" t="s">
        <v>112</v>
      </c>
      <c r="B431" t="s">
        <v>113</v>
      </c>
      <c r="C431" s="6">
        <v>1564.1969999999999</v>
      </c>
      <c r="D431" s="1">
        <v>864.15200000000004</v>
      </c>
      <c r="E431" s="1">
        <v>2428.348</v>
      </c>
      <c r="F431" s="1">
        <v>2560.741</v>
      </c>
      <c r="G431" s="2">
        <v>233.27500000000001</v>
      </c>
      <c r="H431" s="2">
        <v>170.22499999999999</v>
      </c>
      <c r="I431" s="2">
        <v>403.5</v>
      </c>
      <c r="J431" s="2">
        <v>404.14600000000002</v>
      </c>
      <c r="K431" s="3">
        <v>1330.922</v>
      </c>
      <c r="L431" s="3">
        <v>693.92700000000002</v>
      </c>
      <c r="M431" s="3">
        <v>2024.848</v>
      </c>
      <c r="N431" s="3">
        <v>2156.5949999999998</v>
      </c>
      <c r="O431">
        <v>2017</v>
      </c>
      <c r="Q431" s="12" t="str">
        <f>TEXT(VALUE(Table1[[#This Row],[Content.Column7]])*1000,"#,##0")</f>
        <v>233,275</v>
      </c>
      <c r="R431" s="12" t="str">
        <f>TEXT(VALUE(Table1[[#This Row],[Content.Column8]])*1000,"#,##0")</f>
        <v>170,225</v>
      </c>
      <c r="S431" s="12" t="str">
        <f>TEXT(VALUE(Table1[[#This Row],[Content.Column9]])*1000,"#,##0")</f>
        <v>403,500</v>
      </c>
      <c r="T431" s="12" t="str">
        <f>TEXT(VALUE(Table1[[#This Row],[Content.Column10]])*1000,"#,##0")</f>
        <v>404,146</v>
      </c>
      <c r="U431" s="13" t="str">
        <f>TEXT(VALUE(Table1[[#This Row],[Content.Column11]])*1000,"#,##0")</f>
        <v>1,330,922</v>
      </c>
      <c r="V431" s="13" t="str">
        <f>TEXT(VALUE(Table1[[#This Row],[Content.Column12]])*1000,"#,##0")</f>
        <v>693,927</v>
      </c>
      <c r="W431" s="13" t="str">
        <f>TEXT(VALUE(Table1[[#This Row],[Content.Column13]])*1000,"#,##0")</f>
        <v>2,024,848</v>
      </c>
      <c r="X431" s="13" t="str">
        <f>TEXT(VALUE(Table1[[#This Row],[Content.Column14]])*1000,"#,##0")</f>
        <v>2,156,595</v>
      </c>
      <c r="Y431" s="14" t="str">
        <f>TEXT(VALUE(Table1[[#This Row],[Content.Column3]])*1000,"#,##0")</f>
        <v>1,564,197</v>
      </c>
      <c r="Z431" s="14" t="str">
        <f>TEXT(VALUE(Table1[[#This Row],[Content.Column4]])*1000,"#,##0")</f>
        <v>864,152</v>
      </c>
      <c r="AA431" s="14" t="str">
        <f>TEXT(VALUE(Table1[[#This Row],[Content.Column5]])*1000,"#,##0")</f>
        <v>2,428,348</v>
      </c>
      <c r="AB431" s="14" t="str">
        <f>TEXT(VALUE(Table1[[#This Row],[Content.Column6]])*1000,"#,##0")</f>
        <v>2,560,741</v>
      </c>
    </row>
    <row r="432" spans="1:28" x14ac:dyDescent="0.3">
      <c r="A432" t="s">
        <v>114</v>
      </c>
      <c r="B432" t="s">
        <v>115</v>
      </c>
      <c r="C432" s="6">
        <v>804.91800000000001</v>
      </c>
      <c r="D432" s="1">
        <v>436.31799999999998</v>
      </c>
      <c r="E432" s="1">
        <v>1241.2360000000001</v>
      </c>
      <c r="F432" s="1">
        <v>1322.0630000000001</v>
      </c>
      <c r="G432" s="2">
        <v>184.08</v>
      </c>
      <c r="H432" s="2">
        <v>112.01900000000001</v>
      </c>
      <c r="I432" s="2">
        <v>296.09899999999999</v>
      </c>
      <c r="J432" s="2">
        <v>296.416</v>
      </c>
      <c r="K432" s="3">
        <v>620.83799999999997</v>
      </c>
      <c r="L432" s="3">
        <v>324.29899999999998</v>
      </c>
      <c r="M432" s="3">
        <v>945.13699999999994</v>
      </c>
      <c r="N432" s="3">
        <v>1025.6469999999999</v>
      </c>
      <c r="O432">
        <v>2017</v>
      </c>
      <c r="Q432" s="12" t="str">
        <f>TEXT(VALUE(Table1[[#This Row],[Content.Column7]])*1000,"#,##0")</f>
        <v>184,080</v>
      </c>
      <c r="R432" s="12" t="str">
        <f>TEXT(VALUE(Table1[[#This Row],[Content.Column8]])*1000,"#,##0")</f>
        <v>112,019</v>
      </c>
      <c r="S432" s="12" t="str">
        <f>TEXT(VALUE(Table1[[#This Row],[Content.Column9]])*1000,"#,##0")</f>
        <v>296,099</v>
      </c>
      <c r="T432" s="12" t="str">
        <f>TEXT(VALUE(Table1[[#This Row],[Content.Column10]])*1000,"#,##0")</f>
        <v>296,416</v>
      </c>
      <c r="U432" s="13" t="str">
        <f>TEXT(VALUE(Table1[[#This Row],[Content.Column11]])*1000,"#,##0")</f>
        <v>620,838</v>
      </c>
      <c r="V432" s="13" t="str">
        <f>TEXT(VALUE(Table1[[#This Row],[Content.Column12]])*1000,"#,##0")</f>
        <v>324,299</v>
      </c>
      <c r="W432" s="13" t="str">
        <f>TEXT(VALUE(Table1[[#This Row],[Content.Column13]])*1000,"#,##0")</f>
        <v>945,137</v>
      </c>
      <c r="X432" s="13" t="str">
        <f>TEXT(VALUE(Table1[[#This Row],[Content.Column14]])*1000,"#,##0")</f>
        <v>1,025,647</v>
      </c>
      <c r="Y432" s="14" t="str">
        <f>TEXT(VALUE(Table1[[#This Row],[Content.Column3]])*1000,"#,##0")</f>
        <v>804,918</v>
      </c>
      <c r="Z432" s="14" t="str">
        <f>TEXT(VALUE(Table1[[#This Row],[Content.Column4]])*1000,"#,##0")</f>
        <v>436,318</v>
      </c>
      <c r="AA432" s="14" t="str">
        <f>TEXT(VALUE(Table1[[#This Row],[Content.Column5]])*1000,"#,##0")</f>
        <v>1,241,236</v>
      </c>
      <c r="AB432" s="14" t="str">
        <f>TEXT(VALUE(Table1[[#This Row],[Content.Column6]])*1000,"#,##0")</f>
        <v>1,322,063</v>
      </c>
    </row>
    <row r="433" spans="1:28" x14ac:dyDescent="0.3">
      <c r="A433" t="s">
        <v>116</v>
      </c>
      <c r="B433" t="s">
        <v>117</v>
      </c>
      <c r="C433" s="6">
        <v>1637.566</v>
      </c>
      <c r="D433" s="1">
        <v>850.6</v>
      </c>
      <c r="E433" s="1">
        <v>2488.165</v>
      </c>
      <c r="F433" s="1">
        <v>2589.3649999999998</v>
      </c>
      <c r="G433" s="2">
        <v>359.92899999999997</v>
      </c>
      <c r="H433" s="2">
        <v>223.76400000000001</v>
      </c>
      <c r="I433" s="2">
        <v>583.69299999999998</v>
      </c>
      <c r="J433" s="2">
        <v>583.94200000000001</v>
      </c>
      <c r="K433" s="3">
        <v>1277.6369999999999</v>
      </c>
      <c r="L433" s="3">
        <v>626.83600000000001</v>
      </c>
      <c r="M433" s="3">
        <v>1904.472</v>
      </c>
      <c r="N433" s="3">
        <v>2005.423</v>
      </c>
      <c r="O433">
        <v>2017</v>
      </c>
      <c r="Q433" s="12" t="str">
        <f>TEXT(VALUE(Table1[[#This Row],[Content.Column7]])*1000,"#,##0")</f>
        <v>359,929</v>
      </c>
      <c r="R433" s="12" t="str">
        <f>TEXT(VALUE(Table1[[#This Row],[Content.Column8]])*1000,"#,##0")</f>
        <v>223,764</v>
      </c>
      <c r="S433" s="12" t="str">
        <f>TEXT(VALUE(Table1[[#This Row],[Content.Column9]])*1000,"#,##0")</f>
        <v>583,693</v>
      </c>
      <c r="T433" s="12" t="str">
        <f>TEXT(VALUE(Table1[[#This Row],[Content.Column10]])*1000,"#,##0")</f>
        <v>583,942</v>
      </c>
      <c r="U433" s="13" t="str">
        <f>TEXT(VALUE(Table1[[#This Row],[Content.Column11]])*1000,"#,##0")</f>
        <v>1,277,637</v>
      </c>
      <c r="V433" s="13" t="str">
        <f>TEXT(VALUE(Table1[[#This Row],[Content.Column12]])*1000,"#,##0")</f>
        <v>626,836</v>
      </c>
      <c r="W433" s="13" t="str">
        <f>TEXT(VALUE(Table1[[#This Row],[Content.Column13]])*1000,"#,##0")</f>
        <v>1,904,472</v>
      </c>
      <c r="X433" s="13" t="str">
        <f>TEXT(VALUE(Table1[[#This Row],[Content.Column14]])*1000,"#,##0")</f>
        <v>2,005,423</v>
      </c>
      <c r="Y433" s="14" t="str">
        <f>TEXT(VALUE(Table1[[#This Row],[Content.Column3]])*1000,"#,##0")</f>
        <v>1,637,566</v>
      </c>
      <c r="Z433" s="14" t="str">
        <f>TEXT(VALUE(Table1[[#This Row],[Content.Column4]])*1000,"#,##0")</f>
        <v>850,600</v>
      </c>
      <c r="AA433" s="14" t="str">
        <f>TEXT(VALUE(Table1[[#This Row],[Content.Column5]])*1000,"#,##0")</f>
        <v>2,488,165</v>
      </c>
      <c r="AB433" s="14" t="str">
        <f>TEXT(VALUE(Table1[[#This Row],[Content.Column6]])*1000,"#,##0")</f>
        <v>2,589,365</v>
      </c>
    </row>
    <row r="434" spans="1:28" x14ac:dyDescent="0.3">
      <c r="A434" t="s">
        <v>118</v>
      </c>
      <c r="B434" t="s">
        <v>119</v>
      </c>
      <c r="C434" s="6">
        <v>17512.344000000001</v>
      </c>
      <c r="D434" s="1">
        <v>8308.1489999999994</v>
      </c>
      <c r="E434" s="1">
        <v>25820.49</v>
      </c>
      <c r="F434" s="1">
        <v>26681.760999999999</v>
      </c>
      <c r="G434" s="2">
        <v>2612.605</v>
      </c>
      <c r="H434" s="2">
        <v>1603.521</v>
      </c>
      <c r="I434" s="2">
        <v>4216.1270000000004</v>
      </c>
      <c r="J434" s="2">
        <v>4225.8829999999998</v>
      </c>
      <c r="K434" s="3">
        <v>14899.737999999999</v>
      </c>
      <c r="L434" s="3">
        <v>6704.6270000000004</v>
      </c>
      <c r="M434" s="3">
        <v>21604.363000000001</v>
      </c>
      <c r="N434" s="3">
        <v>22455.877</v>
      </c>
      <c r="O434">
        <v>2017</v>
      </c>
      <c r="Q434" s="12" t="str">
        <f>TEXT(VALUE(Table1[[#This Row],[Content.Column7]])*1000,"#,##0")</f>
        <v>2,612,605</v>
      </c>
      <c r="R434" s="12" t="str">
        <f>TEXT(VALUE(Table1[[#This Row],[Content.Column8]])*1000,"#,##0")</f>
        <v>1,603,521</v>
      </c>
      <c r="S434" s="12" t="str">
        <f>TEXT(VALUE(Table1[[#This Row],[Content.Column9]])*1000,"#,##0")</f>
        <v>4,216,127</v>
      </c>
      <c r="T434" s="12" t="str">
        <f>TEXT(VALUE(Table1[[#This Row],[Content.Column10]])*1000,"#,##0")</f>
        <v>4,225,883</v>
      </c>
      <c r="U434" s="13" t="str">
        <f>TEXT(VALUE(Table1[[#This Row],[Content.Column11]])*1000,"#,##0")</f>
        <v>14,899,738</v>
      </c>
      <c r="V434" s="13" t="str">
        <f>TEXT(VALUE(Table1[[#This Row],[Content.Column12]])*1000,"#,##0")</f>
        <v>6,704,627</v>
      </c>
      <c r="W434" s="13" t="str">
        <f>TEXT(VALUE(Table1[[#This Row],[Content.Column13]])*1000,"#,##0")</f>
        <v>21,604,363</v>
      </c>
      <c r="X434" s="13" t="str">
        <f>TEXT(VALUE(Table1[[#This Row],[Content.Column14]])*1000,"#,##0")</f>
        <v>22,455,877</v>
      </c>
      <c r="Y434" s="14" t="str">
        <f>TEXT(VALUE(Table1[[#This Row],[Content.Column3]])*1000,"#,##0")</f>
        <v>17,512,344</v>
      </c>
      <c r="Z434" s="14" t="str">
        <f>TEXT(VALUE(Table1[[#This Row],[Content.Column4]])*1000,"#,##0")</f>
        <v>8,308,149</v>
      </c>
      <c r="AA434" s="14" t="str">
        <f>TEXT(VALUE(Table1[[#This Row],[Content.Column5]])*1000,"#,##0")</f>
        <v>25,820,490</v>
      </c>
      <c r="AB434" s="14" t="str">
        <f>TEXT(VALUE(Table1[[#This Row],[Content.Column6]])*1000,"#,##0")</f>
        <v>26,681,761</v>
      </c>
    </row>
    <row r="435" spans="1:28" x14ac:dyDescent="0.3">
      <c r="A435" t="s">
        <v>120</v>
      </c>
      <c r="B435" t="s">
        <v>121</v>
      </c>
      <c r="C435" s="6">
        <v>19954.827000000001</v>
      </c>
      <c r="D435" s="1">
        <v>9595.0660000000007</v>
      </c>
      <c r="E435" s="1">
        <v>29549.891</v>
      </c>
      <c r="F435" s="1">
        <v>30593.188999999998</v>
      </c>
      <c r="G435" s="2">
        <v>3156.614</v>
      </c>
      <c r="H435" s="2">
        <v>1939.3040000000001</v>
      </c>
      <c r="I435" s="2">
        <v>5095.9179999999997</v>
      </c>
      <c r="J435" s="2">
        <v>5106.241</v>
      </c>
      <c r="K435" s="3">
        <v>16798.213</v>
      </c>
      <c r="L435" s="3">
        <v>7655.7619999999997</v>
      </c>
      <c r="M435" s="3">
        <v>24453.972000000002</v>
      </c>
      <c r="N435" s="3">
        <v>25486.948</v>
      </c>
      <c r="O435">
        <v>2017</v>
      </c>
      <c r="Q435" s="12" t="str">
        <f>TEXT(VALUE(Table1[[#This Row],[Content.Column7]])*1000,"#,##0")</f>
        <v>3,156,614</v>
      </c>
      <c r="R435" s="12" t="str">
        <f>TEXT(VALUE(Table1[[#This Row],[Content.Column8]])*1000,"#,##0")</f>
        <v>1,939,304</v>
      </c>
      <c r="S435" s="12" t="str">
        <f>TEXT(VALUE(Table1[[#This Row],[Content.Column9]])*1000,"#,##0")</f>
        <v>5,095,918</v>
      </c>
      <c r="T435" s="12" t="str">
        <f>TEXT(VALUE(Table1[[#This Row],[Content.Column10]])*1000,"#,##0")</f>
        <v>5,106,241</v>
      </c>
      <c r="U435" s="13" t="str">
        <f>TEXT(VALUE(Table1[[#This Row],[Content.Column11]])*1000,"#,##0")</f>
        <v>16,798,213</v>
      </c>
      <c r="V435" s="13" t="str">
        <f>TEXT(VALUE(Table1[[#This Row],[Content.Column12]])*1000,"#,##0")</f>
        <v>7,655,762</v>
      </c>
      <c r="W435" s="13" t="str">
        <f>TEXT(VALUE(Table1[[#This Row],[Content.Column13]])*1000,"#,##0")</f>
        <v>24,453,972</v>
      </c>
      <c r="X435" s="13" t="str">
        <f>TEXT(VALUE(Table1[[#This Row],[Content.Column14]])*1000,"#,##0")</f>
        <v>25,486,948</v>
      </c>
      <c r="Y435" s="14" t="str">
        <f>TEXT(VALUE(Table1[[#This Row],[Content.Column3]])*1000,"#,##0")</f>
        <v>19,954,827</v>
      </c>
      <c r="Z435" s="14" t="str">
        <f>TEXT(VALUE(Table1[[#This Row],[Content.Column4]])*1000,"#,##0")</f>
        <v>9,595,066</v>
      </c>
      <c r="AA435" s="14" t="str">
        <f>TEXT(VALUE(Table1[[#This Row],[Content.Column5]])*1000,"#,##0")</f>
        <v>29,549,891</v>
      </c>
      <c r="AB435" s="14" t="str">
        <f>TEXT(VALUE(Table1[[#This Row],[Content.Column6]])*1000,"#,##0")</f>
        <v>30,593,189</v>
      </c>
    </row>
    <row r="436" spans="1:28" x14ac:dyDescent="0.3">
      <c r="A436" t="s">
        <v>26</v>
      </c>
      <c r="B436" t="s">
        <v>27</v>
      </c>
      <c r="C436" s="6">
        <v>438.274</v>
      </c>
      <c r="D436" s="1">
        <v>68.515000000000001</v>
      </c>
      <c r="E436" s="1">
        <v>506.78899999999999</v>
      </c>
      <c r="F436" s="1">
        <v>522.39099999999996</v>
      </c>
      <c r="G436" s="2">
        <v>14.558</v>
      </c>
      <c r="H436" s="2">
        <v>2.5270000000000001</v>
      </c>
      <c r="I436" s="2">
        <v>17.085000000000001</v>
      </c>
      <c r="J436" s="2">
        <v>17.123999999999999</v>
      </c>
      <c r="K436" s="3">
        <v>423.71600000000001</v>
      </c>
      <c r="L436" s="3">
        <v>65.988</v>
      </c>
      <c r="M436" s="3">
        <v>489.70400000000001</v>
      </c>
      <c r="N436" s="3">
        <v>505.267</v>
      </c>
      <c r="O436">
        <v>2018</v>
      </c>
      <c r="Q436" s="12" t="str">
        <f>TEXT(VALUE(Table1[[#This Row],[Content.Column7]])*1000,"#,##0")</f>
        <v>14,558</v>
      </c>
      <c r="R436" s="12" t="str">
        <f>TEXT(VALUE(Table1[[#This Row],[Content.Column8]])*1000,"#,##0")</f>
        <v>2,527</v>
      </c>
      <c r="S436" s="12" t="str">
        <f>TEXT(VALUE(Table1[[#This Row],[Content.Column9]])*1000,"#,##0")</f>
        <v>17,085</v>
      </c>
      <c r="T436" s="12" t="str">
        <f>TEXT(VALUE(Table1[[#This Row],[Content.Column10]])*1000,"#,##0")</f>
        <v>17,124</v>
      </c>
      <c r="U436" s="13" t="str">
        <f>TEXT(VALUE(Table1[[#This Row],[Content.Column11]])*1000,"#,##0")</f>
        <v>423,716</v>
      </c>
      <c r="V436" s="13" t="str">
        <f>TEXT(VALUE(Table1[[#This Row],[Content.Column12]])*1000,"#,##0")</f>
        <v>65,988</v>
      </c>
      <c r="W436" s="13" t="str">
        <f>TEXT(VALUE(Table1[[#This Row],[Content.Column13]])*1000,"#,##0")</f>
        <v>489,704</v>
      </c>
      <c r="X436" s="13" t="str">
        <f>TEXT(VALUE(Table1[[#This Row],[Content.Column14]])*1000,"#,##0")</f>
        <v>505,267</v>
      </c>
      <c r="Y436" s="14" t="str">
        <f>TEXT(VALUE(Table1[[#This Row],[Content.Column3]])*1000,"#,##0")</f>
        <v>438,274</v>
      </c>
      <c r="Z436" s="14" t="str">
        <f>TEXT(VALUE(Table1[[#This Row],[Content.Column4]])*1000,"#,##0")</f>
        <v>68,515</v>
      </c>
      <c r="AA436" s="14" t="str">
        <f>TEXT(VALUE(Table1[[#This Row],[Content.Column5]])*1000,"#,##0")</f>
        <v>506,789</v>
      </c>
      <c r="AB436" s="14" t="str">
        <f>TEXT(VALUE(Table1[[#This Row],[Content.Column6]])*1000,"#,##0")</f>
        <v>522,391</v>
      </c>
    </row>
    <row r="437" spans="1:28" x14ac:dyDescent="0.3">
      <c r="A437" t="s">
        <v>28</v>
      </c>
      <c r="B437" t="s">
        <v>29</v>
      </c>
      <c r="C437" s="6">
        <v>36.790999999999997</v>
      </c>
      <c r="D437" s="1">
        <v>17.117999999999999</v>
      </c>
      <c r="E437" s="1">
        <v>53.908999999999999</v>
      </c>
      <c r="F437" s="1">
        <v>54.823999999999998</v>
      </c>
      <c r="G437" s="2">
        <v>5.5380000000000003</v>
      </c>
      <c r="H437" s="2">
        <v>3.0550000000000002</v>
      </c>
      <c r="I437" s="2">
        <v>8.5939999999999994</v>
      </c>
      <c r="J437" s="2">
        <v>8.5950000000000006</v>
      </c>
      <c r="K437" s="3">
        <v>31.251999999999999</v>
      </c>
      <c r="L437" s="3">
        <v>14.063000000000001</v>
      </c>
      <c r="M437" s="3">
        <v>45.316000000000003</v>
      </c>
      <c r="N437" s="3">
        <v>46.228999999999999</v>
      </c>
      <c r="O437">
        <v>2018</v>
      </c>
      <c r="Q437" s="12" t="str">
        <f>TEXT(VALUE(Table1[[#This Row],[Content.Column7]])*1000,"#,##0")</f>
        <v>5,538</v>
      </c>
      <c r="R437" s="12" t="str">
        <f>TEXT(VALUE(Table1[[#This Row],[Content.Column8]])*1000,"#,##0")</f>
        <v>3,055</v>
      </c>
      <c r="S437" s="12" t="str">
        <f>TEXT(VALUE(Table1[[#This Row],[Content.Column9]])*1000,"#,##0")</f>
        <v>8,594</v>
      </c>
      <c r="T437" s="12" t="str">
        <f>TEXT(VALUE(Table1[[#This Row],[Content.Column10]])*1000,"#,##0")</f>
        <v>8,595</v>
      </c>
      <c r="U437" s="13" t="str">
        <f>TEXT(VALUE(Table1[[#This Row],[Content.Column11]])*1000,"#,##0")</f>
        <v>31,252</v>
      </c>
      <c r="V437" s="13" t="str">
        <f>TEXT(VALUE(Table1[[#This Row],[Content.Column12]])*1000,"#,##0")</f>
        <v>14,063</v>
      </c>
      <c r="W437" s="13" t="str">
        <f>TEXT(VALUE(Table1[[#This Row],[Content.Column13]])*1000,"#,##0")</f>
        <v>45,316</v>
      </c>
      <c r="X437" s="13" t="str">
        <f>TEXT(VALUE(Table1[[#This Row],[Content.Column14]])*1000,"#,##0")</f>
        <v>46,229</v>
      </c>
      <c r="Y437" s="14" t="str">
        <f>TEXT(VALUE(Table1[[#This Row],[Content.Column3]])*1000,"#,##0")</f>
        <v>36,791</v>
      </c>
      <c r="Z437" s="14" t="str">
        <f>TEXT(VALUE(Table1[[#This Row],[Content.Column4]])*1000,"#,##0")</f>
        <v>17,118</v>
      </c>
      <c r="AA437" s="14" t="str">
        <f>TEXT(VALUE(Table1[[#This Row],[Content.Column5]])*1000,"#,##0")</f>
        <v>53,909</v>
      </c>
      <c r="AB437" s="14" t="str">
        <f>TEXT(VALUE(Table1[[#This Row],[Content.Column6]])*1000,"#,##0")</f>
        <v>54,824</v>
      </c>
    </row>
    <row r="438" spans="1:28" x14ac:dyDescent="0.3">
      <c r="A438" t="s">
        <v>30</v>
      </c>
      <c r="B438" t="s">
        <v>31</v>
      </c>
      <c r="C438" s="6">
        <v>86.135999999999996</v>
      </c>
      <c r="D438" s="1">
        <v>44.457999999999998</v>
      </c>
      <c r="E438" s="1">
        <v>130.59399999999999</v>
      </c>
      <c r="F438" s="1">
        <v>134.505</v>
      </c>
      <c r="G438" s="2">
        <v>13.672000000000001</v>
      </c>
      <c r="H438" s="2">
        <v>6.3090000000000002</v>
      </c>
      <c r="I438" s="2">
        <v>19.981000000000002</v>
      </c>
      <c r="J438" s="2">
        <v>20.172000000000001</v>
      </c>
      <c r="K438" s="3">
        <v>72.462999999999994</v>
      </c>
      <c r="L438" s="3">
        <v>38.149000000000001</v>
      </c>
      <c r="M438" s="3">
        <v>110.613</v>
      </c>
      <c r="N438" s="3">
        <v>114.333</v>
      </c>
      <c r="O438">
        <v>2018</v>
      </c>
      <c r="Q438" s="12" t="str">
        <f>TEXT(VALUE(Table1[[#This Row],[Content.Column7]])*1000,"#,##0")</f>
        <v>13,672</v>
      </c>
      <c r="R438" s="12" t="str">
        <f>TEXT(VALUE(Table1[[#This Row],[Content.Column8]])*1000,"#,##0")</f>
        <v>6,309</v>
      </c>
      <c r="S438" s="12" t="str">
        <f>TEXT(VALUE(Table1[[#This Row],[Content.Column9]])*1000,"#,##0")</f>
        <v>19,981</v>
      </c>
      <c r="T438" s="12" t="str">
        <f>TEXT(VALUE(Table1[[#This Row],[Content.Column10]])*1000,"#,##0")</f>
        <v>20,172</v>
      </c>
      <c r="U438" s="13" t="str">
        <f>TEXT(VALUE(Table1[[#This Row],[Content.Column11]])*1000,"#,##0")</f>
        <v>72,463</v>
      </c>
      <c r="V438" s="13" t="str">
        <f>TEXT(VALUE(Table1[[#This Row],[Content.Column12]])*1000,"#,##0")</f>
        <v>38,149</v>
      </c>
      <c r="W438" s="13" t="str">
        <f>TEXT(VALUE(Table1[[#This Row],[Content.Column13]])*1000,"#,##0")</f>
        <v>110,613</v>
      </c>
      <c r="X438" s="13" t="str">
        <f>TEXT(VALUE(Table1[[#This Row],[Content.Column14]])*1000,"#,##0")</f>
        <v>114,333</v>
      </c>
      <c r="Y438" s="14" t="str">
        <f>TEXT(VALUE(Table1[[#This Row],[Content.Column3]])*1000,"#,##0")</f>
        <v>86,136</v>
      </c>
      <c r="Z438" s="14" t="str">
        <f>TEXT(VALUE(Table1[[#This Row],[Content.Column4]])*1000,"#,##0")</f>
        <v>44,458</v>
      </c>
      <c r="AA438" s="14" t="str">
        <f>TEXT(VALUE(Table1[[#This Row],[Content.Column5]])*1000,"#,##0")</f>
        <v>130,594</v>
      </c>
      <c r="AB438" s="14" t="str">
        <f>TEXT(VALUE(Table1[[#This Row],[Content.Column6]])*1000,"#,##0")</f>
        <v>134,505</v>
      </c>
    </row>
    <row r="439" spans="1:28" x14ac:dyDescent="0.3">
      <c r="A439" t="s">
        <v>32</v>
      </c>
      <c r="B439" t="s">
        <v>33</v>
      </c>
      <c r="C439" s="6">
        <v>47.473999999999997</v>
      </c>
      <c r="D439" s="1">
        <v>26.943999999999999</v>
      </c>
      <c r="E439" s="1">
        <v>74.418000000000006</v>
      </c>
      <c r="F439" s="1">
        <v>75.951999999999998</v>
      </c>
      <c r="G439" s="2">
        <v>6.8680000000000003</v>
      </c>
      <c r="H439" s="2">
        <v>4.1689999999999996</v>
      </c>
      <c r="I439" s="2">
        <v>11.037000000000001</v>
      </c>
      <c r="J439" s="2">
        <v>11.083</v>
      </c>
      <c r="K439" s="3">
        <v>40.606000000000002</v>
      </c>
      <c r="L439" s="3">
        <v>22.774000000000001</v>
      </c>
      <c r="M439" s="3">
        <v>63.38</v>
      </c>
      <c r="N439" s="3">
        <v>64.867999999999995</v>
      </c>
      <c r="O439">
        <v>2018</v>
      </c>
      <c r="Q439" s="12" t="str">
        <f>TEXT(VALUE(Table1[[#This Row],[Content.Column7]])*1000,"#,##0")</f>
        <v>6,868</v>
      </c>
      <c r="R439" s="12" t="str">
        <f>TEXT(VALUE(Table1[[#This Row],[Content.Column8]])*1000,"#,##0")</f>
        <v>4,169</v>
      </c>
      <c r="S439" s="12" t="str">
        <f>TEXT(VALUE(Table1[[#This Row],[Content.Column9]])*1000,"#,##0")</f>
        <v>11,037</v>
      </c>
      <c r="T439" s="12" t="str">
        <f>TEXT(VALUE(Table1[[#This Row],[Content.Column10]])*1000,"#,##0")</f>
        <v>11,083</v>
      </c>
      <c r="U439" s="13" t="str">
        <f>TEXT(VALUE(Table1[[#This Row],[Content.Column11]])*1000,"#,##0")</f>
        <v>40,606</v>
      </c>
      <c r="V439" s="13" t="str">
        <f>TEXT(VALUE(Table1[[#This Row],[Content.Column12]])*1000,"#,##0")</f>
        <v>22,774</v>
      </c>
      <c r="W439" s="13" t="str">
        <f>TEXT(VALUE(Table1[[#This Row],[Content.Column13]])*1000,"#,##0")</f>
        <v>63,380</v>
      </c>
      <c r="X439" s="13" t="str">
        <f>TEXT(VALUE(Table1[[#This Row],[Content.Column14]])*1000,"#,##0")</f>
        <v>64,868</v>
      </c>
      <c r="Y439" s="14" t="str">
        <f>TEXT(VALUE(Table1[[#This Row],[Content.Column3]])*1000,"#,##0")</f>
        <v>47,474</v>
      </c>
      <c r="Z439" s="14" t="str">
        <f>TEXT(VALUE(Table1[[#This Row],[Content.Column4]])*1000,"#,##0")</f>
        <v>26,944</v>
      </c>
      <c r="AA439" s="14" t="str">
        <f>TEXT(VALUE(Table1[[#This Row],[Content.Column5]])*1000,"#,##0")</f>
        <v>74,418</v>
      </c>
      <c r="AB439" s="14" t="str">
        <f>TEXT(VALUE(Table1[[#This Row],[Content.Column6]])*1000,"#,##0")</f>
        <v>75,952</v>
      </c>
    </row>
    <row r="440" spans="1:28" x14ac:dyDescent="0.3">
      <c r="A440" t="s">
        <v>34</v>
      </c>
      <c r="B440" t="s">
        <v>35</v>
      </c>
      <c r="C440" s="6">
        <v>88.733000000000004</v>
      </c>
      <c r="D440" s="1">
        <v>34.875</v>
      </c>
      <c r="E440" s="1">
        <v>123.608</v>
      </c>
      <c r="F440" s="1">
        <v>126.30800000000001</v>
      </c>
      <c r="G440" s="2">
        <v>18.760000000000002</v>
      </c>
      <c r="H440" s="2">
        <v>5.43</v>
      </c>
      <c r="I440" s="2">
        <v>24.19</v>
      </c>
      <c r="J440" s="2">
        <v>24.213000000000001</v>
      </c>
      <c r="K440" s="3">
        <v>69.974000000000004</v>
      </c>
      <c r="L440" s="3">
        <v>29.443999999999999</v>
      </c>
      <c r="M440" s="3">
        <v>99.418000000000006</v>
      </c>
      <c r="N440" s="3">
        <v>102.09399999999999</v>
      </c>
      <c r="O440">
        <v>2018</v>
      </c>
      <c r="Q440" s="12" t="str">
        <f>TEXT(VALUE(Table1[[#This Row],[Content.Column7]])*1000,"#,##0")</f>
        <v>18,760</v>
      </c>
      <c r="R440" s="12" t="str">
        <f>TEXT(VALUE(Table1[[#This Row],[Content.Column8]])*1000,"#,##0")</f>
        <v>5,430</v>
      </c>
      <c r="S440" s="12" t="str">
        <f>TEXT(VALUE(Table1[[#This Row],[Content.Column9]])*1000,"#,##0")</f>
        <v>24,190</v>
      </c>
      <c r="T440" s="12" t="str">
        <f>TEXT(VALUE(Table1[[#This Row],[Content.Column10]])*1000,"#,##0")</f>
        <v>24,213</v>
      </c>
      <c r="U440" s="13" t="str">
        <f>TEXT(VALUE(Table1[[#This Row],[Content.Column11]])*1000,"#,##0")</f>
        <v>69,974</v>
      </c>
      <c r="V440" s="13" t="str">
        <f>TEXT(VALUE(Table1[[#This Row],[Content.Column12]])*1000,"#,##0")</f>
        <v>29,444</v>
      </c>
      <c r="W440" s="13" t="str">
        <f>TEXT(VALUE(Table1[[#This Row],[Content.Column13]])*1000,"#,##0")</f>
        <v>99,418</v>
      </c>
      <c r="X440" s="13" t="str">
        <f>TEXT(VALUE(Table1[[#This Row],[Content.Column14]])*1000,"#,##0")</f>
        <v>102,094</v>
      </c>
      <c r="Y440" s="14" t="str">
        <f>TEXT(VALUE(Table1[[#This Row],[Content.Column3]])*1000,"#,##0")</f>
        <v>88,733</v>
      </c>
      <c r="Z440" s="14" t="str">
        <f>TEXT(VALUE(Table1[[#This Row],[Content.Column4]])*1000,"#,##0")</f>
        <v>34,875</v>
      </c>
      <c r="AA440" s="14" t="str">
        <f>TEXT(VALUE(Table1[[#This Row],[Content.Column5]])*1000,"#,##0")</f>
        <v>123,608</v>
      </c>
      <c r="AB440" s="14" t="str">
        <f>TEXT(VALUE(Table1[[#This Row],[Content.Column6]])*1000,"#,##0")</f>
        <v>126,308</v>
      </c>
    </row>
    <row r="441" spans="1:28" x14ac:dyDescent="0.3">
      <c r="A441" t="s">
        <v>36</v>
      </c>
      <c r="B441" t="s">
        <v>37</v>
      </c>
      <c r="C441" s="6">
        <v>67.647000000000006</v>
      </c>
      <c r="D441" s="1">
        <v>39.265000000000001</v>
      </c>
      <c r="E441" s="1">
        <v>106.91200000000001</v>
      </c>
      <c r="F441" s="1">
        <v>109.66</v>
      </c>
      <c r="G441" s="2">
        <v>8.9930000000000003</v>
      </c>
      <c r="H441" s="2">
        <v>5.9109999999999996</v>
      </c>
      <c r="I441" s="2">
        <v>14.904</v>
      </c>
      <c r="J441" s="2">
        <v>14.962</v>
      </c>
      <c r="K441" s="3">
        <v>58.654000000000003</v>
      </c>
      <c r="L441" s="3">
        <v>33.353999999999999</v>
      </c>
      <c r="M441" s="3">
        <v>92.007999999999996</v>
      </c>
      <c r="N441" s="3">
        <v>94.697999999999993</v>
      </c>
      <c r="O441">
        <v>2018</v>
      </c>
      <c r="Q441" s="12" t="str">
        <f>TEXT(VALUE(Table1[[#This Row],[Content.Column7]])*1000,"#,##0")</f>
        <v>8,993</v>
      </c>
      <c r="R441" s="12" t="str">
        <f>TEXT(VALUE(Table1[[#This Row],[Content.Column8]])*1000,"#,##0")</f>
        <v>5,911</v>
      </c>
      <c r="S441" s="12" t="str">
        <f>TEXT(VALUE(Table1[[#This Row],[Content.Column9]])*1000,"#,##0")</f>
        <v>14,904</v>
      </c>
      <c r="T441" s="12" t="str">
        <f>TEXT(VALUE(Table1[[#This Row],[Content.Column10]])*1000,"#,##0")</f>
        <v>14,962</v>
      </c>
      <c r="U441" s="13" t="str">
        <f>TEXT(VALUE(Table1[[#This Row],[Content.Column11]])*1000,"#,##0")</f>
        <v>58,654</v>
      </c>
      <c r="V441" s="13" t="str">
        <f>TEXT(VALUE(Table1[[#This Row],[Content.Column12]])*1000,"#,##0")</f>
        <v>33,354</v>
      </c>
      <c r="W441" s="13" t="str">
        <f>TEXT(VALUE(Table1[[#This Row],[Content.Column13]])*1000,"#,##0")</f>
        <v>92,008</v>
      </c>
      <c r="X441" s="13" t="str">
        <f>TEXT(VALUE(Table1[[#This Row],[Content.Column14]])*1000,"#,##0")</f>
        <v>94,698</v>
      </c>
      <c r="Y441" s="14" t="str">
        <f>TEXT(VALUE(Table1[[#This Row],[Content.Column3]])*1000,"#,##0")</f>
        <v>67,647</v>
      </c>
      <c r="Z441" s="14" t="str">
        <f>TEXT(VALUE(Table1[[#This Row],[Content.Column4]])*1000,"#,##0")</f>
        <v>39,265</v>
      </c>
      <c r="AA441" s="14" t="str">
        <f>TEXT(VALUE(Table1[[#This Row],[Content.Column5]])*1000,"#,##0")</f>
        <v>106,912</v>
      </c>
      <c r="AB441" s="14" t="str">
        <f>TEXT(VALUE(Table1[[#This Row],[Content.Column6]])*1000,"#,##0")</f>
        <v>109,660</v>
      </c>
    </row>
    <row r="442" spans="1:28" x14ac:dyDescent="0.3">
      <c r="A442" t="s">
        <v>38</v>
      </c>
      <c r="B442" t="s">
        <v>39</v>
      </c>
      <c r="C442" s="6">
        <v>278.97899999999998</v>
      </c>
      <c r="D442" s="1">
        <v>84.334000000000003</v>
      </c>
      <c r="E442" s="1">
        <v>363.31299999999999</v>
      </c>
      <c r="F442" s="1">
        <v>374.79</v>
      </c>
      <c r="G442" s="2">
        <v>34.427999999999997</v>
      </c>
      <c r="H442" s="2">
        <v>11.548</v>
      </c>
      <c r="I442" s="2">
        <v>45.975999999999999</v>
      </c>
      <c r="J442" s="2">
        <v>45.991999999999997</v>
      </c>
      <c r="K442" s="3">
        <v>244.55</v>
      </c>
      <c r="L442" s="3">
        <v>72.786000000000001</v>
      </c>
      <c r="M442" s="3">
        <v>317.33600000000001</v>
      </c>
      <c r="N442" s="3">
        <v>328.798</v>
      </c>
      <c r="O442">
        <v>2018</v>
      </c>
      <c r="Q442" s="12" t="str">
        <f>TEXT(VALUE(Table1[[#This Row],[Content.Column7]])*1000,"#,##0")</f>
        <v>34,428</v>
      </c>
      <c r="R442" s="12" t="str">
        <f>TEXT(VALUE(Table1[[#This Row],[Content.Column8]])*1000,"#,##0")</f>
        <v>11,548</v>
      </c>
      <c r="S442" s="12" t="str">
        <f>TEXT(VALUE(Table1[[#This Row],[Content.Column9]])*1000,"#,##0")</f>
        <v>45,976</v>
      </c>
      <c r="T442" s="12" t="str">
        <f>TEXT(VALUE(Table1[[#This Row],[Content.Column10]])*1000,"#,##0")</f>
        <v>45,992</v>
      </c>
      <c r="U442" s="13" t="str">
        <f>TEXT(VALUE(Table1[[#This Row],[Content.Column11]])*1000,"#,##0")</f>
        <v>244,550</v>
      </c>
      <c r="V442" s="13" t="str">
        <f>TEXT(VALUE(Table1[[#This Row],[Content.Column12]])*1000,"#,##0")</f>
        <v>72,786</v>
      </c>
      <c r="W442" s="13" t="str">
        <f>TEXT(VALUE(Table1[[#This Row],[Content.Column13]])*1000,"#,##0")</f>
        <v>317,336</v>
      </c>
      <c r="X442" s="13" t="str">
        <f>TEXT(VALUE(Table1[[#This Row],[Content.Column14]])*1000,"#,##0")</f>
        <v>328,798</v>
      </c>
      <c r="Y442" s="14" t="str">
        <f>TEXT(VALUE(Table1[[#This Row],[Content.Column3]])*1000,"#,##0")</f>
        <v>278,979</v>
      </c>
      <c r="Z442" s="14" t="str">
        <f>TEXT(VALUE(Table1[[#This Row],[Content.Column4]])*1000,"#,##0")</f>
        <v>84,334</v>
      </c>
      <c r="AA442" s="14" t="str">
        <f>TEXT(VALUE(Table1[[#This Row],[Content.Column5]])*1000,"#,##0")</f>
        <v>363,313</v>
      </c>
      <c r="AB442" s="14" t="str">
        <f>TEXT(VALUE(Table1[[#This Row],[Content.Column6]])*1000,"#,##0")</f>
        <v>374,790</v>
      </c>
    </row>
    <row r="443" spans="1:28" x14ac:dyDescent="0.3">
      <c r="A443" t="s">
        <v>40</v>
      </c>
      <c r="B443" t="s">
        <v>41</v>
      </c>
      <c r="C443" s="6">
        <v>82.19</v>
      </c>
      <c r="D443" s="1">
        <v>39.947000000000003</v>
      </c>
      <c r="E443" s="1">
        <v>122.137</v>
      </c>
      <c r="F443" s="1">
        <v>124.81100000000001</v>
      </c>
      <c r="G443" s="2">
        <v>18.202000000000002</v>
      </c>
      <c r="H443" s="2">
        <v>7.7830000000000004</v>
      </c>
      <c r="I443" s="2">
        <v>25.984999999999999</v>
      </c>
      <c r="J443" s="2">
        <v>26.035</v>
      </c>
      <c r="K443" s="3">
        <v>63.988</v>
      </c>
      <c r="L443" s="3">
        <v>32.164000000000001</v>
      </c>
      <c r="M443" s="3">
        <v>96.152000000000001</v>
      </c>
      <c r="N443" s="3">
        <v>98.775999999999996</v>
      </c>
      <c r="O443">
        <v>2018</v>
      </c>
      <c r="Q443" s="12" t="str">
        <f>TEXT(VALUE(Table1[[#This Row],[Content.Column7]])*1000,"#,##0")</f>
        <v>18,202</v>
      </c>
      <c r="R443" s="12" t="str">
        <f>TEXT(VALUE(Table1[[#This Row],[Content.Column8]])*1000,"#,##0")</f>
        <v>7,783</v>
      </c>
      <c r="S443" s="12" t="str">
        <f>TEXT(VALUE(Table1[[#This Row],[Content.Column9]])*1000,"#,##0")</f>
        <v>25,985</v>
      </c>
      <c r="T443" s="12" t="str">
        <f>TEXT(VALUE(Table1[[#This Row],[Content.Column10]])*1000,"#,##0")</f>
        <v>26,035</v>
      </c>
      <c r="U443" s="13" t="str">
        <f>TEXT(VALUE(Table1[[#This Row],[Content.Column11]])*1000,"#,##0")</f>
        <v>63,988</v>
      </c>
      <c r="V443" s="13" t="str">
        <f>TEXT(VALUE(Table1[[#This Row],[Content.Column12]])*1000,"#,##0")</f>
        <v>32,164</v>
      </c>
      <c r="W443" s="13" t="str">
        <f>TEXT(VALUE(Table1[[#This Row],[Content.Column13]])*1000,"#,##0")</f>
        <v>96,152</v>
      </c>
      <c r="X443" s="13" t="str">
        <f>TEXT(VALUE(Table1[[#This Row],[Content.Column14]])*1000,"#,##0")</f>
        <v>98,776</v>
      </c>
      <c r="Y443" s="14" t="str">
        <f>TEXT(VALUE(Table1[[#This Row],[Content.Column3]])*1000,"#,##0")</f>
        <v>82,190</v>
      </c>
      <c r="Z443" s="14" t="str">
        <f>TEXT(VALUE(Table1[[#This Row],[Content.Column4]])*1000,"#,##0")</f>
        <v>39,947</v>
      </c>
      <c r="AA443" s="14" t="str">
        <f>TEXT(VALUE(Table1[[#This Row],[Content.Column5]])*1000,"#,##0")</f>
        <v>122,137</v>
      </c>
      <c r="AB443" s="14" t="str">
        <f>TEXT(VALUE(Table1[[#This Row],[Content.Column6]])*1000,"#,##0")</f>
        <v>124,811</v>
      </c>
    </row>
    <row r="444" spans="1:28" x14ac:dyDescent="0.3">
      <c r="A444" t="s">
        <v>42</v>
      </c>
      <c r="B444" t="s">
        <v>43</v>
      </c>
      <c r="C444" s="6">
        <v>90.311999999999998</v>
      </c>
      <c r="D444" s="1">
        <v>36.857999999999997</v>
      </c>
      <c r="E444" s="1">
        <v>127.17</v>
      </c>
      <c r="F444" s="1">
        <v>129.46700000000001</v>
      </c>
      <c r="G444" s="2">
        <v>10.94</v>
      </c>
      <c r="H444" s="2">
        <v>5.5140000000000002</v>
      </c>
      <c r="I444" s="2">
        <v>16.454000000000001</v>
      </c>
      <c r="J444" s="2">
        <v>16.472999999999999</v>
      </c>
      <c r="K444" s="3">
        <v>79.372</v>
      </c>
      <c r="L444" s="3">
        <v>31.344000000000001</v>
      </c>
      <c r="M444" s="3">
        <v>110.71599999999999</v>
      </c>
      <c r="N444" s="3">
        <v>112.994</v>
      </c>
      <c r="O444">
        <v>2018</v>
      </c>
      <c r="Q444" s="12" t="str">
        <f>TEXT(VALUE(Table1[[#This Row],[Content.Column7]])*1000,"#,##0")</f>
        <v>10,940</v>
      </c>
      <c r="R444" s="12" t="str">
        <f>TEXT(VALUE(Table1[[#This Row],[Content.Column8]])*1000,"#,##0")</f>
        <v>5,514</v>
      </c>
      <c r="S444" s="12" t="str">
        <f>TEXT(VALUE(Table1[[#This Row],[Content.Column9]])*1000,"#,##0")</f>
        <v>16,454</v>
      </c>
      <c r="T444" s="12" t="str">
        <f>TEXT(VALUE(Table1[[#This Row],[Content.Column10]])*1000,"#,##0")</f>
        <v>16,473</v>
      </c>
      <c r="U444" s="13" t="str">
        <f>TEXT(VALUE(Table1[[#This Row],[Content.Column11]])*1000,"#,##0")</f>
        <v>79,372</v>
      </c>
      <c r="V444" s="13" t="str">
        <f>TEXT(VALUE(Table1[[#This Row],[Content.Column12]])*1000,"#,##0")</f>
        <v>31,344</v>
      </c>
      <c r="W444" s="13" t="str">
        <f>TEXT(VALUE(Table1[[#This Row],[Content.Column13]])*1000,"#,##0")</f>
        <v>110,716</v>
      </c>
      <c r="X444" s="13" t="str">
        <f>TEXT(VALUE(Table1[[#This Row],[Content.Column14]])*1000,"#,##0")</f>
        <v>112,994</v>
      </c>
      <c r="Y444" s="14" t="str">
        <f>TEXT(VALUE(Table1[[#This Row],[Content.Column3]])*1000,"#,##0")</f>
        <v>90,312</v>
      </c>
      <c r="Z444" s="14" t="str">
        <f>TEXT(VALUE(Table1[[#This Row],[Content.Column4]])*1000,"#,##0")</f>
        <v>36,858</v>
      </c>
      <c r="AA444" s="14" t="str">
        <f>TEXT(VALUE(Table1[[#This Row],[Content.Column5]])*1000,"#,##0")</f>
        <v>127,170</v>
      </c>
      <c r="AB444" s="14" t="str">
        <f>TEXT(VALUE(Table1[[#This Row],[Content.Column6]])*1000,"#,##0")</f>
        <v>129,467</v>
      </c>
    </row>
    <row r="445" spans="1:28" x14ac:dyDescent="0.3">
      <c r="A445" t="s">
        <v>44</v>
      </c>
      <c r="B445" t="s">
        <v>45</v>
      </c>
      <c r="C445" s="6">
        <v>66.283000000000001</v>
      </c>
      <c r="D445" s="1">
        <v>37.209000000000003</v>
      </c>
      <c r="E445" s="1">
        <v>103.49299999999999</v>
      </c>
      <c r="F445" s="1">
        <v>105.703</v>
      </c>
      <c r="G445" s="2">
        <v>11.875999999999999</v>
      </c>
      <c r="H445" s="2">
        <v>8.1790000000000003</v>
      </c>
      <c r="I445" s="2">
        <v>20.055</v>
      </c>
      <c r="J445" s="2">
        <v>20.085999999999999</v>
      </c>
      <c r="K445" s="3">
        <v>54.406999999999996</v>
      </c>
      <c r="L445" s="3">
        <v>29.03</v>
      </c>
      <c r="M445" s="3">
        <v>83.436999999999998</v>
      </c>
      <c r="N445" s="3">
        <v>85.617000000000004</v>
      </c>
      <c r="O445">
        <v>2018</v>
      </c>
      <c r="Q445" s="12" t="str">
        <f>TEXT(VALUE(Table1[[#This Row],[Content.Column7]])*1000,"#,##0")</f>
        <v>11,876</v>
      </c>
      <c r="R445" s="12" t="str">
        <f>TEXT(VALUE(Table1[[#This Row],[Content.Column8]])*1000,"#,##0")</f>
        <v>8,179</v>
      </c>
      <c r="S445" s="12" t="str">
        <f>TEXT(VALUE(Table1[[#This Row],[Content.Column9]])*1000,"#,##0")</f>
        <v>20,055</v>
      </c>
      <c r="T445" s="12" t="str">
        <f>TEXT(VALUE(Table1[[#This Row],[Content.Column10]])*1000,"#,##0")</f>
        <v>20,086</v>
      </c>
      <c r="U445" s="13" t="str">
        <f>TEXT(VALUE(Table1[[#This Row],[Content.Column11]])*1000,"#,##0")</f>
        <v>54,407</v>
      </c>
      <c r="V445" s="13" t="str">
        <f>TEXT(VALUE(Table1[[#This Row],[Content.Column12]])*1000,"#,##0")</f>
        <v>29,030</v>
      </c>
      <c r="W445" s="13" t="str">
        <f>TEXT(VALUE(Table1[[#This Row],[Content.Column13]])*1000,"#,##0")</f>
        <v>83,437</v>
      </c>
      <c r="X445" s="13" t="str">
        <f>TEXT(VALUE(Table1[[#This Row],[Content.Column14]])*1000,"#,##0")</f>
        <v>85,617</v>
      </c>
      <c r="Y445" s="14" t="str">
        <f>TEXT(VALUE(Table1[[#This Row],[Content.Column3]])*1000,"#,##0")</f>
        <v>66,283</v>
      </c>
      <c r="Z445" s="14" t="str">
        <f>TEXT(VALUE(Table1[[#This Row],[Content.Column4]])*1000,"#,##0")</f>
        <v>37,209</v>
      </c>
      <c r="AA445" s="14" t="str">
        <f>TEXT(VALUE(Table1[[#This Row],[Content.Column5]])*1000,"#,##0")</f>
        <v>103,493</v>
      </c>
      <c r="AB445" s="14" t="str">
        <f>TEXT(VALUE(Table1[[#This Row],[Content.Column6]])*1000,"#,##0")</f>
        <v>105,703</v>
      </c>
    </row>
    <row r="446" spans="1:28" x14ac:dyDescent="0.3">
      <c r="A446" t="s">
        <v>46</v>
      </c>
      <c r="B446" t="s">
        <v>47</v>
      </c>
      <c r="C446" s="6">
        <v>52.59</v>
      </c>
      <c r="D446" s="1">
        <v>31.821000000000002</v>
      </c>
      <c r="E446" s="1">
        <v>84.411000000000001</v>
      </c>
      <c r="F446" s="1">
        <v>86.405000000000001</v>
      </c>
      <c r="G446" s="2">
        <v>13.016</v>
      </c>
      <c r="H446" s="2">
        <v>8.6590000000000007</v>
      </c>
      <c r="I446" s="2">
        <v>21.675000000000001</v>
      </c>
      <c r="J446" s="2">
        <v>21.683</v>
      </c>
      <c r="K446" s="3">
        <v>39.573999999999998</v>
      </c>
      <c r="L446" s="3">
        <v>23.163</v>
      </c>
      <c r="M446" s="3">
        <v>62.735999999999997</v>
      </c>
      <c r="N446" s="3">
        <v>64.721999999999994</v>
      </c>
      <c r="O446">
        <v>2018</v>
      </c>
      <c r="Q446" s="12" t="str">
        <f>TEXT(VALUE(Table1[[#This Row],[Content.Column7]])*1000,"#,##0")</f>
        <v>13,016</v>
      </c>
      <c r="R446" s="12" t="str">
        <f>TEXT(VALUE(Table1[[#This Row],[Content.Column8]])*1000,"#,##0")</f>
        <v>8,659</v>
      </c>
      <c r="S446" s="12" t="str">
        <f>TEXT(VALUE(Table1[[#This Row],[Content.Column9]])*1000,"#,##0")</f>
        <v>21,675</v>
      </c>
      <c r="T446" s="12" t="str">
        <f>TEXT(VALUE(Table1[[#This Row],[Content.Column10]])*1000,"#,##0")</f>
        <v>21,683</v>
      </c>
      <c r="U446" s="13" t="str">
        <f>TEXT(VALUE(Table1[[#This Row],[Content.Column11]])*1000,"#,##0")</f>
        <v>39,574</v>
      </c>
      <c r="V446" s="13" t="str">
        <f>TEXT(VALUE(Table1[[#This Row],[Content.Column12]])*1000,"#,##0")</f>
        <v>23,163</v>
      </c>
      <c r="W446" s="13" t="str">
        <f>TEXT(VALUE(Table1[[#This Row],[Content.Column13]])*1000,"#,##0")</f>
        <v>62,736</v>
      </c>
      <c r="X446" s="13" t="str">
        <f>TEXT(VALUE(Table1[[#This Row],[Content.Column14]])*1000,"#,##0")</f>
        <v>64,722</v>
      </c>
      <c r="Y446" s="14" t="str">
        <f>TEXT(VALUE(Table1[[#This Row],[Content.Column3]])*1000,"#,##0")</f>
        <v>52,590</v>
      </c>
      <c r="Z446" s="14" t="str">
        <f>TEXT(VALUE(Table1[[#This Row],[Content.Column4]])*1000,"#,##0")</f>
        <v>31,821</v>
      </c>
      <c r="AA446" s="14" t="str">
        <f>TEXT(VALUE(Table1[[#This Row],[Content.Column5]])*1000,"#,##0")</f>
        <v>84,411</v>
      </c>
      <c r="AB446" s="14" t="str">
        <f>TEXT(VALUE(Table1[[#This Row],[Content.Column6]])*1000,"#,##0")</f>
        <v>86,405</v>
      </c>
    </row>
    <row r="447" spans="1:28" x14ac:dyDescent="0.3">
      <c r="A447" t="s">
        <v>48</v>
      </c>
      <c r="B447" t="s">
        <v>49</v>
      </c>
      <c r="C447" s="6">
        <v>92.105999999999995</v>
      </c>
      <c r="D447" s="1">
        <v>33.695</v>
      </c>
      <c r="E447" s="1">
        <v>125.801</v>
      </c>
      <c r="F447" s="1">
        <v>128.94800000000001</v>
      </c>
      <c r="G447" s="2">
        <v>13.813000000000001</v>
      </c>
      <c r="H447" s="2">
        <v>4.2220000000000004</v>
      </c>
      <c r="I447" s="2">
        <v>18.035</v>
      </c>
      <c r="J447" s="2">
        <v>18.061</v>
      </c>
      <c r="K447" s="3">
        <v>78.293000000000006</v>
      </c>
      <c r="L447" s="3">
        <v>29.472999999999999</v>
      </c>
      <c r="M447" s="3">
        <v>107.76600000000001</v>
      </c>
      <c r="N447" s="3">
        <v>110.887</v>
      </c>
      <c r="O447">
        <v>2018</v>
      </c>
      <c r="Q447" s="12" t="str">
        <f>TEXT(VALUE(Table1[[#This Row],[Content.Column7]])*1000,"#,##0")</f>
        <v>13,813</v>
      </c>
      <c r="R447" s="12" t="str">
        <f>TEXT(VALUE(Table1[[#This Row],[Content.Column8]])*1000,"#,##0")</f>
        <v>4,222</v>
      </c>
      <c r="S447" s="12" t="str">
        <f>TEXT(VALUE(Table1[[#This Row],[Content.Column9]])*1000,"#,##0")</f>
        <v>18,035</v>
      </c>
      <c r="T447" s="12" t="str">
        <f>TEXT(VALUE(Table1[[#This Row],[Content.Column10]])*1000,"#,##0")</f>
        <v>18,061</v>
      </c>
      <c r="U447" s="13" t="str">
        <f>TEXT(VALUE(Table1[[#This Row],[Content.Column11]])*1000,"#,##0")</f>
        <v>78,293</v>
      </c>
      <c r="V447" s="13" t="str">
        <f>TEXT(VALUE(Table1[[#This Row],[Content.Column12]])*1000,"#,##0")</f>
        <v>29,473</v>
      </c>
      <c r="W447" s="13" t="str">
        <f>TEXT(VALUE(Table1[[#This Row],[Content.Column13]])*1000,"#,##0")</f>
        <v>107,766</v>
      </c>
      <c r="X447" s="13" t="str">
        <f>TEXT(VALUE(Table1[[#This Row],[Content.Column14]])*1000,"#,##0")</f>
        <v>110,887</v>
      </c>
      <c r="Y447" s="14" t="str">
        <f>TEXT(VALUE(Table1[[#This Row],[Content.Column3]])*1000,"#,##0")</f>
        <v>92,106</v>
      </c>
      <c r="Z447" s="14" t="str">
        <f>TEXT(VALUE(Table1[[#This Row],[Content.Column4]])*1000,"#,##0")</f>
        <v>33,695</v>
      </c>
      <c r="AA447" s="14" t="str">
        <f>TEXT(VALUE(Table1[[#This Row],[Content.Column5]])*1000,"#,##0")</f>
        <v>125,801</v>
      </c>
      <c r="AB447" s="14" t="str">
        <f>TEXT(VALUE(Table1[[#This Row],[Content.Column6]])*1000,"#,##0")</f>
        <v>128,948</v>
      </c>
    </row>
    <row r="448" spans="1:28" x14ac:dyDescent="0.3">
      <c r="A448" t="s">
        <v>50</v>
      </c>
      <c r="B448" t="s">
        <v>51</v>
      </c>
      <c r="C448" s="6">
        <v>98.694999999999993</v>
      </c>
      <c r="D448" s="1">
        <v>38.716000000000001</v>
      </c>
      <c r="E448" s="1">
        <v>137.411</v>
      </c>
      <c r="F448" s="1">
        <v>139.345</v>
      </c>
      <c r="G448" s="2">
        <v>18.126999999999999</v>
      </c>
      <c r="H448" s="2">
        <v>3.177</v>
      </c>
      <c r="I448" s="2">
        <v>21.303999999999998</v>
      </c>
      <c r="J448" s="2">
        <v>21.38</v>
      </c>
      <c r="K448" s="3">
        <v>80.567999999999998</v>
      </c>
      <c r="L448" s="3">
        <v>35.539000000000001</v>
      </c>
      <c r="M448" s="3">
        <v>116.107</v>
      </c>
      <c r="N448" s="3">
        <v>117.964</v>
      </c>
      <c r="O448">
        <v>2018</v>
      </c>
      <c r="Q448" s="12" t="str">
        <f>TEXT(VALUE(Table1[[#This Row],[Content.Column7]])*1000,"#,##0")</f>
        <v>18,127</v>
      </c>
      <c r="R448" s="12" t="str">
        <f>TEXT(VALUE(Table1[[#This Row],[Content.Column8]])*1000,"#,##0")</f>
        <v>3,177</v>
      </c>
      <c r="S448" s="12" t="str">
        <f>TEXT(VALUE(Table1[[#This Row],[Content.Column9]])*1000,"#,##0")</f>
        <v>21,304</v>
      </c>
      <c r="T448" s="12" t="str">
        <f>TEXT(VALUE(Table1[[#This Row],[Content.Column10]])*1000,"#,##0")</f>
        <v>21,380</v>
      </c>
      <c r="U448" s="13" t="str">
        <f>TEXT(VALUE(Table1[[#This Row],[Content.Column11]])*1000,"#,##0")</f>
        <v>80,568</v>
      </c>
      <c r="V448" s="13" t="str">
        <f>TEXT(VALUE(Table1[[#This Row],[Content.Column12]])*1000,"#,##0")</f>
        <v>35,539</v>
      </c>
      <c r="W448" s="13" t="str">
        <f>TEXT(VALUE(Table1[[#This Row],[Content.Column13]])*1000,"#,##0")</f>
        <v>116,107</v>
      </c>
      <c r="X448" s="13" t="str">
        <f>TEXT(VALUE(Table1[[#This Row],[Content.Column14]])*1000,"#,##0")</f>
        <v>117,964</v>
      </c>
      <c r="Y448" s="14" t="str">
        <f>TEXT(VALUE(Table1[[#This Row],[Content.Column3]])*1000,"#,##0")</f>
        <v>98,695</v>
      </c>
      <c r="Z448" s="14" t="str">
        <f>TEXT(VALUE(Table1[[#This Row],[Content.Column4]])*1000,"#,##0")</f>
        <v>38,716</v>
      </c>
      <c r="AA448" s="14" t="str">
        <f>TEXT(VALUE(Table1[[#This Row],[Content.Column5]])*1000,"#,##0")</f>
        <v>137,411</v>
      </c>
      <c r="AB448" s="14" t="str">
        <f>TEXT(VALUE(Table1[[#This Row],[Content.Column6]])*1000,"#,##0")</f>
        <v>139,345</v>
      </c>
    </row>
    <row r="449" spans="1:28" x14ac:dyDescent="0.3">
      <c r="A449" t="s">
        <v>52</v>
      </c>
      <c r="B449" t="s">
        <v>53</v>
      </c>
      <c r="C449" s="6">
        <v>44.073</v>
      </c>
      <c r="D449" s="1">
        <v>22.132000000000001</v>
      </c>
      <c r="E449" s="1">
        <v>66.204999999999998</v>
      </c>
      <c r="F449" s="1">
        <v>68.135000000000005</v>
      </c>
      <c r="G449" s="2">
        <v>8.1530000000000005</v>
      </c>
      <c r="H449" s="2">
        <v>2.7570000000000001</v>
      </c>
      <c r="I449" s="2">
        <v>10.911</v>
      </c>
      <c r="J449" s="2">
        <v>10.922000000000001</v>
      </c>
      <c r="K449" s="3">
        <v>35.918999999999997</v>
      </c>
      <c r="L449" s="3">
        <v>19.375</v>
      </c>
      <c r="M449" s="3">
        <v>55.293999999999997</v>
      </c>
      <c r="N449" s="3">
        <v>57.212000000000003</v>
      </c>
      <c r="O449">
        <v>2018</v>
      </c>
      <c r="Q449" s="12" t="str">
        <f>TEXT(VALUE(Table1[[#This Row],[Content.Column7]])*1000,"#,##0")</f>
        <v>8,153</v>
      </c>
      <c r="R449" s="12" t="str">
        <f>TEXT(VALUE(Table1[[#This Row],[Content.Column8]])*1000,"#,##0")</f>
        <v>2,757</v>
      </c>
      <c r="S449" s="12" t="str">
        <f>TEXT(VALUE(Table1[[#This Row],[Content.Column9]])*1000,"#,##0")</f>
        <v>10,911</v>
      </c>
      <c r="T449" s="12" t="str">
        <f>TEXT(VALUE(Table1[[#This Row],[Content.Column10]])*1000,"#,##0")</f>
        <v>10,922</v>
      </c>
      <c r="U449" s="13" t="str">
        <f>TEXT(VALUE(Table1[[#This Row],[Content.Column11]])*1000,"#,##0")</f>
        <v>35,919</v>
      </c>
      <c r="V449" s="13" t="str">
        <f>TEXT(VALUE(Table1[[#This Row],[Content.Column12]])*1000,"#,##0")</f>
        <v>19,375</v>
      </c>
      <c r="W449" s="13" t="str">
        <f>TEXT(VALUE(Table1[[#This Row],[Content.Column13]])*1000,"#,##0")</f>
        <v>55,294</v>
      </c>
      <c r="X449" s="13" t="str">
        <f>TEXT(VALUE(Table1[[#This Row],[Content.Column14]])*1000,"#,##0")</f>
        <v>57,212</v>
      </c>
      <c r="Y449" s="14" t="str">
        <f>TEXT(VALUE(Table1[[#This Row],[Content.Column3]])*1000,"#,##0")</f>
        <v>44,073</v>
      </c>
      <c r="Z449" s="14" t="str">
        <f>TEXT(VALUE(Table1[[#This Row],[Content.Column4]])*1000,"#,##0")</f>
        <v>22,132</v>
      </c>
      <c r="AA449" s="14" t="str">
        <f>TEXT(VALUE(Table1[[#This Row],[Content.Column5]])*1000,"#,##0")</f>
        <v>66,205</v>
      </c>
      <c r="AB449" s="14" t="str">
        <f>TEXT(VALUE(Table1[[#This Row],[Content.Column6]])*1000,"#,##0")</f>
        <v>68,135</v>
      </c>
    </row>
    <row r="450" spans="1:28" x14ac:dyDescent="0.3">
      <c r="A450" t="s">
        <v>54</v>
      </c>
      <c r="B450" t="s">
        <v>55</v>
      </c>
      <c r="C450" s="6">
        <v>45.247999999999998</v>
      </c>
      <c r="D450" s="1">
        <v>25.277000000000001</v>
      </c>
      <c r="E450" s="1">
        <v>70.525000000000006</v>
      </c>
      <c r="F450" s="1">
        <v>72.465999999999994</v>
      </c>
      <c r="G450" s="2">
        <v>6.3360000000000003</v>
      </c>
      <c r="H450" s="2">
        <v>4.2050000000000001</v>
      </c>
      <c r="I450" s="2">
        <v>10.541</v>
      </c>
      <c r="J450" s="2">
        <v>10.548</v>
      </c>
      <c r="K450" s="3">
        <v>38.911000000000001</v>
      </c>
      <c r="L450" s="3">
        <v>21.071999999999999</v>
      </c>
      <c r="M450" s="3">
        <v>59.984000000000002</v>
      </c>
      <c r="N450" s="3">
        <v>61.917999999999999</v>
      </c>
      <c r="O450">
        <v>2018</v>
      </c>
      <c r="Q450" s="12" t="str">
        <f>TEXT(VALUE(Table1[[#This Row],[Content.Column7]])*1000,"#,##0")</f>
        <v>6,336</v>
      </c>
      <c r="R450" s="12" t="str">
        <f>TEXT(VALUE(Table1[[#This Row],[Content.Column8]])*1000,"#,##0")</f>
        <v>4,205</v>
      </c>
      <c r="S450" s="12" t="str">
        <f>TEXT(VALUE(Table1[[#This Row],[Content.Column9]])*1000,"#,##0")</f>
        <v>10,541</v>
      </c>
      <c r="T450" s="12" t="str">
        <f>TEXT(VALUE(Table1[[#This Row],[Content.Column10]])*1000,"#,##0")</f>
        <v>10,548</v>
      </c>
      <c r="U450" s="13" t="str">
        <f>TEXT(VALUE(Table1[[#This Row],[Content.Column11]])*1000,"#,##0")</f>
        <v>38,911</v>
      </c>
      <c r="V450" s="13" t="str">
        <f>TEXT(VALUE(Table1[[#This Row],[Content.Column12]])*1000,"#,##0")</f>
        <v>21,072</v>
      </c>
      <c r="W450" s="13" t="str">
        <f>TEXT(VALUE(Table1[[#This Row],[Content.Column13]])*1000,"#,##0")</f>
        <v>59,984</v>
      </c>
      <c r="X450" s="13" t="str">
        <f>TEXT(VALUE(Table1[[#This Row],[Content.Column14]])*1000,"#,##0")</f>
        <v>61,918</v>
      </c>
      <c r="Y450" s="14" t="str">
        <f>TEXT(VALUE(Table1[[#This Row],[Content.Column3]])*1000,"#,##0")</f>
        <v>45,248</v>
      </c>
      <c r="Z450" s="14" t="str">
        <f>TEXT(VALUE(Table1[[#This Row],[Content.Column4]])*1000,"#,##0")</f>
        <v>25,277</v>
      </c>
      <c r="AA450" s="14" t="str">
        <f>TEXT(VALUE(Table1[[#This Row],[Content.Column5]])*1000,"#,##0")</f>
        <v>70,525</v>
      </c>
      <c r="AB450" s="14" t="str">
        <f>TEXT(VALUE(Table1[[#This Row],[Content.Column6]])*1000,"#,##0")</f>
        <v>72,466</v>
      </c>
    </row>
    <row r="451" spans="1:28" x14ac:dyDescent="0.3">
      <c r="A451" t="s">
        <v>56</v>
      </c>
      <c r="B451" t="s">
        <v>57</v>
      </c>
      <c r="C451" s="6">
        <v>58.046999999999997</v>
      </c>
      <c r="D451" s="1">
        <v>29.54</v>
      </c>
      <c r="E451" s="1">
        <v>87.587000000000003</v>
      </c>
      <c r="F451" s="1">
        <v>89.379000000000005</v>
      </c>
      <c r="G451" s="2">
        <v>9.9589999999999996</v>
      </c>
      <c r="H451" s="2">
        <v>5.17</v>
      </c>
      <c r="I451" s="2">
        <v>15.128</v>
      </c>
      <c r="J451" s="2">
        <v>15.146000000000001</v>
      </c>
      <c r="K451" s="3">
        <v>48.088000000000001</v>
      </c>
      <c r="L451" s="3">
        <v>24.370999999999999</v>
      </c>
      <c r="M451" s="3">
        <v>72.459000000000003</v>
      </c>
      <c r="N451" s="3">
        <v>74.233999999999995</v>
      </c>
      <c r="O451">
        <v>2018</v>
      </c>
      <c r="Q451" s="12" t="str">
        <f>TEXT(VALUE(Table1[[#This Row],[Content.Column7]])*1000,"#,##0")</f>
        <v>9,959</v>
      </c>
      <c r="R451" s="12" t="str">
        <f>TEXT(VALUE(Table1[[#This Row],[Content.Column8]])*1000,"#,##0")</f>
        <v>5,170</v>
      </c>
      <c r="S451" s="12" t="str">
        <f>TEXT(VALUE(Table1[[#This Row],[Content.Column9]])*1000,"#,##0")</f>
        <v>15,128</v>
      </c>
      <c r="T451" s="12" t="str">
        <f>TEXT(VALUE(Table1[[#This Row],[Content.Column10]])*1000,"#,##0")</f>
        <v>15,146</v>
      </c>
      <c r="U451" s="13" t="str">
        <f>TEXT(VALUE(Table1[[#This Row],[Content.Column11]])*1000,"#,##0")</f>
        <v>48,088</v>
      </c>
      <c r="V451" s="13" t="str">
        <f>TEXT(VALUE(Table1[[#This Row],[Content.Column12]])*1000,"#,##0")</f>
        <v>24,371</v>
      </c>
      <c r="W451" s="13" t="str">
        <f>TEXT(VALUE(Table1[[#This Row],[Content.Column13]])*1000,"#,##0")</f>
        <v>72,459</v>
      </c>
      <c r="X451" s="13" t="str">
        <f>TEXT(VALUE(Table1[[#This Row],[Content.Column14]])*1000,"#,##0")</f>
        <v>74,234</v>
      </c>
      <c r="Y451" s="14" t="str">
        <f>TEXT(VALUE(Table1[[#This Row],[Content.Column3]])*1000,"#,##0")</f>
        <v>58,047</v>
      </c>
      <c r="Z451" s="14" t="str">
        <f>TEXT(VALUE(Table1[[#This Row],[Content.Column4]])*1000,"#,##0")</f>
        <v>29,540</v>
      </c>
      <c r="AA451" s="14" t="str">
        <f>TEXT(VALUE(Table1[[#This Row],[Content.Column5]])*1000,"#,##0")</f>
        <v>87,587</v>
      </c>
      <c r="AB451" s="14" t="str">
        <f>TEXT(VALUE(Table1[[#This Row],[Content.Column6]])*1000,"#,##0")</f>
        <v>89,379</v>
      </c>
    </row>
    <row r="452" spans="1:28" x14ac:dyDescent="0.3">
      <c r="A452" t="s">
        <v>58</v>
      </c>
      <c r="B452" t="s">
        <v>59</v>
      </c>
      <c r="C452" s="6">
        <v>133.93299999999999</v>
      </c>
      <c r="D452" s="1">
        <v>50.512999999999998</v>
      </c>
      <c r="E452" s="1">
        <v>184.447</v>
      </c>
      <c r="F452" s="1">
        <v>186.82900000000001</v>
      </c>
      <c r="G452" s="2">
        <v>13.996</v>
      </c>
      <c r="H452" s="2">
        <v>10.122</v>
      </c>
      <c r="I452" s="2">
        <v>24.117000000000001</v>
      </c>
      <c r="J452" s="2">
        <v>24.184999999999999</v>
      </c>
      <c r="K452" s="3">
        <v>119.938</v>
      </c>
      <c r="L452" s="3">
        <v>40.392000000000003</v>
      </c>
      <c r="M452" s="3">
        <v>160.32900000000001</v>
      </c>
      <c r="N452" s="3">
        <v>162.64400000000001</v>
      </c>
      <c r="O452">
        <v>2018</v>
      </c>
      <c r="Q452" s="12" t="str">
        <f>TEXT(VALUE(Table1[[#This Row],[Content.Column7]])*1000,"#,##0")</f>
        <v>13,996</v>
      </c>
      <c r="R452" s="12" t="str">
        <f>TEXT(VALUE(Table1[[#This Row],[Content.Column8]])*1000,"#,##0")</f>
        <v>10,122</v>
      </c>
      <c r="S452" s="12" t="str">
        <f>TEXT(VALUE(Table1[[#This Row],[Content.Column9]])*1000,"#,##0")</f>
        <v>24,117</v>
      </c>
      <c r="T452" s="12" t="str">
        <f>TEXT(VALUE(Table1[[#This Row],[Content.Column10]])*1000,"#,##0")</f>
        <v>24,185</v>
      </c>
      <c r="U452" s="13" t="str">
        <f>TEXT(VALUE(Table1[[#This Row],[Content.Column11]])*1000,"#,##0")</f>
        <v>119,938</v>
      </c>
      <c r="V452" s="13" t="str">
        <f>TEXT(VALUE(Table1[[#This Row],[Content.Column12]])*1000,"#,##0")</f>
        <v>40,392</v>
      </c>
      <c r="W452" s="13" t="str">
        <f>TEXT(VALUE(Table1[[#This Row],[Content.Column13]])*1000,"#,##0")</f>
        <v>160,329</v>
      </c>
      <c r="X452" s="13" t="str">
        <f>TEXT(VALUE(Table1[[#This Row],[Content.Column14]])*1000,"#,##0")</f>
        <v>162,644</v>
      </c>
      <c r="Y452" s="14" t="str">
        <f>TEXT(VALUE(Table1[[#This Row],[Content.Column3]])*1000,"#,##0")</f>
        <v>133,933</v>
      </c>
      <c r="Z452" s="14" t="str">
        <f>TEXT(VALUE(Table1[[#This Row],[Content.Column4]])*1000,"#,##0")</f>
        <v>50,513</v>
      </c>
      <c r="AA452" s="14" t="str">
        <f>TEXT(VALUE(Table1[[#This Row],[Content.Column5]])*1000,"#,##0")</f>
        <v>184,447</v>
      </c>
      <c r="AB452" s="14" t="str">
        <f>TEXT(VALUE(Table1[[#This Row],[Content.Column6]])*1000,"#,##0")</f>
        <v>186,829</v>
      </c>
    </row>
    <row r="453" spans="1:28" x14ac:dyDescent="0.3">
      <c r="A453" t="s">
        <v>60</v>
      </c>
      <c r="B453" t="s">
        <v>61</v>
      </c>
      <c r="C453" s="6">
        <v>114.358</v>
      </c>
      <c r="D453" s="1">
        <v>43.094999999999999</v>
      </c>
      <c r="E453" s="1">
        <v>157.453</v>
      </c>
      <c r="F453" s="1">
        <v>159.28399999999999</v>
      </c>
      <c r="G453" s="2">
        <v>12.308</v>
      </c>
      <c r="H453" s="2">
        <v>4.3090000000000002</v>
      </c>
      <c r="I453" s="2">
        <v>16.617000000000001</v>
      </c>
      <c r="J453" s="2">
        <v>16.631</v>
      </c>
      <c r="K453" s="3">
        <v>102.05</v>
      </c>
      <c r="L453" s="3">
        <v>38.784999999999997</v>
      </c>
      <c r="M453" s="3">
        <v>140.83600000000001</v>
      </c>
      <c r="N453" s="3">
        <v>142.65299999999999</v>
      </c>
      <c r="O453">
        <v>2018</v>
      </c>
      <c r="Q453" s="12" t="str">
        <f>TEXT(VALUE(Table1[[#This Row],[Content.Column7]])*1000,"#,##0")</f>
        <v>12,308</v>
      </c>
      <c r="R453" s="12" t="str">
        <f>TEXT(VALUE(Table1[[#This Row],[Content.Column8]])*1000,"#,##0")</f>
        <v>4,309</v>
      </c>
      <c r="S453" s="12" t="str">
        <f>TEXT(VALUE(Table1[[#This Row],[Content.Column9]])*1000,"#,##0")</f>
        <v>16,617</v>
      </c>
      <c r="T453" s="12" t="str">
        <f>TEXT(VALUE(Table1[[#This Row],[Content.Column10]])*1000,"#,##0")</f>
        <v>16,631</v>
      </c>
      <c r="U453" s="13" t="str">
        <f>TEXT(VALUE(Table1[[#This Row],[Content.Column11]])*1000,"#,##0")</f>
        <v>102,050</v>
      </c>
      <c r="V453" s="13" t="str">
        <f>TEXT(VALUE(Table1[[#This Row],[Content.Column12]])*1000,"#,##0")</f>
        <v>38,785</v>
      </c>
      <c r="W453" s="13" t="str">
        <f>TEXT(VALUE(Table1[[#This Row],[Content.Column13]])*1000,"#,##0")</f>
        <v>140,836</v>
      </c>
      <c r="X453" s="13" t="str">
        <f>TEXT(VALUE(Table1[[#This Row],[Content.Column14]])*1000,"#,##0")</f>
        <v>142,653</v>
      </c>
      <c r="Y453" s="14" t="str">
        <f>TEXT(VALUE(Table1[[#This Row],[Content.Column3]])*1000,"#,##0")</f>
        <v>114,358</v>
      </c>
      <c r="Z453" s="14" t="str">
        <f>TEXT(VALUE(Table1[[#This Row],[Content.Column4]])*1000,"#,##0")</f>
        <v>43,095</v>
      </c>
      <c r="AA453" s="14" t="str">
        <f>TEXT(VALUE(Table1[[#This Row],[Content.Column5]])*1000,"#,##0")</f>
        <v>157,453</v>
      </c>
      <c r="AB453" s="14" t="str">
        <f>TEXT(VALUE(Table1[[#This Row],[Content.Column6]])*1000,"#,##0")</f>
        <v>159,284</v>
      </c>
    </row>
    <row r="454" spans="1:28" x14ac:dyDescent="0.3">
      <c r="A454" t="s">
        <v>62</v>
      </c>
      <c r="B454" t="s">
        <v>63</v>
      </c>
      <c r="C454" s="6">
        <v>182.517</v>
      </c>
      <c r="D454" s="1">
        <v>48.500999999999998</v>
      </c>
      <c r="E454" s="1">
        <v>231.018</v>
      </c>
      <c r="F454" s="1">
        <v>236.273</v>
      </c>
      <c r="G454" s="2">
        <v>15.358000000000001</v>
      </c>
      <c r="H454" s="2">
        <v>4.0910000000000002</v>
      </c>
      <c r="I454" s="2">
        <v>19.449000000000002</v>
      </c>
      <c r="J454" s="2">
        <v>19.474</v>
      </c>
      <c r="K454" s="3">
        <v>167.15799999999999</v>
      </c>
      <c r="L454" s="3">
        <v>44.411000000000001</v>
      </c>
      <c r="M454" s="3">
        <v>211.56899999999999</v>
      </c>
      <c r="N454" s="3">
        <v>216.79900000000001</v>
      </c>
      <c r="O454">
        <v>2018</v>
      </c>
      <c r="Q454" s="12" t="str">
        <f>TEXT(VALUE(Table1[[#This Row],[Content.Column7]])*1000,"#,##0")</f>
        <v>15,358</v>
      </c>
      <c r="R454" s="12" t="str">
        <f>TEXT(VALUE(Table1[[#This Row],[Content.Column8]])*1000,"#,##0")</f>
        <v>4,091</v>
      </c>
      <c r="S454" s="12" t="str">
        <f>TEXT(VALUE(Table1[[#This Row],[Content.Column9]])*1000,"#,##0")</f>
        <v>19,449</v>
      </c>
      <c r="T454" s="12" t="str">
        <f>TEXT(VALUE(Table1[[#This Row],[Content.Column10]])*1000,"#,##0")</f>
        <v>19,474</v>
      </c>
      <c r="U454" s="13" t="str">
        <f>TEXT(VALUE(Table1[[#This Row],[Content.Column11]])*1000,"#,##0")</f>
        <v>167,158</v>
      </c>
      <c r="V454" s="13" t="str">
        <f>TEXT(VALUE(Table1[[#This Row],[Content.Column12]])*1000,"#,##0")</f>
        <v>44,411</v>
      </c>
      <c r="W454" s="13" t="str">
        <f>TEXT(VALUE(Table1[[#This Row],[Content.Column13]])*1000,"#,##0")</f>
        <v>211,569</v>
      </c>
      <c r="X454" s="13" t="str">
        <f>TEXT(VALUE(Table1[[#This Row],[Content.Column14]])*1000,"#,##0")</f>
        <v>216,799</v>
      </c>
      <c r="Y454" s="14" t="str">
        <f>TEXT(VALUE(Table1[[#This Row],[Content.Column3]])*1000,"#,##0")</f>
        <v>182,517</v>
      </c>
      <c r="Z454" s="14" t="str">
        <f>TEXT(VALUE(Table1[[#This Row],[Content.Column4]])*1000,"#,##0")</f>
        <v>48,501</v>
      </c>
      <c r="AA454" s="14" t="str">
        <f>TEXT(VALUE(Table1[[#This Row],[Content.Column5]])*1000,"#,##0")</f>
        <v>231,018</v>
      </c>
      <c r="AB454" s="14" t="str">
        <f>TEXT(VALUE(Table1[[#This Row],[Content.Column6]])*1000,"#,##0")</f>
        <v>236,273</v>
      </c>
    </row>
    <row r="455" spans="1:28" x14ac:dyDescent="0.3">
      <c r="A455" t="s">
        <v>64</v>
      </c>
      <c r="B455" t="s">
        <v>65</v>
      </c>
      <c r="C455" s="6">
        <v>99.798000000000002</v>
      </c>
      <c r="D455" s="1">
        <v>38.128</v>
      </c>
      <c r="E455" s="1">
        <v>137.92599999999999</v>
      </c>
      <c r="F455" s="1">
        <v>141.67400000000001</v>
      </c>
      <c r="G455" s="2">
        <v>15.473000000000001</v>
      </c>
      <c r="H455" s="2">
        <v>4.6040000000000001</v>
      </c>
      <c r="I455" s="2">
        <v>20.077000000000002</v>
      </c>
      <c r="J455" s="2">
        <v>20.484000000000002</v>
      </c>
      <c r="K455" s="3">
        <v>84.325000000000003</v>
      </c>
      <c r="L455" s="3">
        <v>33.524000000000001</v>
      </c>
      <c r="M455" s="3">
        <v>117.849</v>
      </c>
      <c r="N455" s="3">
        <v>121.19</v>
      </c>
      <c r="O455">
        <v>2018</v>
      </c>
      <c r="Q455" s="12" t="str">
        <f>TEXT(VALUE(Table1[[#This Row],[Content.Column7]])*1000,"#,##0")</f>
        <v>15,473</v>
      </c>
      <c r="R455" s="12" t="str">
        <f>TEXT(VALUE(Table1[[#This Row],[Content.Column8]])*1000,"#,##0")</f>
        <v>4,604</v>
      </c>
      <c r="S455" s="12" t="str">
        <f>TEXT(VALUE(Table1[[#This Row],[Content.Column9]])*1000,"#,##0")</f>
        <v>20,077</v>
      </c>
      <c r="T455" s="12" t="str">
        <f>TEXT(VALUE(Table1[[#This Row],[Content.Column10]])*1000,"#,##0")</f>
        <v>20,484</v>
      </c>
      <c r="U455" s="13" t="str">
        <f>TEXT(VALUE(Table1[[#This Row],[Content.Column11]])*1000,"#,##0")</f>
        <v>84,325</v>
      </c>
      <c r="V455" s="13" t="str">
        <f>TEXT(VALUE(Table1[[#This Row],[Content.Column12]])*1000,"#,##0")</f>
        <v>33,524</v>
      </c>
      <c r="W455" s="13" t="str">
        <f>TEXT(VALUE(Table1[[#This Row],[Content.Column13]])*1000,"#,##0")</f>
        <v>117,849</v>
      </c>
      <c r="X455" s="13" t="str">
        <f>TEXT(VALUE(Table1[[#This Row],[Content.Column14]])*1000,"#,##0")</f>
        <v>121,190</v>
      </c>
      <c r="Y455" s="14" t="str">
        <f>TEXT(VALUE(Table1[[#This Row],[Content.Column3]])*1000,"#,##0")</f>
        <v>99,798</v>
      </c>
      <c r="Z455" s="14" t="str">
        <f>TEXT(VALUE(Table1[[#This Row],[Content.Column4]])*1000,"#,##0")</f>
        <v>38,128</v>
      </c>
      <c r="AA455" s="14" t="str">
        <f>TEXT(VALUE(Table1[[#This Row],[Content.Column5]])*1000,"#,##0")</f>
        <v>137,926</v>
      </c>
      <c r="AB455" s="14" t="str">
        <f>TEXT(VALUE(Table1[[#This Row],[Content.Column6]])*1000,"#,##0")</f>
        <v>141,674</v>
      </c>
    </row>
    <row r="456" spans="1:28" x14ac:dyDescent="0.3">
      <c r="A456" t="s">
        <v>66</v>
      </c>
      <c r="B456" t="s">
        <v>67</v>
      </c>
      <c r="C456" s="6">
        <v>50.357999999999997</v>
      </c>
      <c r="D456" s="1">
        <v>30.542999999999999</v>
      </c>
      <c r="E456" s="1">
        <v>80.900000000000006</v>
      </c>
      <c r="F456" s="1">
        <v>82.212000000000003</v>
      </c>
      <c r="G456" s="2">
        <v>7.0110000000000001</v>
      </c>
      <c r="H456" s="2">
        <v>3.8849999999999998</v>
      </c>
      <c r="I456" s="2">
        <v>10.896000000000001</v>
      </c>
      <c r="J456" s="2">
        <v>10.907999999999999</v>
      </c>
      <c r="K456" s="3">
        <v>43.345999999999997</v>
      </c>
      <c r="L456" s="3">
        <v>26.658000000000001</v>
      </c>
      <c r="M456" s="3">
        <v>70.004000000000005</v>
      </c>
      <c r="N456" s="3">
        <v>71.304000000000002</v>
      </c>
      <c r="O456">
        <v>2018</v>
      </c>
      <c r="Q456" s="12" t="str">
        <f>TEXT(VALUE(Table1[[#This Row],[Content.Column7]])*1000,"#,##0")</f>
        <v>7,011</v>
      </c>
      <c r="R456" s="12" t="str">
        <f>TEXT(VALUE(Table1[[#This Row],[Content.Column8]])*1000,"#,##0")</f>
        <v>3,885</v>
      </c>
      <c r="S456" s="12" t="str">
        <f>TEXT(VALUE(Table1[[#This Row],[Content.Column9]])*1000,"#,##0")</f>
        <v>10,896</v>
      </c>
      <c r="T456" s="12" t="str">
        <f>TEXT(VALUE(Table1[[#This Row],[Content.Column10]])*1000,"#,##0")</f>
        <v>10,908</v>
      </c>
      <c r="U456" s="13" t="str">
        <f>TEXT(VALUE(Table1[[#This Row],[Content.Column11]])*1000,"#,##0")</f>
        <v>43,346</v>
      </c>
      <c r="V456" s="13" t="str">
        <f>TEXT(VALUE(Table1[[#This Row],[Content.Column12]])*1000,"#,##0")</f>
        <v>26,658</v>
      </c>
      <c r="W456" s="13" t="str">
        <f>TEXT(VALUE(Table1[[#This Row],[Content.Column13]])*1000,"#,##0")</f>
        <v>70,004</v>
      </c>
      <c r="X456" s="13" t="str">
        <f>TEXT(VALUE(Table1[[#This Row],[Content.Column14]])*1000,"#,##0")</f>
        <v>71,304</v>
      </c>
      <c r="Y456" s="14" t="str">
        <f>TEXT(VALUE(Table1[[#This Row],[Content.Column3]])*1000,"#,##0")</f>
        <v>50,358</v>
      </c>
      <c r="Z456" s="14" t="str">
        <f>TEXT(VALUE(Table1[[#This Row],[Content.Column4]])*1000,"#,##0")</f>
        <v>30,543</v>
      </c>
      <c r="AA456" s="14" t="str">
        <f>TEXT(VALUE(Table1[[#This Row],[Content.Column5]])*1000,"#,##0")</f>
        <v>80,900</v>
      </c>
      <c r="AB456" s="14" t="str">
        <f>TEXT(VALUE(Table1[[#This Row],[Content.Column6]])*1000,"#,##0")</f>
        <v>82,212</v>
      </c>
    </row>
    <row r="457" spans="1:28" x14ac:dyDescent="0.3">
      <c r="A457" t="s">
        <v>68</v>
      </c>
      <c r="B457" t="s">
        <v>69</v>
      </c>
      <c r="C457" s="6">
        <v>110.127</v>
      </c>
      <c r="D457" s="1">
        <v>45.706000000000003</v>
      </c>
      <c r="E457" s="1">
        <v>155.833</v>
      </c>
      <c r="F457" s="1">
        <v>157.99299999999999</v>
      </c>
      <c r="G457" s="2">
        <v>29.204999999999998</v>
      </c>
      <c r="H457" s="2">
        <v>8.0459999999999994</v>
      </c>
      <c r="I457" s="2">
        <v>37.250999999999998</v>
      </c>
      <c r="J457" s="2">
        <v>37.292999999999999</v>
      </c>
      <c r="K457" s="3">
        <v>80.921999999999997</v>
      </c>
      <c r="L457" s="3">
        <v>37.659999999999997</v>
      </c>
      <c r="M457" s="3">
        <v>118.58199999999999</v>
      </c>
      <c r="N457" s="3">
        <v>120.7</v>
      </c>
      <c r="O457">
        <v>2018</v>
      </c>
      <c r="Q457" s="12" t="str">
        <f>TEXT(VALUE(Table1[[#This Row],[Content.Column7]])*1000,"#,##0")</f>
        <v>29,205</v>
      </c>
      <c r="R457" s="12" t="str">
        <f>TEXT(VALUE(Table1[[#This Row],[Content.Column8]])*1000,"#,##0")</f>
        <v>8,046</v>
      </c>
      <c r="S457" s="12" t="str">
        <f>TEXT(VALUE(Table1[[#This Row],[Content.Column9]])*1000,"#,##0")</f>
        <v>37,251</v>
      </c>
      <c r="T457" s="12" t="str">
        <f>TEXT(VALUE(Table1[[#This Row],[Content.Column10]])*1000,"#,##0")</f>
        <v>37,293</v>
      </c>
      <c r="U457" s="13" t="str">
        <f>TEXT(VALUE(Table1[[#This Row],[Content.Column11]])*1000,"#,##0")</f>
        <v>80,922</v>
      </c>
      <c r="V457" s="13" t="str">
        <f>TEXT(VALUE(Table1[[#This Row],[Content.Column12]])*1000,"#,##0")</f>
        <v>37,660</v>
      </c>
      <c r="W457" s="13" t="str">
        <f>TEXT(VALUE(Table1[[#This Row],[Content.Column13]])*1000,"#,##0")</f>
        <v>118,582</v>
      </c>
      <c r="X457" s="13" t="str">
        <f>TEXT(VALUE(Table1[[#This Row],[Content.Column14]])*1000,"#,##0")</f>
        <v>120,700</v>
      </c>
      <c r="Y457" s="14" t="str">
        <f>TEXT(VALUE(Table1[[#This Row],[Content.Column3]])*1000,"#,##0")</f>
        <v>110,127</v>
      </c>
      <c r="Z457" s="14" t="str">
        <f>TEXT(VALUE(Table1[[#This Row],[Content.Column4]])*1000,"#,##0")</f>
        <v>45,706</v>
      </c>
      <c r="AA457" s="14" t="str">
        <f>TEXT(VALUE(Table1[[#This Row],[Content.Column5]])*1000,"#,##0")</f>
        <v>155,833</v>
      </c>
      <c r="AB457" s="14" t="str">
        <f>TEXT(VALUE(Table1[[#This Row],[Content.Column6]])*1000,"#,##0")</f>
        <v>157,993</v>
      </c>
    </row>
    <row r="458" spans="1:28" x14ac:dyDescent="0.3">
      <c r="A458" t="s">
        <v>70</v>
      </c>
      <c r="B458" t="s">
        <v>71</v>
      </c>
      <c r="C458" s="6">
        <v>40.564</v>
      </c>
      <c r="D458" s="1">
        <v>25.417000000000002</v>
      </c>
      <c r="E458" s="1">
        <v>65.980999999999995</v>
      </c>
      <c r="F458" s="1">
        <v>67.429000000000002</v>
      </c>
      <c r="G458" s="2">
        <v>9.8049999999999997</v>
      </c>
      <c r="H458" s="2">
        <v>5.8280000000000003</v>
      </c>
      <c r="I458" s="2">
        <v>15.632999999999999</v>
      </c>
      <c r="J458" s="2">
        <v>15.637</v>
      </c>
      <c r="K458" s="3">
        <v>30.759</v>
      </c>
      <c r="L458" s="3">
        <v>19.588999999999999</v>
      </c>
      <c r="M458" s="3">
        <v>50.347999999999999</v>
      </c>
      <c r="N458" s="3">
        <v>51.792000000000002</v>
      </c>
      <c r="O458">
        <v>2018</v>
      </c>
      <c r="Q458" s="12" t="str">
        <f>TEXT(VALUE(Table1[[#This Row],[Content.Column7]])*1000,"#,##0")</f>
        <v>9,805</v>
      </c>
      <c r="R458" s="12" t="str">
        <f>TEXT(VALUE(Table1[[#This Row],[Content.Column8]])*1000,"#,##0")</f>
        <v>5,828</v>
      </c>
      <c r="S458" s="12" t="str">
        <f>TEXT(VALUE(Table1[[#This Row],[Content.Column9]])*1000,"#,##0")</f>
        <v>15,633</v>
      </c>
      <c r="T458" s="12" t="str">
        <f>TEXT(VALUE(Table1[[#This Row],[Content.Column10]])*1000,"#,##0")</f>
        <v>15,637</v>
      </c>
      <c r="U458" s="13" t="str">
        <f>TEXT(VALUE(Table1[[#This Row],[Content.Column11]])*1000,"#,##0")</f>
        <v>30,759</v>
      </c>
      <c r="V458" s="13" t="str">
        <f>TEXT(VALUE(Table1[[#This Row],[Content.Column12]])*1000,"#,##0")</f>
        <v>19,589</v>
      </c>
      <c r="W458" s="13" t="str">
        <f>TEXT(VALUE(Table1[[#This Row],[Content.Column13]])*1000,"#,##0")</f>
        <v>50,348</v>
      </c>
      <c r="X458" s="13" t="str">
        <f>TEXT(VALUE(Table1[[#This Row],[Content.Column14]])*1000,"#,##0")</f>
        <v>51,792</v>
      </c>
      <c r="Y458" s="14" t="str">
        <f>TEXT(VALUE(Table1[[#This Row],[Content.Column3]])*1000,"#,##0")</f>
        <v>40,564</v>
      </c>
      <c r="Z458" s="14" t="str">
        <f>TEXT(VALUE(Table1[[#This Row],[Content.Column4]])*1000,"#,##0")</f>
        <v>25,417</v>
      </c>
      <c r="AA458" s="14" t="str">
        <f>TEXT(VALUE(Table1[[#This Row],[Content.Column5]])*1000,"#,##0")</f>
        <v>65,981</v>
      </c>
      <c r="AB458" s="14" t="str">
        <f>TEXT(VALUE(Table1[[#This Row],[Content.Column6]])*1000,"#,##0")</f>
        <v>67,429</v>
      </c>
    </row>
    <row r="459" spans="1:28" x14ac:dyDescent="0.3">
      <c r="A459" t="s">
        <v>72</v>
      </c>
      <c r="B459" t="s">
        <v>73</v>
      </c>
      <c r="C459" s="6">
        <v>54.692999999999998</v>
      </c>
      <c r="D459" s="1">
        <v>27.382999999999999</v>
      </c>
      <c r="E459" s="1">
        <v>82.076999999999998</v>
      </c>
      <c r="F459" s="1">
        <v>83.45</v>
      </c>
      <c r="G459" s="2">
        <v>5.617</v>
      </c>
      <c r="H459" s="2">
        <v>2.6080000000000001</v>
      </c>
      <c r="I459" s="2">
        <v>8.2249999999999996</v>
      </c>
      <c r="J459" s="2">
        <v>8.2370000000000001</v>
      </c>
      <c r="K459" s="3">
        <v>49.076000000000001</v>
      </c>
      <c r="L459" s="3">
        <v>24.776</v>
      </c>
      <c r="M459" s="3">
        <v>73.852000000000004</v>
      </c>
      <c r="N459" s="3">
        <v>75.212999999999994</v>
      </c>
      <c r="O459">
        <v>2018</v>
      </c>
      <c r="Q459" s="12" t="str">
        <f>TEXT(VALUE(Table1[[#This Row],[Content.Column7]])*1000,"#,##0")</f>
        <v>5,617</v>
      </c>
      <c r="R459" s="12" t="str">
        <f>TEXT(VALUE(Table1[[#This Row],[Content.Column8]])*1000,"#,##0")</f>
        <v>2,608</v>
      </c>
      <c r="S459" s="12" t="str">
        <f>TEXT(VALUE(Table1[[#This Row],[Content.Column9]])*1000,"#,##0")</f>
        <v>8,225</v>
      </c>
      <c r="T459" s="12" t="str">
        <f>TEXT(VALUE(Table1[[#This Row],[Content.Column10]])*1000,"#,##0")</f>
        <v>8,237</v>
      </c>
      <c r="U459" s="13" t="str">
        <f>TEXT(VALUE(Table1[[#This Row],[Content.Column11]])*1000,"#,##0")</f>
        <v>49,076</v>
      </c>
      <c r="V459" s="13" t="str">
        <f>TEXT(VALUE(Table1[[#This Row],[Content.Column12]])*1000,"#,##0")</f>
        <v>24,776</v>
      </c>
      <c r="W459" s="13" t="str">
        <f>TEXT(VALUE(Table1[[#This Row],[Content.Column13]])*1000,"#,##0")</f>
        <v>73,852</v>
      </c>
      <c r="X459" s="13" t="str">
        <f>TEXT(VALUE(Table1[[#This Row],[Content.Column14]])*1000,"#,##0")</f>
        <v>75,213</v>
      </c>
      <c r="Y459" s="14" t="str">
        <f>TEXT(VALUE(Table1[[#This Row],[Content.Column3]])*1000,"#,##0")</f>
        <v>54,693</v>
      </c>
      <c r="Z459" s="14" t="str">
        <f>TEXT(VALUE(Table1[[#This Row],[Content.Column4]])*1000,"#,##0")</f>
        <v>27,383</v>
      </c>
      <c r="AA459" s="14" t="str">
        <f>TEXT(VALUE(Table1[[#This Row],[Content.Column5]])*1000,"#,##0")</f>
        <v>82,077</v>
      </c>
      <c r="AB459" s="14" t="str">
        <f>TEXT(VALUE(Table1[[#This Row],[Content.Column6]])*1000,"#,##0")</f>
        <v>83,450</v>
      </c>
    </row>
    <row r="460" spans="1:28" x14ac:dyDescent="0.3">
      <c r="A460" t="s">
        <v>74</v>
      </c>
      <c r="B460" t="s">
        <v>75</v>
      </c>
      <c r="C460" s="6">
        <v>76.033000000000001</v>
      </c>
      <c r="D460" s="1">
        <v>35.39</v>
      </c>
      <c r="E460" s="1">
        <v>111.423</v>
      </c>
      <c r="F460" s="1">
        <v>113.30200000000001</v>
      </c>
      <c r="G460" s="2">
        <v>18.221</v>
      </c>
      <c r="H460" s="2">
        <v>4.4939999999999998</v>
      </c>
      <c r="I460" s="2">
        <v>22.715</v>
      </c>
      <c r="J460" s="2">
        <v>22.855</v>
      </c>
      <c r="K460" s="3">
        <v>57.811999999999998</v>
      </c>
      <c r="L460" s="3">
        <v>30.896000000000001</v>
      </c>
      <c r="M460" s="3">
        <v>88.707999999999998</v>
      </c>
      <c r="N460" s="3">
        <v>90.445999999999998</v>
      </c>
      <c r="O460">
        <v>2018</v>
      </c>
      <c r="Q460" s="12" t="str">
        <f>TEXT(VALUE(Table1[[#This Row],[Content.Column7]])*1000,"#,##0")</f>
        <v>18,221</v>
      </c>
      <c r="R460" s="12" t="str">
        <f>TEXT(VALUE(Table1[[#This Row],[Content.Column8]])*1000,"#,##0")</f>
        <v>4,494</v>
      </c>
      <c r="S460" s="12" t="str">
        <f>TEXT(VALUE(Table1[[#This Row],[Content.Column9]])*1000,"#,##0")</f>
        <v>22,715</v>
      </c>
      <c r="T460" s="12" t="str">
        <f>TEXT(VALUE(Table1[[#This Row],[Content.Column10]])*1000,"#,##0")</f>
        <v>22,855</v>
      </c>
      <c r="U460" s="13" t="str">
        <f>TEXT(VALUE(Table1[[#This Row],[Content.Column11]])*1000,"#,##0")</f>
        <v>57,812</v>
      </c>
      <c r="V460" s="13" t="str">
        <f>TEXT(VALUE(Table1[[#This Row],[Content.Column12]])*1000,"#,##0")</f>
        <v>30,896</v>
      </c>
      <c r="W460" s="13" t="str">
        <f>TEXT(VALUE(Table1[[#This Row],[Content.Column13]])*1000,"#,##0")</f>
        <v>88,708</v>
      </c>
      <c r="X460" s="13" t="str">
        <f>TEXT(VALUE(Table1[[#This Row],[Content.Column14]])*1000,"#,##0")</f>
        <v>90,446</v>
      </c>
      <c r="Y460" s="14" t="str">
        <f>TEXT(VALUE(Table1[[#This Row],[Content.Column3]])*1000,"#,##0")</f>
        <v>76,033</v>
      </c>
      <c r="Z460" s="14" t="str">
        <f>TEXT(VALUE(Table1[[#This Row],[Content.Column4]])*1000,"#,##0")</f>
        <v>35,390</v>
      </c>
      <c r="AA460" s="14" t="str">
        <f>TEXT(VALUE(Table1[[#This Row],[Content.Column5]])*1000,"#,##0")</f>
        <v>111,423</v>
      </c>
      <c r="AB460" s="14" t="str">
        <f>TEXT(VALUE(Table1[[#This Row],[Content.Column6]])*1000,"#,##0")</f>
        <v>113,302</v>
      </c>
    </row>
    <row r="461" spans="1:28" x14ac:dyDescent="0.3">
      <c r="A461" t="s">
        <v>76</v>
      </c>
      <c r="B461" t="s">
        <v>77</v>
      </c>
      <c r="C461" s="6">
        <v>51.076999999999998</v>
      </c>
      <c r="D461" s="1">
        <v>26.978999999999999</v>
      </c>
      <c r="E461" s="1">
        <v>78.055999999999997</v>
      </c>
      <c r="F461" s="1">
        <v>79.832999999999998</v>
      </c>
      <c r="G461" s="2">
        <v>11.74</v>
      </c>
      <c r="H461" s="2">
        <v>4.9059999999999997</v>
      </c>
      <c r="I461" s="2">
        <v>16.646000000000001</v>
      </c>
      <c r="J461" s="2">
        <v>16.652000000000001</v>
      </c>
      <c r="K461" s="3">
        <v>39.337000000000003</v>
      </c>
      <c r="L461" s="3">
        <v>22.073</v>
      </c>
      <c r="M461" s="3">
        <v>61.411000000000001</v>
      </c>
      <c r="N461" s="3">
        <v>63.182000000000002</v>
      </c>
      <c r="O461">
        <v>2018</v>
      </c>
      <c r="Q461" s="12" t="str">
        <f>TEXT(VALUE(Table1[[#This Row],[Content.Column7]])*1000,"#,##0")</f>
        <v>11,740</v>
      </c>
      <c r="R461" s="12" t="str">
        <f>TEXT(VALUE(Table1[[#This Row],[Content.Column8]])*1000,"#,##0")</f>
        <v>4,906</v>
      </c>
      <c r="S461" s="12" t="str">
        <f>TEXT(VALUE(Table1[[#This Row],[Content.Column9]])*1000,"#,##0")</f>
        <v>16,646</v>
      </c>
      <c r="T461" s="12" t="str">
        <f>TEXT(VALUE(Table1[[#This Row],[Content.Column10]])*1000,"#,##0")</f>
        <v>16,652</v>
      </c>
      <c r="U461" s="13" t="str">
        <f>TEXT(VALUE(Table1[[#This Row],[Content.Column11]])*1000,"#,##0")</f>
        <v>39,337</v>
      </c>
      <c r="V461" s="13" t="str">
        <f>TEXT(VALUE(Table1[[#This Row],[Content.Column12]])*1000,"#,##0")</f>
        <v>22,073</v>
      </c>
      <c r="W461" s="13" t="str">
        <f>TEXT(VALUE(Table1[[#This Row],[Content.Column13]])*1000,"#,##0")</f>
        <v>61,411</v>
      </c>
      <c r="X461" s="13" t="str">
        <f>TEXT(VALUE(Table1[[#This Row],[Content.Column14]])*1000,"#,##0")</f>
        <v>63,182</v>
      </c>
      <c r="Y461" s="14" t="str">
        <f>TEXT(VALUE(Table1[[#This Row],[Content.Column3]])*1000,"#,##0")</f>
        <v>51,077</v>
      </c>
      <c r="Z461" s="14" t="str">
        <f>TEXT(VALUE(Table1[[#This Row],[Content.Column4]])*1000,"#,##0")</f>
        <v>26,979</v>
      </c>
      <c r="AA461" s="14" t="str">
        <f>TEXT(VALUE(Table1[[#This Row],[Content.Column5]])*1000,"#,##0")</f>
        <v>78,056</v>
      </c>
      <c r="AB461" s="14" t="str">
        <f>TEXT(VALUE(Table1[[#This Row],[Content.Column6]])*1000,"#,##0")</f>
        <v>79,833</v>
      </c>
    </row>
    <row r="462" spans="1:28" x14ac:dyDescent="0.3">
      <c r="A462" t="s">
        <v>78</v>
      </c>
      <c r="B462" t="s">
        <v>79</v>
      </c>
      <c r="C462" s="6">
        <v>53.353999999999999</v>
      </c>
      <c r="D462" s="1">
        <v>25.92</v>
      </c>
      <c r="E462" s="1">
        <v>79.275000000000006</v>
      </c>
      <c r="F462" s="1">
        <v>81.159000000000006</v>
      </c>
      <c r="G462" s="2">
        <v>6.3719999999999999</v>
      </c>
      <c r="H462" s="2">
        <v>3.1070000000000002</v>
      </c>
      <c r="I462" s="2">
        <v>9.4789999999999992</v>
      </c>
      <c r="J462" s="2">
        <v>9.5090000000000003</v>
      </c>
      <c r="K462" s="3">
        <v>46.981999999999999</v>
      </c>
      <c r="L462" s="3">
        <v>22.812999999999999</v>
      </c>
      <c r="M462" s="3">
        <v>69.795000000000002</v>
      </c>
      <c r="N462" s="3">
        <v>71.649000000000001</v>
      </c>
      <c r="O462">
        <v>2018</v>
      </c>
      <c r="Q462" s="12" t="str">
        <f>TEXT(VALUE(Table1[[#This Row],[Content.Column7]])*1000,"#,##0")</f>
        <v>6,372</v>
      </c>
      <c r="R462" s="12" t="str">
        <f>TEXT(VALUE(Table1[[#This Row],[Content.Column8]])*1000,"#,##0")</f>
        <v>3,107</v>
      </c>
      <c r="S462" s="12" t="str">
        <f>TEXT(VALUE(Table1[[#This Row],[Content.Column9]])*1000,"#,##0")</f>
        <v>9,479</v>
      </c>
      <c r="T462" s="12" t="str">
        <f>TEXT(VALUE(Table1[[#This Row],[Content.Column10]])*1000,"#,##0")</f>
        <v>9,509</v>
      </c>
      <c r="U462" s="13" t="str">
        <f>TEXT(VALUE(Table1[[#This Row],[Content.Column11]])*1000,"#,##0")</f>
        <v>46,982</v>
      </c>
      <c r="V462" s="13" t="str">
        <f>TEXT(VALUE(Table1[[#This Row],[Content.Column12]])*1000,"#,##0")</f>
        <v>22,813</v>
      </c>
      <c r="W462" s="13" t="str">
        <f>TEXT(VALUE(Table1[[#This Row],[Content.Column13]])*1000,"#,##0")</f>
        <v>69,795</v>
      </c>
      <c r="X462" s="13" t="str">
        <f>TEXT(VALUE(Table1[[#This Row],[Content.Column14]])*1000,"#,##0")</f>
        <v>71,649</v>
      </c>
      <c r="Y462" s="14" t="str">
        <f>TEXT(VALUE(Table1[[#This Row],[Content.Column3]])*1000,"#,##0")</f>
        <v>53,354</v>
      </c>
      <c r="Z462" s="14" t="str">
        <f>TEXT(VALUE(Table1[[#This Row],[Content.Column4]])*1000,"#,##0")</f>
        <v>25,920</v>
      </c>
      <c r="AA462" s="14" t="str">
        <f>TEXT(VALUE(Table1[[#This Row],[Content.Column5]])*1000,"#,##0")</f>
        <v>79,275</v>
      </c>
      <c r="AB462" s="14" t="str">
        <f>TEXT(VALUE(Table1[[#This Row],[Content.Column6]])*1000,"#,##0")</f>
        <v>81,159</v>
      </c>
    </row>
    <row r="463" spans="1:28" x14ac:dyDescent="0.3">
      <c r="A463" t="s">
        <v>80</v>
      </c>
      <c r="B463" t="s">
        <v>81</v>
      </c>
      <c r="C463" s="6">
        <v>190.10900000000001</v>
      </c>
      <c r="D463" s="1">
        <v>50.140999999999998</v>
      </c>
      <c r="E463" s="1">
        <v>240.251</v>
      </c>
      <c r="F463" s="1">
        <v>245.68899999999999</v>
      </c>
      <c r="G463" s="2">
        <v>34.311999999999998</v>
      </c>
      <c r="H463" s="2">
        <v>6.8760000000000003</v>
      </c>
      <c r="I463" s="2">
        <v>41.188000000000002</v>
      </c>
      <c r="J463" s="2">
        <v>41.281999999999996</v>
      </c>
      <c r="K463" s="3">
        <v>155.797</v>
      </c>
      <c r="L463" s="3">
        <v>43.265000000000001</v>
      </c>
      <c r="M463" s="3">
        <v>199.06200000000001</v>
      </c>
      <c r="N463" s="3">
        <v>204.40799999999999</v>
      </c>
      <c r="O463">
        <v>2018</v>
      </c>
      <c r="Q463" s="12" t="str">
        <f>TEXT(VALUE(Table1[[#This Row],[Content.Column7]])*1000,"#,##0")</f>
        <v>34,312</v>
      </c>
      <c r="R463" s="12" t="str">
        <f>TEXT(VALUE(Table1[[#This Row],[Content.Column8]])*1000,"#,##0")</f>
        <v>6,876</v>
      </c>
      <c r="S463" s="12" t="str">
        <f>TEXT(VALUE(Table1[[#This Row],[Content.Column9]])*1000,"#,##0")</f>
        <v>41,188</v>
      </c>
      <c r="T463" s="12" t="str">
        <f>TEXT(VALUE(Table1[[#This Row],[Content.Column10]])*1000,"#,##0")</f>
        <v>41,282</v>
      </c>
      <c r="U463" s="13" t="str">
        <f>TEXT(VALUE(Table1[[#This Row],[Content.Column11]])*1000,"#,##0")</f>
        <v>155,797</v>
      </c>
      <c r="V463" s="13" t="str">
        <f>TEXT(VALUE(Table1[[#This Row],[Content.Column12]])*1000,"#,##0")</f>
        <v>43,265</v>
      </c>
      <c r="W463" s="13" t="str">
        <f>TEXT(VALUE(Table1[[#This Row],[Content.Column13]])*1000,"#,##0")</f>
        <v>199,062</v>
      </c>
      <c r="X463" s="13" t="str">
        <f>TEXT(VALUE(Table1[[#This Row],[Content.Column14]])*1000,"#,##0")</f>
        <v>204,408</v>
      </c>
      <c r="Y463" s="14" t="str">
        <f>TEXT(VALUE(Table1[[#This Row],[Content.Column3]])*1000,"#,##0")</f>
        <v>190,109</v>
      </c>
      <c r="Z463" s="14" t="str">
        <f>TEXT(VALUE(Table1[[#This Row],[Content.Column4]])*1000,"#,##0")</f>
        <v>50,141</v>
      </c>
      <c r="AA463" s="14" t="str">
        <f>TEXT(VALUE(Table1[[#This Row],[Content.Column5]])*1000,"#,##0")</f>
        <v>240,251</v>
      </c>
      <c r="AB463" s="14" t="str">
        <f>TEXT(VALUE(Table1[[#This Row],[Content.Column6]])*1000,"#,##0")</f>
        <v>245,689</v>
      </c>
    </row>
    <row r="464" spans="1:28" x14ac:dyDescent="0.3">
      <c r="A464" t="s">
        <v>82</v>
      </c>
      <c r="B464" t="s">
        <v>83</v>
      </c>
      <c r="C464" s="6">
        <v>43.920999999999999</v>
      </c>
      <c r="D464" s="1">
        <v>25.414999999999999</v>
      </c>
      <c r="E464" s="1">
        <v>69.335999999999999</v>
      </c>
      <c r="F464" s="1">
        <v>70.792000000000002</v>
      </c>
      <c r="G464" s="2">
        <v>8.4619999999999997</v>
      </c>
      <c r="H464" s="2">
        <v>5.3570000000000002</v>
      </c>
      <c r="I464" s="2">
        <v>13.819000000000001</v>
      </c>
      <c r="J464" s="2">
        <v>13.831</v>
      </c>
      <c r="K464" s="3">
        <v>35.46</v>
      </c>
      <c r="L464" s="3">
        <v>20.058</v>
      </c>
      <c r="M464" s="3">
        <v>55.517000000000003</v>
      </c>
      <c r="N464" s="3">
        <v>56.960999999999999</v>
      </c>
      <c r="O464">
        <v>2018</v>
      </c>
      <c r="Q464" s="12" t="str">
        <f>TEXT(VALUE(Table1[[#This Row],[Content.Column7]])*1000,"#,##0")</f>
        <v>8,462</v>
      </c>
      <c r="R464" s="12" t="str">
        <f>TEXT(VALUE(Table1[[#This Row],[Content.Column8]])*1000,"#,##0")</f>
        <v>5,357</v>
      </c>
      <c r="S464" s="12" t="str">
        <f>TEXT(VALUE(Table1[[#This Row],[Content.Column9]])*1000,"#,##0")</f>
        <v>13,819</v>
      </c>
      <c r="T464" s="12" t="str">
        <f>TEXT(VALUE(Table1[[#This Row],[Content.Column10]])*1000,"#,##0")</f>
        <v>13,831</v>
      </c>
      <c r="U464" s="13" t="str">
        <f>TEXT(VALUE(Table1[[#This Row],[Content.Column11]])*1000,"#,##0")</f>
        <v>35,460</v>
      </c>
      <c r="V464" s="13" t="str">
        <f>TEXT(VALUE(Table1[[#This Row],[Content.Column12]])*1000,"#,##0")</f>
        <v>20,058</v>
      </c>
      <c r="W464" s="13" t="str">
        <f>TEXT(VALUE(Table1[[#This Row],[Content.Column13]])*1000,"#,##0")</f>
        <v>55,517</v>
      </c>
      <c r="X464" s="13" t="str">
        <f>TEXT(VALUE(Table1[[#This Row],[Content.Column14]])*1000,"#,##0")</f>
        <v>56,961</v>
      </c>
      <c r="Y464" s="14" t="str">
        <f>TEXT(VALUE(Table1[[#This Row],[Content.Column3]])*1000,"#,##0")</f>
        <v>43,921</v>
      </c>
      <c r="Z464" s="14" t="str">
        <f>TEXT(VALUE(Table1[[#This Row],[Content.Column4]])*1000,"#,##0")</f>
        <v>25,415</v>
      </c>
      <c r="AA464" s="14" t="str">
        <f>TEXT(VALUE(Table1[[#This Row],[Content.Column5]])*1000,"#,##0")</f>
        <v>69,336</v>
      </c>
      <c r="AB464" s="14" t="str">
        <f>TEXT(VALUE(Table1[[#This Row],[Content.Column6]])*1000,"#,##0")</f>
        <v>70,792</v>
      </c>
    </row>
    <row r="465" spans="1:28" x14ac:dyDescent="0.3">
      <c r="A465" t="s">
        <v>84</v>
      </c>
      <c r="B465" t="s">
        <v>85</v>
      </c>
      <c r="C465" s="6">
        <v>231.99</v>
      </c>
      <c r="D465" s="1">
        <v>66.478999999999999</v>
      </c>
      <c r="E465" s="1">
        <v>298.46899999999999</v>
      </c>
      <c r="F465" s="1">
        <v>302.63799999999998</v>
      </c>
      <c r="G465" s="2">
        <v>34.359000000000002</v>
      </c>
      <c r="H465" s="2">
        <v>17.219000000000001</v>
      </c>
      <c r="I465" s="2">
        <v>51.578000000000003</v>
      </c>
      <c r="J465" s="2">
        <v>51.865000000000002</v>
      </c>
      <c r="K465" s="3">
        <v>197.631</v>
      </c>
      <c r="L465" s="3">
        <v>49.26</v>
      </c>
      <c r="M465" s="3">
        <v>246.89099999999999</v>
      </c>
      <c r="N465" s="3">
        <v>250.774</v>
      </c>
      <c r="O465">
        <v>2018</v>
      </c>
      <c r="Q465" s="12" t="str">
        <f>TEXT(VALUE(Table1[[#This Row],[Content.Column7]])*1000,"#,##0")</f>
        <v>34,359</v>
      </c>
      <c r="R465" s="12" t="str">
        <f>TEXT(VALUE(Table1[[#This Row],[Content.Column8]])*1000,"#,##0")</f>
        <v>17,219</v>
      </c>
      <c r="S465" s="12" t="str">
        <f>TEXT(VALUE(Table1[[#This Row],[Content.Column9]])*1000,"#,##0")</f>
        <v>51,578</v>
      </c>
      <c r="T465" s="12" t="str">
        <f>TEXT(VALUE(Table1[[#This Row],[Content.Column10]])*1000,"#,##0")</f>
        <v>51,865</v>
      </c>
      <c r="U465" s="13" t="str">
        <f>TEXT(VALUE(Table1[[#This Row],[Content.Column11]])*1000,"#,##0")</f>
        <v>197,631</v>
      </c>
      <c r="V465" s="13" t="str">
        <f>TEXT(VALUE(Table1[[#This Row],[Content.Column12]])*1000,"#,##0")</f>
        <v>49,260</v>
      </c>
      <c r="W465" s="13" t="str">
        <f>TEXT(VALUE(Table1[[#This Row],[Content.Column13]])*1000,"#,##0")</f>
        <v>246,891</v>
      </c>
      <c r="X465" s="13" t="str">
        <f>TEXT(VALUE(Table1[[#This Row],[Content.Column14]])*1000,"#,##0")</f>
        <v>250,774</v>
      </c>
      <c r="Y465" s="14" t="str">
        <f>TEXT(VALUE(Table1[[#This Row],[Content.Column3]])*1000,"#,##0")</f>
        <v>231,990</v>
      </c>
      <c r="Z465" s="14" t="str">
        <f>TEXT(VALUE(Table1[[#This Row],[Content.Column4]])*1000,"#,##0")</f>
        <v>66,479</v>
      </c>
      <c r="AA465" s="14" t="str">
        <f>TEXT(VALUE(Table1[[#This Row],[Content.Column5]])*1000,"#,##0")</f>
        <v>298,469</v>
      </c>
      <c r="AB465" s="14" t="str">
        <f>TEXT(VALUE(Table1[[#This Row],[Content.Column6]])*1000,"#,##0")</f>
        <v>302,638</v>
      </c>
    </row>
    <row r="466" spans="1:28" x14ac:dyDescent="0.3">
      <c r="A466" t="s">
        <v>86</v>
      </c>
      <c r="B466" t="s">
        <v>87</v>
      </c>
      <c r="C466" s="6">
        <v>49.66</v>
      </c>
      <c r="D466" s="1">
        <v>22.459</v>
      </c>
      <c r="E466" s="1">
        <v>72.119</v>
      </c>
      <c r="F466" s="1">
        <v>73.825000000000003</v>
      </c>
      <c r="G466" s="2">
        <v>12.301</v>
      </c>
      <c r="H466" s="2">
        <v>4.2539999999999996</v>
      </c>
      <c r="I466" s="2">
        <v>16.555</v>
      </c>
      <c r="J466" s="2">
        <v>16.584</v>
      </c>
      <c r="K466" s="3">
        <v>37.357999999999997</v>
      </c>
      <c r="L466" s="3">
        <v>18.204999999999998</v>
      </c>
      <c r="M466" s="3">
        <v>55.564</v>
      </c>
      <c r="N466" s="3">
        <v>57.241</v>
      </c>
      <c r="O466">
        <v>2018</v>
      </c>
      <c r="Q466" s="12" t="str">
        <f>TEXT(VALUE(Table1[[#This Row],[Content.Column7]])*1000,"#,##0")</f>
        <v>12,301</v>
      </c>
      <c r="R466" s="12" t="str">
        <f>TEXT(VALUE(Table1[[#This Row],[Content.Column8]])*1000,"#,##0")</f>
        <v>4,254</v>
      </c>
      <c r="S466" s="12" t="str">
        <f>TEXT(VALUE(Table1[[#This Row],[Content.Column9]])*1000,"#,##0")</f>
        <v>16,555</v>
      </c>
      <c r="T466" s="12" t="str">
        <f>TEXT(VALUE(Table1[[#This Row],[Content.Column10]])*1000,"#,##0")</f>
        <v>16,584</v>
      </c>
      <c r="U466" s="13" t="str">
        <f>TEXT(VALUE(Table1[[#This Row],[Content.Column11]])*1000,"#,##0")</f>
        <v>37,358</v>
      </c>
      <c r="V466" s="13" t="str">
        <f>TEXT(VALUE(Table1[[#This Row],[Content.Column12]])*1000,"#,##0")</f>
        <v>18,205</v>
      </c>
      <c r="W466" s="13" t="str">
        <f>TEXT(VALUE(Table1[[#This Row],[Content.Column13]])*1000,"#,##0")</f>
        <v>55,564</v>
      </c>
      <c r="X466" s="13" t="str">
        <f>TEXT(VALUE(Table1[[#This Row],[Content.Column14]])*1000,"#,##0")</f>
        <v>57,241</v>
      </c>
      <c r="Y466" s="14" t="str">
        <f>TEXT(VALUE(Table1[[#This Row],[Content.Column3]])*1000,"#,##0")</f>
        <v>49,660</v>
      </c>
      <c r="Z466" s="14" t="str">
        <f>TEXT(VALUE(Table1[[#This Row],[Content.Column4]])*1000,"#,##0")</f>
        <v>22,459</v>
      </c>
      <c r="AA466" s="14" t="str">
        <f>TEXT(VALUE(Table1[[#This Row],[Content.Column5]])*1000,"#,##0")</f>
        <v>72,119</v>
      </c>
      <c r="AB466" s="14" t="str">
        <f>TEXT(VALUE(Table1[[#This Row],[Content.Column6]])*1000,"#,##0")</f>
        <v>73,825</v>
      </c>
    </row>
    <row r="467" spans="1:28" x14ac:dyDescent="0.3">
      <c r="A467" t="s">
        <v>88</v>
      </c>
      <c r="B467" t="s">
        <v>89</v>
      </c>
      <c r="C467" s="6">
        <v>80.188000000000002</v>
      </c>
      <c r="D467" s="1">
        <v>38.491</v>
      </c>
      <c r="E467" s="1">
        <v>118.679</v>
      </c>
      <c r="F467" s="1">
        <v>121.111</v>
      </c>
      <c r="G467" s="2">
        <v>17.974</v>
      </c>
      <c r="H467" s="2">
        <v>7.7990000000000004</v>
      </c>
      <c r="I467" s="2">
        <v>25.771999999999998</v>
      </c>
      <c r="J467" s="2">
        <v>25.805</v>
      </c>
      <c r="K467" s="3">
        <v>62.213999999999999</v>
      </c>
      <c r="L467" s="3">
        <v>30.693000000000001</v>
      </c>
      <c r="M467" s="3">
        <v>92.906999999999996</v>
      </c>
      <c r="N467" s="3">
        <v>95.305999999999997</v>
      </c>
      <c r="O467">
        <v>2018</v>
      </c>
      <c r="Q467" s="12" t="str">
        <f>TEXT(VALUE(Table1[[#This Row],[Content.Column7]])*1000,"#,##0")</f>
        <v>17,974</v>
      </c>
      <c r="R467" s="12" t="str">
        <f>TEXT(VALUE(Table1[[#This Row],[Content.Column8]])*1000,"#,##0")</f>
        <v>7,799</v>
      </c>
      <c r="S467" s="12" t="str">
        <f>TEXT(VALUE(Table1[[#This Row],[Content.Column9]])*1000,"#,##0")</f>
        <v>25,772</v>
      </c>
      <c r="T467" s="12" t="str">
        <f>TEXT(VALUE(Table1[[#This Row],[Content.Column10]])*1000,"#,##0")</f>
        <v>25,805</v>
      </c>
      <c r="U467" s="13" t="str">
        <f>TEXT(VALUE(Table1[[#This Row],[Content.Column11]])*1000,"#,##0")</f>
        <v>62,214</v>
      </c>
      <c r="V467" s="13" t="str">
        <f>TEXT(VALUE(Table1[[#This Row],[Content.Column12]])*1000,"#,##0")</f>
        <v>30,693</v>
      </c>
      <c r="W467" s="13" t="str">
        <f>TEXT(VALUE(Table1[[#This Row],[Content.Column13]])*1000,"#,##0")</f>
        <v>92,907</v>
      </c>
      <c r="X467" s="13" t="str">
        <f>TEXT(VALUE(Table1[[#This Row],[Content.Column14]])*1000,"#,##0")</f>
        <v>95,306</v>
      </c>
      <c r="Y467" s="14" t="str">
        <f>TEXT(VALUE(Table1[[#This Row],[Content.Column3]])*1000,"#,##0")</f>
        <v>80,188</v>
      </c>
      <c r="Z467" s="14" t="str">
        <f>TEXT(VALUE(Table1[[#This Row],[Content.Column4]])*1000,"#,##0")</f>
        <v>38,491</v>
      </c>
      <c r="AA467" s="14" t="str">
        <f>TEXT(VALUE(Table1[[#This Row],[Content.Column5]])*1000,"#,##0")</f>
        <v>118,679</v>
      </c>
      <c r="AB467" s="14" t="str">
        <f>TEXT(VALUE(Table1[[#This Row],[Content.Column6]])*1000,"#,##0")</f>
        <v>121,111</v>
      </c>
    </row>
    <row r="468" spans="1:28" x14ac:dyDescent="0.3">
      <c r="A468" t="s">
        <v>90</v>
      </c>
      <c r="B468" t="s">
        <v>91</v>
      </c>
      <c r="C468" s="6">
        <v>559.06299999999999</v>
      </c>
      <c r="D468" s="1">
        <v>155.911</v>
      </c>
      <c r="E468" s="1">
        <v>714.97500000000002</v>
      </c>
      <c r="F468" s="1">
        <v>734.25400000000002</v>
      </c>
      <c r="G468" s="2">
        <v>86.271000000000001</v>
      </c>
      <c r="H468" s="2">
        <v>12.436</v>
      </c>
      <c r="I468" s="2">
        <v>98.706999999999994</v>
      </c>
      <c r="J468" s="2">
        <v>98.861000000000004</v>
      </c>
      <c r="K468" s="3">
        <v>472.79199999999997</v>
      </c>
      <c r="L468" s="3">
        <v>143.47499999999999</v>
      </c>
      <c r="M468" s="3">
        <v>616.26800000000003</v>
      </c>
      <c r="N468" s="3">
        <v>635.39300000000003</v>
      </c>
      <c r="O468">
        <v>2018</v>
      </c>
      <c r="Q468" s="12" t="str">
        <f>TEXT(VALUE(Table1[[#This Row],[Content.Column7]])*1000,"#,##0")</f>
        <v>86,271</v>
      </c>
      <c r="R468" s="12" t="str">
        <f>TEXT(VALUE(Table1[[#This Row],[Content.Column8]])*1000,"#,##0")</f>
        <v>12,436</v>
      </c>
      <c r="S468" s="12" t="str">
        <f>TEXT(VALUE(Table1[[#This Row],[Content.Column9]])*1000,"#,##0")</f>
        <v>98,707</v>
      </c>
      <c r="T468" s="12" t="str">
        <f>TEXT(VALUE(Table1[[#This Row],[Content.Column10]])*1000,"#,##0")</f>
        <v>98,861</v>
      </c>
      <c r="U468" s="13" t="str">
        <f>TEXT(VALUE(Table1[[#This Row],[Content.Column11]])*1000,"#,##0")</f>
        <v>472,792</v>
      </c>
      <c r="V468" s="13" t="str">
        <f>TEXT(VALUE(Table1[[#This Row],[Content.Column12]])*1000,"#,##0")</f>
        <v>143,475</v>
      </c>
      <c r="W468" s="13" t="str">
        <f>TEXT(VALUE(Table1[[#This Row],[Content.Column13]])*1000,"#,##0")</f>
        <v>616,268</v>
      </c>
      <c r="X468" s="13" t="str">
        <f>TEXT(VALUE(Table1[[#This Row],[Content.Column14]])*1000,"#,##0")</f>
        <v>635,393</v>
      </c>
      <c r="Y468" s="14" t="str">
        <f>TEXT(VALUE(Table1[[#This Row],[Content.Column3]])*1000,"#,##0")</f>
        <v>559,063</v>
      </c>
      <c r="Z468" s="14" t="str">
        <f>TEXT(VALUE(Table1[[#This Row],[Content.Column4]])*1000,"#,##0")</f>
        <v>155,911</v>
      </c>
      <c r="AA468" s="14" t="str">
        <f>TEXT(VALUE(Table1[[#This Row],[Content.Column5]])*1000,"#,##0")</f>
        <v>714,975</v>
      </c>
      <c r="AB468" s="14" t="str">
        <f>TEXT(VALUE(Table1[[#This Row],[Content.Column6]])*1000,"#,##0")</f>
        <v>734,254</v>
      </c>
    </row>
    <row r="469" spans="1:28" x14ac:dyDescent="0.3">
      <c r="A469" t="s">
        <v>92</v>
      </c>
      <c r="B469" t="s">
        <v>93</v>
      </c>
      <c r="C469" s="6">
        <v>2522.5149999999999</v>
      </c>
      <c r="D469" s="1">
        <v>751.55700000000002</v>
      </c>
      <c r="E469" s="1">
        <v>3274.0749999999998</v>
      </c>
      <c r="F469" s="1">
        <v>3353.9720000000002</v>
      </c>
      <c r="G469" s="2">
        <v>350.05900000000003</v>
      </c>
      <c r="H469" s="2">
        <v>95.623999999999995</v>
      </c>
      <c r="I469" s="2">
        <v>445.68200000000002</v>
      </c>
      <c r="J469" s="2">
        <v>447.03500000000003</v>
      </c>
      <c r="K469" s="3">
        <v>2172.4569999999999</v>
      </c>
      <c r="L469" s="3">
        <v>655.93399999999997</v>
      </c>
      <c r="M469" s="3">
        <v>2828.393</v>
      </c>
      <c r="N469" s="3">
        <v>2906.9369999999999</v>
      </c>
      <c r="O469">
        <v>2018</v>
      </c>
      <c r="Q469" s="12" t="str">
        <f>TEXT(VALUE(Table1[[#This Row],[Content.Column7]])*1000,"#,##0")</f>
        <v>350,059</v>
      </c>
      <c r="R469" s="12" t="str">
        <f>TEXT(VALUE(Table1[[#This Row],[Content.Column8]])*1000,"#,##0")</f>
        <v>95,624</v>
      </c>
      <c r="S469" s="12" t="str">
        <f>TEXT(VALUE(Table1[[#This Row],[Content.Column9]])*1000,"#,##0")</f>
        <v>445,682</v>
      </c>
      <c r="T469" s="12" t="str">
        <f>TEXT(VALUE(Table1[[#This Row],[Content.Column10]])*1000,"#,##0")</f>
        <v>447,035</v>
      </c>
      <c r="U469" s="13" t="str">
        <f>TEXT(VALUE(Table1[[#This Row],[Content.Column11]])*1000,"#,##0")</f>
        <v>2,172,457</v>
      </c>
      <c r="V469" s="13" t="str">
        <f>TEXT(VALUE(Table1[[#This Row],[Content.Column12]])*1000,"#,##0")</f>
        <v>655,934</v>
      </c>
      <c r="W469" s="13" t="str">
        <f>TEXT(VALUE(Table1[[#This Row],[Content.Column13]])*1000,"#,##0")</f>
        <v>2,828,393</v>
      </c>
      <c r="X469" s="13" t="str">
        <f>TEXT(VALUE(Table1[[#This Row],[Content.Column14]])*1000,"#,##0")</f>
        <v>2,906,937</v>
      </c>
      <c r="Y469" s="14" t="str">
        <f>TEXT(VALUE(Table1[[#This Row],[Content.Column3]])*1000,"#,##0")</f>
        <v>2,522,515</v>
      </c>
      <c r="Z469" s="14" t="str">
        <f>TEXT(VALUE(Table1[[#This Row],[Content.Column4]])*1000,"#,##0")</f>
        <v>751,557</v>
      </c>
      <c r="AA469" s="14" t="str">
        <f>TEXT(VALUE(Table1[[#This Row],[Content.Column5]])*1000,"#,##0")</f>
        <v>3,274,075</v>
      </c>
      <c r="AB469" s="14" t="str">
        <f>TEXT(VALUE(Table1[[#This Row],[Content.Column6]])*1000,"#,##0")</f>
        <v>3,353,972</v>
      </c>
    </row>
    <row r="470" spans="1:28" x14ac:dyDescent="0.3">
      <c r="A470" t="s">
        <v>94</v>
      </c>
      <c r="B470" t="s">
        <v>95</v>
      </c>
      <c r="C470" s="6">
        <v>1272.8040000000001</v>
      </c>
      <c r="D470" s="1">
        <v>615.62</v>
      </c>
      <c r="E470" s="1">
        <v>1888.4280000000001</v>
      </c>
      <c r="F470" s="1">
        <v>1926.864</v>
      </c>
      <c r="G470" s="2">
        <v>201.96700000000001</v>
      </c>
      <c r="H470" s="2">
        <v>102.932</v>
      </c>
      <c r="I470" s="2">
        <v>304.899</v>
      </c>
      <c r="J470" s="2">
        <v>305.53300000000002</v>
      </c>
      <c r="K470" s="3">
        <v>1070.837</v>
      </c>
      <c r="L470" s="3">
        <v>512.68899999999996</v>
      </c>
      <c r="M470" s="3">
        <v>1583.529</v>
      </c>
      <c r="N470" s="3">
        <v>1621.33</v>
      </c>
      <c r="O470">
        <v>2018</v>
      </c>
      <c r="Q470" s="12" t="str">
        <f>TEXT(VALUE(Table1[[#This Row],[Content.Column7]])*1000,"#,##0")</f>
        <v>201,967</v>
      </c>
      <c r="R470" s="12" t="str">
        <f>TEXT(VALUE(Table1[[#This Row],[Content.Column8]])*1000,"#,##0")</f>
        <v>102,932</v>
      </c>
      <c r="S470" s="12" t="str">
        <f>TEXT(VALUE(Table1[[#This Row],[Content.Column9]])*1000,"#,##0")</f>
        <v>304,899</v>
      </c>
      <c r="T470" s="12" t="str">
        <f>TEXT(VALUE(Table1[[#This Row],[Content.Column10]])*1000,"#,##0")</f>
        <v>305,533</v>
      </c>
      <c r="U470" s="13" t="str">
        <f>TEXT(VALUE(Table1[[#This Row],[Content.Column11]])*1000,"#,##0")</f>
        <v>1,070,837</v>
      </c>
      <c r="V470" s="13" t="str">
        <f>TEXT(VALUE(Table1[[#This Row],[Content.Column12]])*1000,"#,##0")</f>
        <v>512,689</v>
      </c>
      <c r="W470" s="13" t="str">
        <f>TEXT(VALUE(Table1[[#This Row],[Content.Column13]])*1000,"#,##0")</f>
        <v>1,583,529</v>
      </c>
      <c r="X470" s="13" t="str">
        <f>TEXT(VALUE(Table1[[#This Row],[Content.Column14]])*1000,"#,##0")</f>
        <v>1,621,330</v>
      </c>
      <c r="Y470" s="14" t="str">
        <f>TEXT(VALUE(Table1[[#This Row],[Content.Column3]])*1000,"#,##0")</f>
        <v>1,272,804</v>
      </c>
      <c r="Z470" s="14" t="str">
        <f>TEXT(VALUE(Table1[[#This Row],[Content.Column4]])*1000,"#,##0")</f>
        <v>615,620</v>
      </c>
      <c r="AA470" s="14" t="str">
        <f>TEXT(VALUE(Table1[[#This Row],[Content.Column5]])*1000,"#,##0")</f>
        <v>1,888,428</v>
      </c>
      <c r="AB470" s="14" t="str">
        <f>TEXT(VALUE(Table1[[#This Row],[Content.Column6]])*1000,"#,##0")</f>
        <v>1,926,864</v>
      </c>
    </row>
    <row r="471" spans="1:28" x14ac:dyDescent="0.3">
      <c r="A471" t="s">
        <v>96</v>
      </c>
      <c r="B471" t="s">
        <v>97</v>
      </c>
      <c r="C471" s="6">
        <v>704.28499999999997</v>
      </c>
      <c r="D471" s="1">
        <v>350.41</v>
      </c>
      <c r="E471" s="1">
        <v>1054.6949999999999</v>
      </c>
      <c r="F471" s="1">
        <v>1083.502</v>
      </c>
      <c r="G471" s="2">
        <v>142.04599999999999</v>
      </c>
      <c r="H471" s="2">
        <v>83.960999999999999</v>
      </c>
      <c r="I471" s="2">
        <v>226.00800000000001</v>
      </c>
      <c r="J471" s="2">
        <v>226.041</v>
      </c>
      <c r="K471" s="3">
        <v>562.23900000000003</v>
      </c>
      <c r="L471" s="3">
        <v>266.44900000000001</v>
      </c>
      <c r="M471" s="3">
        <v>828.68700000000001</v>
      </c>
      <c r="N471" s="3">
        <v>857.46100000000001</v>
      </c>
      <c r="O471">
        <v>2018</v>
      </c>
      <c r="Q471" s="12" t="str">
        <f>TEXT(VALUE(Table1[[#This Row],[Content.Column7]])*1000,"#,##0")</f>
        <v>142,046</v>
      </c>
      <c r="R471" s="12" t="str">
        <f>TEXT(VALUE(Table1[[#This Row],[Content.Column8]])*1000,"#,##0")</f>
        <v>83,961</v>
      </c>
      <c r="S471" s="12" t="str">
        <f>TEXT(VALUE(Table1[[#This Row],[Content.Column9]])*1000,"#,##0")</f>
        <v>226,008</v>
      </c>
      <c r="T471" s="12" t="str">
        <f>TEXT(VALUE(Table1[[#This Row],[Content.Column10]])*1000,"#,##0")</f>
        <v>226,041</v>
      </c>
      <c r="U471" s="13" t="str">
        <f>TEXT(VALUE(Table1[[#This Row],[Content.Column11]])*1000,"#,##0")</f>
        <v>562,239</v>
      </c>
      <c r="V471" s="13" t="str">
        <f>TEXT(VALUE(Table1[[#This Row],[Content.Column12]])*1000,"#,##0")</f>
        <v>266,449</v>
      </c>
      <c r="W471" s="13" t="str">
        <f>TEXT(VALUE(Table1[[#This Row],[Content.Column13]])*1000,"#,##0")</f>
        <v>828,687</v>
      </c>
      <c r="X471" s="13" t="str">
        <f>TEXT(VALUE(Table1[[#This Row],[Content.Column14]])*1000,"#,##0")</f>
        <v>857,461</v>
      </c>
      <c r="Y471" s="14" t="str">
        <f>TEXT(VALUE(Table1[[#This Row],[Content.Column3]])*1000,"#,##0")</f>
        <v>704,285</v>
      </c>
      <c r="Z471" s="14" t="str">
        <f>TEXT(VALUE(Table1[[#This Row],[Content.Column4]])*1000,"#,##0")</f>
        <v>350,410</v>
      </c>
      <c r="AA471" s="14" t="str">
        <f>TEXT(VALUE(Table1[[#This Row],[Content.Column5]])*1000,"#,##0")</f>
        <v>1,054,695</v>
      </c>
      <c r="AB471" s="14" t="str">
        <f>TEXT(VALUE(Table1[[#This Row],[Content.Column6]])*1000,"#,##0")</f>
        <v>1,083,502</v>
      </c>
    </row>
    <row r="472" spans="1:28" x14ac:dyDescent="0.3">
      <c r="A472" t="s">
        <v>98</v>
      </c>
      <c r="B472" t="s">
        <v>99</v>
      </c>
      <c r="C472" s="6">
        <v>2261.2739999999999</v>
      </c>
      <c r="D472" s="1">
        <v>1067.636</v>
      </c>
      <c r="E472" s="1">
        <v>3328.91</v>
      </c>
      <c r="F472" s="1">
        <v>3431.4079999999999</v>
      </c>
      <c r="G472" s="2">
        <v>384.81900000000002</v>
      </c>
      <c r="H472" s="2">
        <v>222.20699999999999</v>
      </c>
      <c r="I472" s="2">
        <v>607.02700000000004</v>
      </c>
      <c r="J472" s="2">
        <v>607.61900000000003</v>
      </c>
      <c r="K472" s="3">
        <v>1876.454</v>
      </c>
      <c r="L472" s="3">
        <v>845.42899999999997</v>
      </c>
      <c r="M472" s="3">
        <v>2721.8829999999998</v>
      </c>
      <c r="N472" s="3">
        <v>2823.7890000000002</v>
      </c>
      <c r="O472">
        <v>2018</v>
      </c>
      <c r="Q472" s="12" t="str">
        <f>TEXT(VALUE(Table1[[#This Row],[Content.Column7]])*1000,"#,##0")</f>
        <v>384,819</v>
      </c>
      <c r="R472" s="12" t="str">
        <f>TEXT(VALUE(Table1[[#This Row],[Content.Column8]])*1000,"#,##0")</f>
        <v>222,207</v>
      </c>
      <c r="S472" s="12" t="str">
        <f>TEXT(VALUE(Table1[[#This Row],[Content.Column9]])*1000,"#,##0")</f>
        <v>607,027</v>
      </c>
      <c r="T472" s="12" t="str">
        <f>TEXT(VALUE(Table1[[#This Row],[Content.Column10]])*1000,"#,##0")</f>
        <v>607,619</v>
      </c>
      <c r="U472" s="13" t="str">
        <f>TEXT(VALUE(Table1[[#This Row],[Content.Column11]])*1000,"#,##0")</f>
        <v>1,876,454</v>
      </c>
      <c r="V472" s="13" t="str">
        <f>TEXT(VALUE(Table1[[#This Row],[Content.Column12]])*1000,"#,##0")</f>
        <v>845,429</v>
      </c>
      <c r="W472" s="13" t="str">
        <f>TEXT(VALUE(Table1[[#This Row],[Content.Column13]])*1000,"#,##0")</f>
        <v>2,721,883</v>
      </c>
      <c r="X472" s="13" t="str">
        <f>TEXT(VALUE(Table1[[#This Row],[Content.Column14]])*1000,"#,##0")</f>
        <v>2,823,789</v>
      </c>
      <c r="Y472" s="14" t="str">
        <f>TEXT(VALUE(Table1[[#This Row],[Content.Column3]])*1000,"#,##0")</f>
        <v>2,261,274</v>
      </c>
      <c r="Z472" s="14" t="str">
        <f>TEXT(VALUE(Table1[[#This Row],[Content.Column4]])*1000,"#,##0")</f>
        <v>1,067,636</v>
      </c>
      <c r="AA472" s="14" t="str">
        <f>TEXT(VALUE(Table1[[#This Row],[Content.Column5]])*1000,"#,##0")</f>
        <v>3,328,910</v>
      </c>
      <c r="AB472" s="14" t="str">
        <f>TEXT(VALUE(Table1[[#This Row],[Content.Column6]])*1000,"#,##0")</f>
        <v>3,431,408</v>
      </c>
    </row>
    <row r="473" spans="1:28" x14ac:dyDescent="0.3">
      <c r="A473" t="s">
        <v>100</v>
      </c>
      <c r="B473" t="s">
        <v>101</v>
      </c>
      <c r="C473" s="6">
        <v>1603.998</v>
      </c>
      <c r="D473" s="1">
        <v>793.81299999999999</v>
      </c>
      <c r="E473" s="1">
        <v>2397.81</v>
      </c>
      <c r="F473" s="1">
        <v>2489.7060000000001</v>
      </c>
      <c r="G473" s="2">
        <v>276.32499999999999</v>
      </c>
      <c r="H473" s="2">
        <v>167.98500000000001</v>
      </c>
      <c r="I473" s="2">
        <v>444.31</v>
      </c>
      <c r="J473" s="2">
        <v>445.08699999999999</v>
      </c>
      <c r="K473" s="3">
        <v>1327.673</v>
      </c>
      <c r="L473" s="3">
        <v>625.82799999999997</v>
      </c>
      <c r="M473" s="3">
        <v>1953.5</v>
      </c>
      <c r="N473" s="3">
        <v>2044.6179999999999</v>
      </c>
      <c r="O473">
        <v>2018</v>
      </c>
      <c r="Q473" s="12" t="str">
        <f>TEXT(VALUE(Table1[[#This Row],[Content.Column7]])*1000,"#,##0")</f>
        <v>276,325</v>
      </c>
      <c r="R473" s="12" t="str">
        <f>TEXT(VALUE(Table1[[#This Row],[Content.Column8]])*1000,"#,##0")</f>
        <v>167,985</v>
      </c>
      <c r="S473" s="12" t="str">
        <f>TEXT(VALUE(Table1[[#This Row],[Content.Column9]])*1000,"#,##0")</f>
        <v>444,310</v>
      </c>
      <c r="T473" s="12" t="str">
        <f>TEXT(VALUE(Table1[[#This Row],[Content.Column10]])*1000,"#,##0")</f>
        <v>445,087</v>
      </c>
      <c r="U473" s="13" t="str">
        <f>TEXT(VALUE(Table1[[#This Row],[Content.Column11]])*1000,"#,##0")</f>
        <v>1,327,673</v>
      </c>
      <c r="V473" s="13" t="str">
        <f>TEXT(VALUE(Table1[[#This Row],[Content.Column12]])*1000,"#,##0")</f>
        <v>625,828</v>
      </c>
      <c r="W473" s="13" t="str">
        <f>TEXT(VALUE(Table1[[#This Row],[Content.Column13]])*1000,"#,##0")</f>
        <v>1,953,500</v>
      </c>
      <c r="X473" s="13" t="str">
        <f>TEXT(VALUE(Table1[[#This Row],[Content.Column14]])*1000,"#,##0")</f>
        <v>2,044,618</v>
      </c>
      <c r="Y473" s="14" t="str">
        <f>TEXT(VALUE(Table1[[#This Row],[Content.Column3]])*1000,"#,##0")</f>
        <v>1,603,998</v>
      </c>
      <c r="Z473" s="14" t="str">
        <f>TEXT(VALUE(Table1[[#This Row],[Content.Column4]])*1000,"#,##0")</f>
        <v>793,813</v>
      </c>
      <c r="AA473" s="14" t="str">
        <f>TEXT(VALUE(Table1[[#This Row],[Content.Column5]])*1000,"#,##0")</f>
        <v>2,397,810</v>
      </c>
      <c r="AB473" s="14" t="str">
        <f>TEXT(VALUE(Table1[[#This Row],[Content.Column6]])*1000,"#,##0")</f>
        <v>2,489,706</v>
      </c>
    </row>
    <row r="474" spans="1:28" x14ac:dyDescent="0.3">
      <c r="A474" t="s">
        <v>102</v>
      </c>
      <c r="B474" t="s">
        <v>103</v>
      </c>
      <c r="C474" s="6">
        <v>1403.635</v>
      </c>
      <c r="D474" s="1">
        <v>667.42899999999997</v>
      </c>
      <c r="E474" s="1">
        <v>2071.0630000000001</v>
      </c>
      <c r="F474" s="1">
        <v>2151.4899999999998</v>
      </c>
      <c r="G474" s="2">
        <v>200.08</v>
      </c>
      <c r="H474" s="2">
        <v>133.30000000000001</v>
      </c>
      <c r="I474" s="2">
        <v>333.38</v>
      </c>
      <c r="J474" s="2">
        <v>334.32400000000001</v>
      </c>
      <c r="K474" s="3">
        <v>1203.5540000000001</v>
      </c>
      <c r="L474" s="3">
        <v>534.12900000000002</v>
      </c>
      <c r="M474" s="3">
        <v>1737.683</v>
      </c>
      <c r="N474" s="3">
        <v>1817.1659999999999</v>
      </c>
      <c r="O474">
        <v>2018</v>
      </c>
      <c r="Q474" s="12" t="str">
        <f>TEXT(VALUE(Table1[[#This Row],[Content.Column7]])*1000,"#,##0")</f>
        <v>200,080</v>
      </c>
      <c r="R474" s="12" t="str">
        <f>TEXT(VALUE(Table1[[#This Row],[Content.Column8]])*1000,"#,##0")</f>
        <v>133,300</v>
      </c>
      <c r="S474" s="12" t="str">
        <f>TEXT(VALUE(Table1[[#This Row],[Content.Column9]])*1000,"#,##0")</f>
        <v>333,380</v>
      </c>
      <c r="T474" s="12" t="str">
        <f>TEXT(VALUE(Table1[[#This Row],[Content.Column10]])*1000,"#,##0")</f>
        <v>334,324</v>
      </c>
      <c r="U474" s="13" t="str">
        <f>TEXT(VALUE(Table1[[#This Row],[Content.Column11]])*1000,"#,##0")</f>
        <v>1,203,554</v>
      </c>
      <c r="V474" s="13" t="str">
        <f>TEXT(VALUE(Table1[[#This Row],[Content.Column12]])*1000,"#,##0")</f>
        <v>534,129</v>
      </c>
      <c r="W474" s="13" t="str">
        <f>TEXT(VALUE(Table1[[#This Row],[Content.Column13]])*1000,"#,##0")</f>
        <v>1,737,683</v>
      </c>
      <c r="X474" s="13" t="str">
        <f>TEXT(VALUE(Table1[[#This Row],[Content.Column14]])*1000,"#,##0")</f>
        <v>1,817,166</v>
      </c>
      <c r="Y474" s="14" t="str">
        <f>TEXT(VALUE(Table1[[#This Row],[Content.Column3]])*1000,"#,##0")</f>
        <v>1,403,635</v>
      </c>
      <c r="Z474" s="14" t="str">
        <f>TEXT(VALUE(Table1[[#This Row],[Content.Column4]])*1000,"#,##0")</f>
        <v>667,429</v>
      </c>
      <c r="AA474" s="14" t="str">
        <f>TEXT(VALUE(Table1[[#This Row],[Content.Column5]])*1000,"#,##0")</f>
        <v>2,071,063</v>
      </c>
      <c r="AB474" s="14" t="str">
        <f>TEXT(VALUE(Table1[[#This Row],[Content.Column6]])*1000,"#,##0")</f>
        <v>2,151,490</v>
      </c>
    </row>
    <row r="475" spans="1:28" x14ac:dyDescent="0.3">
      <c r="A475" t="s">
        <v>104</v>
      </c>
      <c r="B475" t="s">
        <v>105</v>
      </c>
      <c r="C475" s="6">
        <v>1754.1</v>
      </c>
      <c r="D475" s="1">
        <v>806.64</v>
      </c>
      <c r="E475" s="1">
        <v>2560.739</v>
      </c>
      <c r="F475" s="1">
        <v>2642.0369999999998</v>
      </c>
      <c r="G475" s="2">
        <v>266.42500000000001</v>
      </c>
      <c r="H475" s="2">
        <v>163.94499999999999</v>
      </c>
      <c r="I475" s="2">
        <v>430.37</v>
      </c>
      <c r="J475" s="2">
        <v>431.12599999999998</v>
      </c>
      <c r="K475" s="3">
        <v>1487.674</v>
      </c>
      <c r="L475" s="3">
        <v>642.69500000000005</v>
      </c>
      <c r="M475" s="3">
        <v>2130.3690000000001</v>
      </c>
      <c r="N475" s="3">
        <v>2210.9110000000001</v>
      </c>
      <c r="O475">
        <v>2018</v>
      </c>
      <c r="Q475" s="12" t="str">
        <f>TEXT(VALUE(Table1[[#This Row],[Content.Column7]])*1000,"#,##0")</f>
        <v>266,425</v>
      </c>
      <c r="R475" s="12" t="str">
        <f>TEXT(VALUE(Table1[[#This Row],[Content.Column8]])*1000,"#,##0")</f>
        <v>163,945</v>
      </c>
      <c r="S475" s="12" t="str">
        <f>TEXT(VALUE(Table1[[#This Row],[Content.Column9]])*1000,"#,##0")</f>
        <v>430,370</v>
      </c>
      <c r="T475" s="12" t="str">
        <f>TEXT(VALUE(Table1[[#This Row],[Content.Column10]])*1000,"#,##0")</f>
        <v>431,126</v>
      </c>
      <c r="U475" s="13" t="str">
        <f>TEXT(VALUE(Table1[[#This Row],[Content.Column11]])*1000,"#,##0")</f>
        <v>1,487,674</v>
      </c>
      <c r="V475" s="13" t="str">
        <f>TEXT(VALUE(Table1[[#This Row],[Content.Column12]])*1000,"#,##0")</f>
        <v>642,695</v>
      </c>
      <c r="W475" s="13" t="str">
        <f>TEXT(VALUE(Table1[[#This Row],[Content.Column13]])*1000,"#,##0")</f>
        <v>2,130,369</v>
      </c>
      <c r="X475" s="13" t="str">
        <f>TEXT(VALUE(Table1[[#This Row],[Content.Column14]])*1000,"#,##0")</f>
        <v>2,210,911</v>
      </c>
      <c r="Y475" s="14" t="str">
        <f>TEXT(VALUE(Table1[[#This Row],[Content.Column3]])*1000,"#,##0")</f>
        <v>1,754,100</v>
      </c>
      <c r="Z475" s="14" t="str">
        <f>TEXT(VALUE(Table1[[#This Row],[Content.Column4]])*1000,"#,##0")</f>
        <v>806,640</v>
      </c>
      <c r="AA475" s="14" t="str">
        <f>TEXT(VALUE(Table1[[#This Row],[Content.Column5]])*1000,"#,##0")</f>
        <v>2,560,739</v>
      </c>
      <c r="AB475" s="14" t="str">
        <f>TEXT(VALUE(Table1[[#This Row],[Content.Column6]])*1000,"#,##0")</f>
        <v>2,642,037</v>
      </c>
    </row>
    <row r="476" spans="1:28" x14ac:dyDescent="0.3">
      <c r="A476" t="s">
        <v>106</v>
      </c>
      <c r="B476" t="s">
        <v>107</v>
      </c>
      <c r="C476" s="6">
        <v>1803.299</v>
      </c>
      <c r="D476" s="1">
        <v>977.24300000000005</v>
      </c>
      <c r="E476" s="1">
        <v>2780.5419999999999</v>
      </c>
      <c r="F476" s="1">
        <v>2880.2159999999999</v>
      </c>
      <c r="G476" s="2">
        <v>237.84700000000001</v>
      </c>
      <c r="H476" s="2">
        <v>198.392</v>
      </c>
      <c r="I476" s="2">
        <v>436.23899999999998</v>
      </c>
      <c r="J476" s="2">
        <v>436.88299999999998</v>
      </c>
      <c r="K476" s="3">
        <v>1565.452</v>
      </c>
      <c r="L476" s="3">
        <v>778.851</v>
      </c>
      <c r="M476" s="3">
        <v>2344.3029999999999</v>
      </c>
      <c r="N476" s="3">
        <v>2443.3330000000001</v>
      </c>
      <c r="O476">
        <v>2018</v>
      </c>
      <c r="Q476" s="12" t="str">
        <f>TEXT(VALUE(Table1[[#This Row],[Content.Column7]])*1000,"#,##0")</f>
        <v>237,847</v>
      </c>
      <c r="R476" s="12" t="str">
        <f>TEXT(VALUE(Table1[[#This Row],[Content.Column8]])*1000,"#,##0")</f>
        <v>198,392</v>
      </c>
      <c r="S476" s="12" t="str">
        <f>TEXT(VALUE(Table1[[#This Row],[Content.Column9]])*1000,"#,##0")</f>
        <v>436,239</v>
      </c>
      <c r="T476" s="12" t="str">
        <f>TEXT(VALUE(Table1[[#This Row],[Content.Column10]])*1000,"#,##0")</f>
        <v>436,883</v>
      </c>
      <c r="U476" s="13" t="str">
        <f>TEXT(VALUE(Table1[[#This Row],[Content.Column11]])*1000,"#,##0")</f>
        <v>1,565,452</v>
      </c>
      <c r="V476" s="13" t="str">
        <f>TEXT(VALUE(Table1[[#This Row],[Content.Column12]])*1000,"#,##0")</f>
        <v>778,851</v>
      </c>
      <c r="W476" s="13" t="str">
        <f>TEXT(VALUE(Table1[[#This Row],[Content.Column13]])*1000,"#,##0")</f>
        <v>2,344,303</v>
      </c>
      <c r="X476" s="13" t="str">
        <f>TEXT(VALUE(Table1[[#This Row],[Content.Column14]])*1000,"#,##0")</f>
        <v>2,443,333</v>
      </c>
      <c r="Y476" s="14" t="str">
        <f>TEXT(VALUE(Table1[[#This Row],[Content.Column3]])*1000,"#,##0")</f>
        <v>1,803,299</v>
      </c>
      <c r="Z476" s="14" t="str">
        <f>TEXT(VALUE(Table1[[#This Row],[Content.Column4]])*1000,"#,##0")</f>
        <v>977,243</v>
      </c>
      <c r="AA476" s="14" t="str">
        <f>TEXT(VALUE(Table1[[#This Row],[Content.Column5]])*1000,"#,##0")</f>
        <v>2,780,542</v>
      </c>
      <c r="AB476" s="14" t="str">
        <f>TEXT(VALUE(Table1[[#This Row],[Content.Column6]])*1000,"#,##0")</f>
        <v>2,880,216</v>
      </c>
    </row>
    <row r="477" spans="1:28" x14ac:dyDescent="0.3">
      <c r="A477" t="s">
        <v>108</v>
      </c>
      <c r="B477" t="s">
        <v>109</v>
      </c>
      <c r="C477" s="6">
        <v>3795.32</v>
      </c>
      <c r="D477" s="1">
        <v>1367.1780000000001</v>
      </c>
      <c r="E477" s="1">
        <v>5162.5029999999997</v>
      </c>
      <c r="F477" s="1">
        <v>5280.8360000000002</v>
      </c>
      <c r="G477" s="2">
        <v>552.02599999999995</v>
      </c>
      <c r="H477" s="2">
        <v>198.55500000000001</v>
      </c>
      <c r="I477" s="2">
        <v>750.58100000000002</v>
      </c>
      <c r="J477" s="2">
        <v>752.56899999999996</v>
      </c>
      <c r="K477" s="3">
        <v>3243.2939999999999</v>
      </c>
      <c r="L477" s="3">
        <v>1168.6220000000001</v>
      </c>
      <c r="M477" s="3">
        <v>4411.9219999999996</v>
      </c>
      <c r="N477" s="3">
        <v>4528.268</v>
      </c>
      <c r="O477">
        <v>2018</v>
      </c>
      <c r="Q477" s="12" t="str">
        <f>TEXT(VALUE(Table1[[#This Row],[Content.Column7]])*1000,"#,##0")</f>
        <v>552,026</v>
      </c>
      <c r="R477" s="12" t="str">
        <f>TEXT(VALUE(Table1[[#This Row],[Content.Column8]])*1000,"#,##0")</f>
        <v>198,555</v>
      </c>
      <c r="S477" s="12" t="str">
        <f>TEXT(VALUE(Table1[[#This Row],[Content.Column9]])*1000,"#,##0")</f>
        <v>750,581</v>
      </c>
      <c r="T477" s="12" t="str">
        <f>TEXT(VALUE(Table1[[#This Row],[Content.Column10]])*1000,"#,##0")</f>
        <v>752,569</v>
      </c>
      <c r="U477" s="13" t="str">
        <f>TEXT(VALUE(Table1[[#This Row],[Content.Column11]])*1000,"#,##0")</f>
        <v>3,243,294</v>
      </c>
      <c r="V477" s="13" t="str">
        <f>TEXT(VALUE(Table1[[#This Row],[Content.Column12]])*1000,"#,##0")</f>
        <v>1,168,622</v>
      </c>
      <c r="W477" s="13" t="str">
        <f>TEXT(VALUE(Table1[[#This Row],[Content.Column13]])*1000,"#,##0")</f>
        <v>4,411,922</v>
      </c>
      <c r="X477" s="13" t="str">
        <f>TEXT(VALUE(Table1[[#This Row],[Content.Column14]])*1000,"#,##0")</f>
        <v>4,528,268</v>
      </c>
      <c r="Y477" s="14" t="str">
        <f>TEXT(VALUE(Table1[[#This Row],[Content.Column3]])*1000,"#,##0")</f>
        <v>3,795,320</v>
      </c>
      <c r="Z477" s="14" t="str">
        <f>TEXT(VALUE(Table1[[#This Row],[Content.Column4]])*1000,"#,##0")</f>
        <v>1,367,178</v>
      </c>
      <c r="AA477" s="14" t="str">
        <f>TEXT(VALUE(Table1[[#This Row],[Content.Column5]])*1000,"#,##0")</f>
        <v>5,162,503</v>
      </c>
      <c r="AB477" s="14" t="str">
        <f>TEXT(VALUE(Table1[[#This Row],[Content.Column6]])*1000,"#,##0")</f>
        <v>5,280,836</v>
      </c>
    </row>
    <row r="478" spans="1:28" x14ac:dyDescent="0.3">
      <c r="A478" t="s">
        <v>110</v>
      </c>
      <c r="B478" t="s">
        <v>111</v>
      </c>
      <c r="C478" s="6">
        <v>2757.9279999999999</v>
      </c>
      <c r="D478" s="1">
        <v>1392.9380000000001</v>
      </c>
      <c r="E478" s="1">
        <v>4150.8630000000003</v>
      </c>
      <c r="F478" s="1">
        <v>4285.2489999999998</v>
      </c>
      <c r="G478" s="2">
        <v>367.73</v>
      </c>
      <c r="H478" s="2">
        <v>231.637</v>
      </c>
      <c r="I478" s="2">
        <v>599.36800000000005</v>
      </c>
      <c r="J478" s="2">
        <v>600.255</v>
      </c>
      <c r="K478" s="3">
        <v>2390.1979999999999</v>
      </c>
      <c r="L478" s="3">
        <v>1161.3</v>
      </c>
      <c r="M478" s="3">
        <v>3551.4949999999999</v>
      </c>
      <c r="N478" s="3">
        <v>3684.9940000000001</v>
      </c>
      <c r="O478">
        <v>2018</v>
      </c>
      <c r="Q478" s="12" t="str">
        <f>TEXT(VALUE(Table1[[#This Row],[Content.Column7]])*1000,"#,##0")</f>
        <v>367,730</v>
      </c>
      <c r="R478" s="12" t="str">
        <f>TEXT(VALUE(Table1[[#This Row],[Content.Column8]])*1000,"#,##0")</f>
        <v>231,637</v>
      </c>
      <c r="S478" s="12" t="str">
        <f>TEXT(VALUE(Table1[[#This Row],[Content.Column9]])*1000,"#,##0")</f>
        <v>599,368</v>
      </c>
      <c r="T478" s="12" t="str">
        <f>TEXT(VALUE(Table1[[#This Row],[Content.Column10]])*1000,"#,##0")</f>
        <v>600,255</v>
      </c>
      <c r="U478" s="13" t="str">
        <f>TEXT(VALUE(Table1[[#This Row],[Content.Column11]])*1000,"#,##0")</f>
        <v>2,390,198</v>
      </c>
      <c r="V478" s="13" t="str">
        <f>TEXT(VALUE(Table1[[#This Row],[Content.Column12]])*1000,"#,##0")</f>
        <v>1,161,300</v>
      </c>
      <c r="W478" s="13" t="str">
        <f>TEXT(VALUE(Table1[[#This Row],[Content.Column13]])*1000,"#,##0")</f>
        <v>3,551,495</v>
      </c>
      <c r="X478" s="13" t="str">
        <f>TEXT(VALUE(Table1[[#This Row],[Content.Column14]])*1000,"#,##0")</f>
        <v>3,684,994</v>
      </c>
      <c r="Y478" s="14" t="str">
        <f>TEXT(VALUE(Table1[[#This Row],[Content.Column3]])*1000,"#,##0")</f>
        <v>2,757,928</v>
      </c>
      <c r="Z478" s="14" t="str">
        <f>TEXT(VALUE(Table1[[#This Row],[Content.Column4]])*1000,"#,##0")</f>
        <v>1,392,938</v>
      </c>
      <c r="AA478" s="14" t="str">
        <f>TEXT(VALUE(Table1[[#This Row],[Content.Column5]])*1000,"#,##0")</f>
        <v>4,150,863</v>
      </c>
      <c r="AB478" s="14" t="str">
        <f>TEXT(VALUE(Table1[[#This Row],[Content.Column6]])*1000,"#,##0")</f>
        <v>4,285,249</v>
      </c>
    </row>
    <row r="479" spans="1:28" x14ac:dyDescent="0.3">
      <c r="A479" t="s">
        <v>112</v>
      </c>
      <c r="B479" t="s">
        <v>113</v>
      </c>
      <c r="C479" s="6">
        <v>1573.8689999999999</v>
      </c>
      <c r="D479" s="1">
        <v>895.25300000000004</v>
      </c>
      <c r="E479" s="1">
        <v>2469.1219999999998</v>
      </c>
      <c r="F479" s="1">
        <v>2597.0619999999999</v>
      </c>
      <c r="G479" s="2">
        <v>233.17400000000001</v>
      </c>
      <c r="H479" s="2">
        <v>173.54900000000001</v>
      </c>
      <c r="I479" s="2">
        <v>406.72300000000001</v>
      </c>
      <c r="J479" s="2">
        <v>407.73899999999998</v>
      </c>
      <c r="K479" s="3">
        <v>1340.6949999999999</v>
      </c>
      <c r="L479" s="3">
        <v>721.70399999999995</v>
      </c>
      <c r="M479" s="3">
        <v>2062.3989999999999</v>
      </c>
      <c r="N479" s="3">
        <v>2189.3229999999999</v>
      </c>
      <c r="O479">
        <v>2018</v>
      </c>
      <c r="Q479" s="12" t="str">
        <f>TEXT(VALUE(Table1[[#This Row],[Content.Column7]])*1000,"#,##0")</f>
        <v>233,174</v>
      </c>
      <c r="R479" s="12" t="str">
        <f>TEXT(VALUE(Table1[[#This Row],[Content.Column8]])*1000,"#,##0")</f>
        <v>173,549</v>
      </c>
      <c r="S479" s="12" t="str">
        <f>TEXT(VALUE(Table1[[#This Row],[Content.Column9]])*1000,"#,##0")</f>
        <v>406,723</v>
      </c>
      <c r="T479" s="12" t="str">
        <f>TEXT(VALUE(Table1[[#This Row],[Content.Column10]])*1000,"#,##0")</f>
        <v>407,739</v>
      </c>
      <c r="U479" s="13" t="str">
        <f>TEXT(VALUE(Table1[[#This Row],[Content.Column11]])*1000,"#,##0")</f>
        <v>1,340,695</v>
      </c>
      <c r="V479" s="13" t="str">
        <f>TEXT(VALUE(Table1[[#This Row],[Content.Column12]])*1000,"#,##0")</f>
        <v>721,704</v>
      </c>
      <c r="W479" s="13" t="str">
        <f>TEXT(VALUE(Table1[[#This Row],[Content.Column13]])*1000,"#,##0")</f>
        <v>2,062,399</v>
      </c>
      <c r="X479" s="13" t="str">
        <f>TEXT(VALUE(Table1[[#This Row],[Content.Column14]])*1000,"#,##0")</f>
        <v>2,189,323</v>
      </c>
      <c r="Y479" s="14" t="str">
        <f>TEXT(VALUE(Table1[[#This Row],[Content.Column3]])*1000,"#,##0")</f>
        <v>1,573,869</v>
      </c>
      <c r="Z479" s="14" t="str">
        <f>TEXT(VALUE(Table1[[#This Row],[Content.Column4]])*1000,"#,##0")</f>
        <v>895,253</v>
      </c>
      <c r="AA479" s="14" t="str">
        <f>TEXT(VALUE(Table1[[#This Row],[Content.Column5]])*1000,"#,##0")</f>
        <v>2,469,122</v>
      </c>
      <c r="AB479" s="14" t="str">
        <f>TEXT(VALUE(Table1[[#This Row],[Content.Column6]])*1000,"#,##0")</f>
        <v>2,597,062</v>
      </c>
    </row>
    <row r="480" spans="1:28" x14ac:dyDescent="0.3">
      <c r="A480" t="s">
        <v>114</v>
      </c>
      <c r="B480" t="s">
        <v>115</v>
      </c>
      <c r="C480" s="6">
        <v>816.73900000000003</v>
      </c>
      <c r="D480" s="1">
        <v>456.39600000000002</v>
      </c>
      <c r="E480" s="1">
        <v>1273.135</v>
      </c>
      <c r="F480" s="1">
        <v>1361.3440000000001</v>
      </c>
      <c r="G480" s="2">
        <v>179.85499999999999</v>
      </c>
      <c r="H480" s="2">
        <v>119.938</v>
      </c>
      <c r="I480" s="2">
        <v>299.79300000000001</v>
      </c>
      <c r="J480" s="2">
        <v>300.11700000000002</v>
      </c>
      <c r="K480" s="3">
        <v>636.88300000000004</v>
      </c>
      <c r="L480" s="3">
        <v>336.45800000000003</v>
      </c>
      <c r="M480" s="3">
        <v>973.34199999999998</v>
      </c>
      <c r="N480" s="3">
        <v>1061.2270000000001</v>
      </c>
      <c r="O480">
        <v>2018</v>
      </c>
      <c r="Q480" s="12" t="str">
        <f>TEXT(VALUE(Table1[[#This Row],[Content.Column7]])*1000,"#,##0")</f>
        <v>179,855</v>
      </c>
      <c r="R480" s="12" t="str">
        <f>TEXT(VALUE(Table1[[#This Row],[Content.Column8]])*1000,"#,##0")</f>
        <v>119,938</v>
      </c>
      <c r="S480" s="12" t="str">
        <f>TEXT(VALUE(Table1[[#This Row],[Content.Column9]])*1000,"#,##0")</f>
        <v>299,793</v>
      </c>
      <c r="T480" s="12" t="str">
        <f>TEXT(VALUE(Table1[[#This Row],[Content.Column10]])*1000,"#,##0")</f>
        <v>300,117</v>
      </c>
      <c r="U480" s="13" t="str">
        <f>TEXT(VALUE(Table1[[#This Row],[Content.Column11]])*1000,"#,##0")</f>
        <v>636,883</v>
      </c>
      <c r="V480" s="13" t="str">
        <f>TEXT(VALUE(Table1[[#This Row],[Content.Column12]])*1000,"#,##0")</f>
        <v>336,458</v>
      </c>
      <c r="W480" s="13" t="str">
        <f>TEXT(VALUE(Table1[[#This Row],[Content.Column13]])*1000,"#,##0")</f>
        <v>973,342</v>
      </c>
      <c r="X480" s="13" t="str">
        <f>TEXT(VALUE(Table1[[#This Row],[Content.Column14]])*1000,"#,##0")</f>
        <v>1,061,227</v>
      </c>
      <c r="Y480" s="14" t="str">
        <f>TEXT(VALUE(Table1[[#This Row],[Content.Column3]])*1000,"#,##0")</f>
        <v>816,739</v>
      </c>
      <c r="Z480" s="14" t="str">
        <f>TEXT(VALUE(Table1[[#This Row],[Content.Column4]])*1000,"#,##0")</f>
        <v>456,396</v>
      </c>
      <c r="AA480" s="14" t="str">
        <f>TEXT(VALUE(Table1[[#This Row],[Content.Column5]])*1000,"#,##0")</f>
        <v>1,273,135</v>
      </c>
      <c r="AB480" s="14" t="str">
        <f>TEXT(VALUE(Table1[[#This Row],[Content.Column6]])*1000,"#,##0")</f>
        <v>1,361,344</v>
      </c>
    </row>
    <row r="481" spans="1:28" x14ac:dyDescent="0.3">
      <c r="A481" t="s">
        <v>116</v>
      </c>
      <c r="B481" t="s">
        <v>117</v>
      </c>
      <c r="C481" s="6">
        <v>1657.75</v>
      </c>
      <c r="D481" s="1">
        <v>850.71900000000005</v>
      </c>
      <c r="E481" s="1">
        <v>2508.4679999999998</v>
      </c>
      <c r="F481" s="1">
        <v>2611.6950000000002</v>
      </c>
      <c r="G481" s="2">
        <v>355.00099999999998</v>
      </c>
      <c r="H481" s="2">
        <v>224.40799999999999</v>
      </c>
      <c r="I481" s="2">
        <v>579.40899999999999</v>
      </c>
      <c r="J481" s="2">
        <v>579.47199999999998</v>
      </c>
      <c r="K481" s="3">
        <v>1302.749</v>
      </c>
      <c r="L481" s="3">
        <v>626.31100000000004</v>
      </c>
      <c r="M481" s="3">
        <v>1929.059</v>
      </c>
      <c r="N481" s="3">
        <v>2032.223</v>
      </c>
      <c r="O481">
        <v>2018</v>
      </c>
      <c r="Q481" s="12" t="str">
        <f>TEXT(VALUE(Table1[[#This Row],[Content.Column7]])*1000,"#,##0")</f>
        <v>355,001</v>
      </c>
      <c r="R481" s="12" t="str">
        <f>TEXT(VALUE(Table1[[#This Row],[Content.Column8]])*1000,"#,##0")</f>
        <v>224,408</v>
      </c>
      <c r="S481" s="12" t="str">
        <f>TEXT(VALUE(Table1[[#This Row],[Content.Column9]])*1000,"#,##0")</f>
        <v>579,409</v>
      </c>
      <c r="T481" s="12" t="str">
        <f>TEXT(VALUE(Table1[[#This Row],[Content.Column10]])*1000,"#,##0")</f>
        <v>579,472</v>
      </c>
      <c r="U481" s="13" t="str">
        <f>TEXT(VALUE(Table1[[#This Row],[Content.Column11]])*1000,"#,##0")</f>
        <v>1,302,749</v>
      </c>
      <c r="V481" s="13" t="str">
        <f>TEXT(VALUE(Table1[[#This Row],[Content.Column12]])*1000,"#,##0")</f>
        <v>626,311</v>
      </c>
      <c r="W481" s="13" t="str">
        <f>TEXT(VALUE(Table1[[#This Row],[Content.Column13]])*1000,"#,##0")</f>
        <v>1,929,059</v>
      </c>
      <c r="X481" s="13" t="str">
        <f>TEXT(VALUE(Table1[[#This Row],[Content.Column14]])*1000,"#,##0")</f>
        <v>2,032,223</v>
      </c>
      <c r="Y481" s="14" t="str">
        <f>TEXT(VALUE(Table1[[#This Row],[Content.Column3]])*1000,"#,##0")</f>
        <v>1,657,750</v>
      </c>
      <c r="Z481" s="14" t="str">
        <f>TEXT(VALUE(Table1[[#This Row],[Content.Column4]])*1000,"#,##0")</f>
        <v>850,719</v>
      </c>
      <c r="AA481" s="14" t="str">
        <f>TEXT(VALUE(Table1[[#This Row],[Content.Column5]])*1000,"#,##0")</f>
        <v>2,508,468</v>
      </c>
      <c r="AB481" s="14" t="str">
        <f>TEXT(VALUE(Table1[[#This Row],[Content.Column6]])*1000,"#,##0")</f>
        <v>2,611,695</v>
      </c>
    </row>
    <row r="482" spans="1:28" x14ac:dyDescent="0.3">
      <c r="A482" t="s">
        <v>118</v>
      </c>
      <c r="B482" t="s">
        <v>119</v>
      </c>
      <c r="C482" s="6">
        <v>17657.706999999999</v>
      </c>
      <c r="D482" s="1">
        <v>8318.5400000000009</v>
      </c>
      <c r="E482" s="1">
        <v>25976.248</v>
      </c>
      <c r="F482" s="1">
        <v>26841.506000000001</v>
      </c>
      <c r="G482" s="2">
        <v>2660.473</v>
      </c>
      <c r="H482" s="2">
        <v>1573.5329999999999</v>
      </c>
      <c r="I482" s="2">
        <v>4234.0060000000003</v>
      </c>
      <c r="J482" s="2">
        <v>4241.6419999999998</v>
      </c>
      <c r="K482" s="3">
        <v>14997.233</v>
      </c>
      <c r="L482" s="3">
        <v>6745.0069999999996</v>
      </c>
      <c r="M482" s="3">
        <v>21742.241999999998</v>
      </c>
      <c r="N482" s="3">
        <v>22599.864000000001</v>
      </c>
      <c r="O482">
        <v>2018</v>
      </c>
      <c r="Q482" s="12" t="str">
        <f>TEXT(VALUE(Table1[[#This Row],[Content.Column7]])*1000,"#,##0")</f>
        <v>2,660,473</v>
      </c>
      <c r="R482" s="12" t="str">
        <f>TEXT(VALUE(Table1[[#This Row],[Content.Column8]])*1000,"#,##0")</f>
        <v>1,573,533</v>
      </c>
      <c r="S482" s="12" t="str">
        <f>TEXT(VALUE(Table1[[#This Row],[Content.Column9]])*1000,"#,##0")</f>
        <v>4,234,006</v>
      </c>
      <c r="T482" s="12" t="str">
        <f>TEXT(VALUE(Table1[[#This Row],[Content.Column10]])*1000,"#,##0")</f>
        <v>4,241,642</v>
      </c>
      <c r="U482" s="13" t="str">
        <f>TEXT(VALUE(Table1[[#This Row],[Content.Column11]])*1000,"#,##0")</f>
        <v>14,997,233</v>
      </c>
      <c r="V482" s="13" t="str">
        <f>TEXT(VALUE(Table1[[#This Row],[Content.Column12]])*1000,"#,##0")</f>
        <v>6,745,007</v>
      </c>
      <c r="W482" s="13" t="str">
        <f>TEXT(VALUE(Table1[[#This Row],[Content.Column13]])*1000,"#,##0")</f>
        <v>21,742,242</v>
      </c>
      <c r="X482" s="13" t="str">
        <f>TEXT(VALUE(Table1[[#This Row],[Content.Column14]])*1000,"#,##0")</f>
        <v>22,599,864</v>
      </c>
      <c r="Y482" s="14" t="str">
        <f>TEXT(VALUE(Table1[[#This Row],[Content.Column3]])*1000,"#,##0")</f>
        <v>17,657,707</v>
      </c>
      <c r="Z482" s="14" t="str">
        <f>TEXT(VALUE(Table1[[#This Row],[Content.Column4]])*1000,"#,##0")</f>
        <v>8,318,540</v>
      </c>
      <c r="AA482" s="14" t="str">
        <f>TEXT(VALUE(Table1[[#This Row],[Content.Column5]])*1000,"#,##0")</f>
        <v>25,976,248</v>
      </c>
      <c r="AB482" s="14" t="str">
        <f>TEXT(VALUE(Table1[[#This Row],[Content.Column6]])*1000,"#,##0")</f>
        <v>26,841,506</v>
      </c>
    </row>
    <row r="483" spans="1:28" x14ac:dyDescent="0.3">
      <c r="A483" t="s">
        <v>120</v>
      </c>
      <c r="B483" t="s">
        <v>121</v>
      </c>
      <c r="C483" s="6">
        <v>20132.195</v>
      </c>
      <c r="D483" s="1">
        <v>9625.6550000000007</v>
      </c>
      <c r="E483" s="1">
        <v>29757.850999999999</v>
      </c>
      <c r="F483" s="1">
        <v>30814.544999999998</v>
      </c>
      <c r="G483" s="2">
        <v>3195.33</v>
      </c>
      <c r="H483" s="2">
        <v>1917.8789999999999</v>
      </c>
      <c r="I483" s="2">
        <v>5113.2089999999998</v>
      </c>
      <c r="J483" s="2">
        <v>5121.232</v>
      </c>
      <c r="K483" s="3">
        <v>16936.865000000002</v>
      </c>
      <c r="L483" s="3">
        <v>7707.7759999999998</v>
      </c>
      <c r="M483" s="3">
        <v>24644.642</v>
      </c>
      <c r="N483" s="3">
        <v>25693.313999999998</v>
      </c>
      <c r="O483">
        <v>2018</v>
      </c>
      <c r="Q483" s="12" t="str">
        <f>TEXT(VALUE(Table1[[#This Row],[Content.Column7]])*1000,"#,##0")</f>
        <v>3,195,330</v>
      </c>
      <c r="R483" s="12" t="str">
        <f>TEXT(VALUE(Table1[[#This Row],[Content.Column8]])*1000,"#,##0")</f>
        <v>1,917,879</v>
      </c>
      <c r="S483" s="12" t="str">
        <f>TEXT(VALUE(Table1[[#This Row],[Content.Column9]])*1000,"#,##0")</f>
        <v>5,113,209</v>
      </c>
      <c r="T483" s="12" t="str">
        <f>TEXT(VALUE(Table1[[#This Row],[Content.Column10]])*1000,"#,##0")</f>
        <v>5,121,232</v>
      </c>
      <c r="U483" s="13" t="str">
        <f>TEXT(VALUE(Table1[[#This Row],[Content.Column11]])*1000,"#,##0")</f>
        <v>16,936,865</v>
      </c>
      <c r="V483" s="13" t="str">
        <f>TEXT(VALUE(Table1[[#This Row],[Content.Column12]])*1000,"#,##0")</f>
        <v>7,707,776</v>
      </c>
      <c r="W483" s="13" t="str">
        <f>TEXT(VALUE(Table1[[#This Row],[Content.Column13]])*1000,"#,##0")</f>
        <v>24,644,642</v>
      </c>
      <c r="X483" s="13" t="str">
        <f>TEXT(VALUE(Table1[[#This Row],[Content.Column14]])*1000,"#,##0")</f>
        <v>25,693,314</v>
      </c>
      <c r="Y483" s="14" t="str">
        <f>TEXT(VALUE(Table1[[#This Row],[Content.Column3]])*1000,"#,##0")</f>
        <v>20,132,195</v>
      </c>
      <c r="Z483" s="14" t="str">
        <f>TEXT(VALUE(Table1[[#This Row],[Content.Column4]])*1000,"#,##0")</f>
        <v>9,625,655</v>
      </c>
      <c r="AA483" s="14" t="str">
        <f>TEXT(VALUE(Table1[[#This Row],[Content.Column5]])*1000,"#,##0")</f>
        <v>29,757,851</v>
      </c>
      <c r="AB483" s="14" t="str">
        <f>TEXT(VALUE(Table1[[#This Row],[Content.Column6]])*1000,"#,##0")</f>
        <v>30,814,545</v>
      </c>
    </row>
    <row r="484" spans="1:28" x14ac:dyDescent="0.3">
      <c r="A484" t="s">
        <v>26</v>
      </c>
      <c r="B484" t="s">
        <v>27</v>
      </c>
      <c r="C484" s="6">
        <v>453.44600000000003</v>
      </c>
      <c r="D484" s="1">
        <v>71.501999999999995</v>
      </c>
      <c r="E484" s="1">
        <v>524.94799999999998</v>
      </c>
      <c r="F484" s="1">
        <v>541.81700000000001</v>
      </c>
      <c r="G484" s="2">
        <v>13.891999999999999</v>
      </c>
      <c r="H484" s="2">
        <v>2.7290000000000001</v>
      </c>
      <c r="I484" s="2">
        <v>16.620999999999999</v>
      </c>
      <c r="J484" s="2">
        <v>16.620999999999999</v>
      </c>
      <c r="K484" s="3">
        <v>439.55399999999997</v>
      </c>
      <c r="L484" s="3">
        <v>68.772999999999996</v>
      </c>
      <c r="M484" s="3">
        <v>508.327</v>
      </c>
      <c r="N484" s="3">
        <v>525.19500000000005</v>
      </c>
      <c r="O484">
        <v>2019</v>
      </c>
      <c r="Q484" s="12" t="str">
        <f>TEXT(VALUE(Table1[[#This Row],[Content.Column7]])*1000,"#,##0")</f>
        <v>13,892</v>
      </c>
      <c r="R484" s="12" t="str">
        <f>TEXT(VALUE(Table1[[#This Row],[Content.Column8]])*1000,"#,##0")</f>
        <v>2,729</v>
      </c>
      <c r="S484" s="12" t="str">
        <f>TEXT(VALUE(Table1[[#This Row],[Content.Column9]])*1000,"#,##0")</f>
        <v>16,621</v>
      </c>
      <c r="T484" s="12" t="str">
        <f>TEXT(VALUE(Table1[[#This Row],[Content.Column10]])*1000,"#,##0")</f>
        <v>16,621</v>
      </c>
      <c r="U484" s="13" t="str">
        <f>TEXT(VALUE(Table1[[#This Row],[Content.Column11]])*1000,"#,##0")</f>
        <v>439,554</v>
      </c>
      <c r="V484" s="13" t="str">
        <f>TEXT(VALUE(Table1[[#This Row],[Content.Column12]])*1000,"#,##0")</f>
        <v>68,773</v>
      </c>
      <c r="W484" s="13" t="str">
        <f>TEXT(VALUE(Table1[[#This Row],[Content.Column13]])*1000,"#,##0")</f>
        <v>508,327</v>
      </c>
      <c r="X484" s="13" t="str">
        <f>TEXT(VALUE(Table1[[#This Row],[Content.Column14]])*1000,"#,##0")</f>
        <v>525,195</v>
      </c>
      <c r="Y484" s="14" t="str">
        <f>TEXT(VALUE(Table1[[#This Row],[Content.Column3]])*1000,"#,##0")</f>
        <v>453,446</v>
      </c>
      <c r="Z484" s="14" t="str">
        <f>TEXT(VALUE(Table1[[#This Row],[Content.Column4]])*1000,"#,##0")</f>
        <v>71,502</v>
      </c>
      <c r="AA484" s="14" t="str">
        <f>TEXT(VALUE(Table1[[#This Row],[Content.Column5]])*1000,"#,##0")</f>
        <v>524,948</v>
      </c>
      <c r="AB484" s="14" t="str">
        <f>TEXT(VALUE(Table1[[#This Row],[Content.Column6]])*1000,"#,##0")</f>
        <v>541,817</v>
      </c>
    </row>
    <row r="485" spans="1:28" x14ac:dyDescent="0.3">
      <c r="A485" t="s">
        <v>28</v>
      </c>
      <c r="B485" t="s">
        <v>29</v>
      </c>
      <c r="C485" s="6">
        <v>39.319000000000003</v>
      </c>
      <c r="D485" s="1">
        <v>17.378</v>
      </c>
      <c r="E485" s="1">
        <v>56.697000000000003</v>
      </c>
      <c r="F485" s="1">
        <v>57.643999999999998</v>
      </c>
      <c r="G485" s="2">
        <v>6.36</v>
      </c>
      <c r="H485" s="2">
        <v>3.4580000000000002</v>
      </c>
      <c r="I485" s="2">
        <v>9.8190000000000008</v>
      </c>
      <c r="J485" s="2">
        <v>9.8339999999999996</v>
      </c>
      <c r="K485" s="3">
        <v>32.959000000000003</v>
      </c>
      <c r="L485" s="3">
        <v>13.919</v>
      </c>
      <c r="M485" s="3">
        <v>46.878</v>
      </c>
      <c r="N485" s="3">
        <v>47.81</v>
      </c>
      <c r="O485">
        <v>2019</v>
      </c>
      <c r="Q485" s="12" t="str">
        <f>TEXT(VALUE(Table1[[#This Row],[Content.Column7]])*1000,"#,##0")</f>
        <v>6,360</v>
      </c>
      <c r="R485" s="12" t="str">
        <f>TEXT(VALUE(Table1[[#This Row],[Content.Column8]])*1000,"#,##0")</f>
        <v>3,458</v>
      </c>
      <c r="S485" s="12" t="str">
        <f>TEXT(VALUE(Table1[[#This Row],[Content.Column9]])*1000,"#,##0")</f>
        <v>9,819</v>
      </c>
      <c r="T485" s="12" t="str">
        <f>TEXT(VALUE(Table1[[#This Row],[Content.Column10]])*1000,"#,##0")</f>
        <v>9,834</v>
      </c>
      <c r="U485" s="13" t="str">
        <f>TEXT(VALUE(Table1[[#This Row],[Content.Column11]])*1000,"#,##0")</f>
        <v>32,959</v>
      </c>
      <c r="V485" s="13" t="str">
        <f>TEXT(VALUE(Table1[[#This Row],[Content.Column12]])*1000,"#,##0")</f>
        <v>13,919</v>
      </c>
      <c r="W485" s="13" t="str">
        <f>TEXT(VALUE(Table1[[#This Row],[Content.Column13]])*1000,"#,##0")</f>
        <v>46,878</v>
      </c>
      <c r="X485" s="13" t="str">
        <f>TEXT(VALUE(Table1[[#This Row],[Content.Column14]])*1000,"#,##0")</f>
        <v>47,810</v>
      </c>
      <c r="Y485" s="14" t="str">
        <f>TEXT(VALUE(Table1[[#This Row],[Content.Column3]])*1000,"#,##0")</f>
        <v>39,319</v>
      </c>
      <c r="Z485" s="14" t="str">
        <f>TEXT(VALUE(Table1[[#This Row],[Content.Column4]])*1000,"#,##0")</f>
        <v>17,378</v>
      </c>
      <c r="AA485" s="14" t="str">
        <f>TEXT(VALUE(Table1[[#This Row],[Content.Column5]])*1000,"#,##0")</f>
        <v>56,697</v>
      </c>
      <c r="AB485" s="14" t="str">
        <f>TEXT(VALUE(Table1[[#This Row],[Content.Column6]])*1000,"#,##0")</f>
        <v>57,644</v>
      </c>
    </row>
    <row r="486" spans="1:28" x14ac:dyDescent="0.3">
      <c r="A486" t="s">
        <v>30</v>
      </c>
      <c r="B486" t="s">
        <v>31</v>
      </c>
      <c r="C486" s="6">
        <v>86.635999999999996</v>
      </c>
      <c r="D486" s="1">
        <v>44.174999999999997</v>
      </c>
      <c r="E486" s="1">
        <v>130.81100000000001</v>
      </c>
      <c r="F486" s="1">
        <v>134.25399999999999</v>
      </c>
      <c r="G486" s="2">
        <v>12.59</v>
      </c>
      <c r="H486" s="2">
        <v>7.2690000000000001</v>
      </c>
      <c r="I486" s="2">
        <v>19.859000000000002</v>
      </c>
      <c r="J486" s="2">
        <v>20.010999999999999</v>
      </c>
      <c r="K486" s="3">
        <v>74.046000000000006</v>
      </c>
      <c r="L486" s="3">
        <v>36.905999999999999</v>
      </c>
      <c r="M486" s="3">
        <v>110.953</v>
      </c>
      <c r="N486" s="3">
        <v>114.24299999999999</v>
      </c>
      <c r="O486">
        <v>2019</v>
      </c>
      <c r="Q486" s="12" t="str">
        <f>TEXT(VALUE(Table1[[#This Row],[Content.Column7]])*1000,"#,##0")</f>
        <v>12,590</v>
      </c>
      <c r="R486" s="12" t="str">
        <f>TEXT(VALUE(Table1[[#This Row],[Content.Column8]])*1000,"#,##0")</f>
        <v>7,269</v>
      </c>
      <c r="S486" s="12" t="str">
        <f>TEXT(VALUE(Table1[[#This Row],[Content.Column9]])*1000,"#,##0")</f>
        <v>19,859</v>
      </c>
      <c r="T486" s="12" t="str">
        <f>TEXT(VALUE(Table1[[#This Row],[Content.Column10]])*1000,"#,##0")</f>
        <v>20,011</v>
      </c>
      <c r="U486" s="13" t="str">
        <f>TEXT(VALUE(Table1[[#This Row],[Content.Column11]])*1000,"#,##0")</f>
        <v>74,046</v>
      </c>
      <c r="V486" s="13" t="str">
        <f>TEXT(VALUE(Table1[[#This Row],[Content.Column12]])*1000,"#,##0")</f>
        <v>36,906</v>
      </c>
      <c r="W486" s="13" t="str">
        <f>TEXT(VALUE(Table1[[#This Row],[Content.Column13]])*1000,"#,##0")</f>
        <v>110,953</v>
      </c>
      <c r="X486" s="13" t="str">
        <f>TEXT(VALUE(Table1[[#This Row],[Content.Column14]])*1000,"#,##0")</f>
        <v>114,243</v>
      </c>
      <c r="Y486" s="14" t="str">
        <f>TEXT(VALUE(Table1[[#This Row],[Content.Column3]])*1000,"#,##0")</f>
        <v>86,636</v>
      </c>
      <c r="Z486" s="14" t="str">
        <f>TEXT(VALUE(Table1[[#This Row],[Content.Column4]])*1000,"#,##0")</f>
        <v>44,175</v>
      </c>
      <c r="AA486" s="14" t="str">
        <f>TEXT(VALUE(Table1[[#This Row],[Content.Column5]])*1000,"#,##0")</f>
        <v>130,811</v>
      </c>
      <c r="AB486" s="14" t="str">
        <f>TEXT(VALUE(Table1[[#This Row],[Content.Column6]])*1000,"#,##0")</f>
        <v>134,254</v>
      </c>
    </row>
    <row r="487" spans="1:28" x14ac:dyDescent="0.3">
      <c r="A487" t="s">
        <v>32</v>
      </c>
      <c r="B487" t="s">
        <v>33</v>
      </c>
      <c r="C487" s="6">
        <v>48.85</v>
      </c>
      <c r="D487" s="1">
        <v>27.702999999999999</v>
      </c>
      <c r="E487" s="1">
        <v>76.552999999999997</v>
      </c>
      <c r="F487" s="1">
        <v>78.11</v>
      </c>
      <c r="G487" s="2">
        <v>6.9809999999999999</v>
      </c>
      <c r="H487" s="2">
        <v>3.9129999999999998</v>
      </c>
      <c r="I487" s="2">
        <v>10.894</v>
      </c>
      <c r="J487" s="2">
        <v>10.923999999999999</v>
      </c>
      <c r="K487" s="3">
        <v>41.869</v>
      </c>
      <c r="L487" s="3">
        <v>23.79</v>
      </c>
      <c r="M487" s="3">
        <v>65.659000000000006</v>
      </c>
      <c r="N487" s="3">
        <v>67.186999999999998</v>
      </c>
      <c r="O487">
        <v>2019</v>
      </c>
      <c r="Q487" s="12" t="str">
        <f>TEXT(VALUE(Table1[[#This Row],[Content.Column7]])*1000,"#,##0")</f>
        <v>6,981</v>
      </c>
      <c r="R487" s="12" t="str">
        <f>TEXT(VALUE(Table1[[#This Row],[Content.Column8]])*1000,"#,##0")</f>
        <v>3,913</v>
      </c>
      <c r="S487" s="12" t="str">
        <f>TEXT(VALUE(Table1[[#This Row],[Content.Column9]])*1000,"#,##0")</f>
        <v>10,894</v>
      </c>
      <c r="T487" s="12" t="str">
        <f>TEXT(VALUE(Table1[[#This Row],[Content.Column10]])*1000,"#,##0")</f>
        <v>10,924</v>
      </c>
      <c r="U487" s="13" t="str">
        <f>TEXT(VALUE(Table1[[#This Row],[Content.Column11]])*1000,"#,##0")</f>
        <v>41,869</v>
      </c>
      <c r="V487" s="13" t="str">
        <f>TEXT(VALUE(Table1[[#This Row],[Content.Column12]])*1000,"#,##0")</f>
        <v>23,790</v>
      </c>
      <c r="W487" s="13" t="str">
        <f>TEXT(VALUE(Table1[[#This Row],[Content.Column13]])*1000,"#,##0")</f>
        <v>65,659</v>
      </c>
      <c r="X487" s="13" t="str">
        <f>TEXT(VALUE(Table1[[#This Row],[Content.Column14]])*1000,"#,##0")</f>
        <v>67,187</v>
      </c>
      <c r="Y487" s="14" t="str">
        <f>TEXT(VALUE(Table1[[#This Row],[Content.Column3]])*1000,"#,##0")</f>
        <v>48,850</v>
      </c>
      <c r="Z487" s="14" t="str">
        <f>TEXT(VALUE(Table1[[#This Row],[Content.Column4]])*1000,"#,##0")</f>
        <v>27,703</v>
      </c>
      <c r="AA487" s="14" t="str">
        <f>TEXT(VALUE(Table1[[#This Row],[Content.Column5]])*1000,"#,##0")</f>
        <v>76,553</v>
      </c>
      <c r="AB487" s="14" t="str">
        <f>TEXT(VALUE(Table1[[#This Row],[Content.Column6]])*1000,"#,##0")</f>
        <v>78,110</v>
      </c>
    </row>
    <row r="488" spans="1:28" x14ac:dyDescent="0.3">
      <c r="A488" t="s">
        <v>34</v>
      </c>
      <c r="B488" t="s">
        <v>35</v>
      </c>
      <c r="C488" s="6">
        <v>87.381</v>
      </c>
      <c r="D488" s="1">
        <v>34.890999999999998</v>
      </c>
      <c r="E488" s="1">
        <v>122.27200000000001</v>
      </c>
      <c r="F488" s="1">
        <v>124.65600000000001</v>
      </c>
      <c r="G488" s="2">
        <v>15.375999999999999</v>
      </c>
      <c r="H488" s="2">
        <v>6.0039999999999996</v>
      </c>
      <c r="I488" s="2">
        <v>21.38</v>
      </c>
      <c r="J488" s="2">
        <v>21.402999999999999</v>
      </c>
      <c r="K488" s="3">
        <v>72.004999999999995</v>
      </c>
      <c r="L488" s="3">
        <v>28.887</v>
      </c>
      <c r="M488" s="3">
        <v>100.892</v>
      </c>
      <c r="N488" s="3">
        <v>103.253</v>
      </c>
      <c r="O488">
        <v>2019</v>
      </c>
      <c r="Q488" s="12" t="str">
        <f>TEXT(VALUE(Table1[[#This Row],[Content.Column7]])*1000,"#,##0")</f>
        <v>15,376</v>
      </c>
      <c r="R488" s="12" t="str">
        <f>TEXT(VALUE(Table1[[#This Row],[Content.Column8]])*1000,"#,##0")</f>
        <v>6,004</v>
      </c>
      <c r="S488" s="12" t="str">
        <f>TEXT(VALUE(Table1[[#This Row],[Content.Column9]])*1000,"#,##0")</f>
        <v>21,380</v>
      </c>
      <c r="T488" s="12" t="str">
        <f>TEXT(VALUE(Table1[[#This Row],[Content.Column10]])*1000,"#,##0")</f>
        <v>21,403</v>
      </c>
      <c r="U488" s="13" t="str">
        <f>TEXT(VALUE(Table1[[#This Row],[Content.Column11]])*1000,"#,##0")</f>
        <v>72,005</v>
      </c>
      <c r="V488" s="13" t="str">
        <f>TEXT(VALUE(Table1[[#This Row],[Content.Column12]])*1000,"#,##0")</f>
        <v>28,887</v>
      </c>
      <c r="W488" s="13" t="str">
        <f>TEXT(VALUE(Table1[[#This Row],[Content.Column13]])*1000,"#,##0")</f>
        <v>100,892</v>
      </c>
      <c r="X488" s="13" t="str">
        <f>TEXT(VALUE(Table1[[#This Row],[Content.Column14]])*1000,"#,##0")</f>
        <v>103,253</v>
      </c>
      <c r="Y488" s="14" t="str">
        <f>TEXT(VALUE(Table1[[#This Row],[Content.Column3]])*1000,"#,##0")</f>
        <v>87,381</v>
      </c>
      <c r="Z488" s="14" t="str">
        <f>TEXT(VALUE(Table1[[#This Row],[Content.Column4]])*1000,"#,##0")</f>
        <v>34,891</v>
      </c>
      <c r="AA488" s="14" t="str">
        <f>TEXT(VALUE(Table1[[#This Row],[Content.Column5]])*1000,"#,##0")</f>
        <v>122,272</v>
      </c>
      <c r="AB488" s="14" t="str">
        <f>TEXT(VALUE(Table1[[#This Row],[Content.Column6]])*1000,"#,##0")</f>
        <v>124,656</v>
      </c>
    </row>
    <row r="489" spans="1:28" x14ac:dyDescent="0.3">
      <c r="A489" t="s">
        <v>36</v>
      </c>
      <c r="B489" t="s">
        <v>37</v>
      </c>
      <c r="C489" s="6">
        <v>67.051000000000002</v>
      </c>
      <c r="D489" s="1">
        <v>39.738</v>
      </c>
      <c r="E489" s="1">
        <v>106.789</v>
      </c>
      <c r="F489" s="1">
        <v>109.345</v>
      </c>
      <c r="G489" s="2">
        <v>8.516</v>
      </c>
      <c r="H489" s="2">
        <v>6.452</v>
      </c>
      <c r="I489" s="2">
        <v>14.968</v>
      </c>
      <c r="J489" s="2">
        <v>15.002000000000001</v>
      </c>
      <c r="K489" s="3">
        <v>58.536000000000001</v>
      </c>
      <c r="L489" s="3">
        <v>33.286000000000001</v>
      </c>
      <c r="M489" s="3">
        <v>91.822000000000003</v>
      </c>
      <c r="N489" s="3">
        <v>94.343000000000004</v>
      </c>
      <c r="O489">
        <v>2019</v>
      </c>
      <c r="Q489" s="12" t="str">
        <f>TEXT(VALUE(Table1[[#This Row],[Content.Column7]])*1000,"#,##0")</f>
        <v>8,516</v>
      </c>
      <c r="R489" s="12" t="str">
        <f>TEXT(VALUE(Table1[[#This Row],[Content.Column8]])*1000,"#,##0")</f>
        <v>6,452</v>
      </c>
      <c r="S489" s="12" t="str">
        <f>TEXT(VALUE(Table1[[#This Row],[Content.Column9]])*1000,"#,##0")</f>
        <v>14,968</v>
      </c>
      <c r="T489" s="12" t="str">
        <f>TEXT(VALUE(Table1[[#This Row],[Content.Column10]])*1000,"#,##0")</f>
        <v>15,002</v>
      </c>
      <c r="U489" s="13" t="str">
        <f>TEXT(VALUE(Table1[[#This Row],[Content.Column11]])*1000,"#,##0")</f>
        <v>58,536</v>
      </c>
      <c r="V489" s="13" t="str">
        <f>TEXT(VALUE(Table1[[#This Row],[Content.Column12]])*1000,"#,##0")</f>
        <v>33,286</v>
      </c>
      <c r="W489" s="13" t="str">
        <f>TEXT(VALUE(Table1[[#This Row],[Content.Column13]])*1000,"#,##0")</f>
        <v>91,822</v>
      </c>
      <c r="X489" s="13" t="str">
        <f>TEXT(VALUE(Table1[[#This Row],[Content.Column14]])*1000,"#,##0")</f>
        <v>94,343</v>
      </c>
      <c r="Y489" s="14" t="str">
        <f>TEXT(VALUE(Table1[[#This Row],[Content.Column3]])*1000,"#,##0")</f>
        <v>67,051</v>
      </c>
      <c r="Z489" s="14" t="str">
        <f>TEXT(VALUE(Table1[[#This Row],[Content.Column4]])*1000,"#,##0")</f>
        <v>39,738</v>
      </c>
      <c r="AA489" s="14" t="str">
        <f>TEXT(VALUE(Table1[[#This Row],[Content.Column5]])*1000,"#,##0")</f>
        <v>106,789</v>
      </c>
      <c r="AB489" s="14" t="str">
        <f>TEXT(VALUE(Table1[[#This Row],[Content.Column6]])*1000,"#,##0")</f>
        <v>109,345</v>
      </c>
    </row>
    <row r="490" spans="1:28" x14ac:dyDescent="0.3">
      <c r="A490" t="s">
        <v>38</v>
      </c>
      <c r="B490" t="s">
        <v>39</v>
      </c>
      <c r="C490" s="6">
        <v>287.21800000000002</v>
      </c>
      <c r="D490" s="1">
        <v>83.552000000000007</v>
      </c>
      <c r="E490" s="1">
        <v>370.77</v>
      </c>
      <c r="F490" s="1">
        <v>382.15800000000002</v>
      </c>
      <c r="G490" s="2">
        <v>35.716999999999999</v>
      </c>
      <c r="H490" s="2">
        <v>10.442</v>
      </c>
      <c r="I490" s="2">
        <v>46.158999999999999</v>
      </c>
      <c r="J490" s="2">
        <v>46.225000000000001</v>
      </c>
      <c r="K490" s="3">
        <v>251.501</v>
      </c>
      <c r="L490" s="3">
        <v>73.11</v>
      </c>
      <c r="M490" s="3">
        <v>324.61099999999999</v>
      </c>
      <c r="N490" s="3">
        <v>335.93400000000003</v>
      </c>
      <c r="O490">
        <v>2019</v>
      </c>
      <c r="Q490" s="12" t="str">
        <f>TEXT(VALUE(Table1[[#This Row],[Content.Column7]])*1000,"#,##0")</f>
        <v>35,717</v>
      </c>
      <c r="R490" s="12" t="str">
        <f>TEXT(VALUE(Table1[[#This Row],[Content.Column8]])*1000,"#,##0")</f>
        <v>10,442</v>
      </c>
      <c r="S490" s="12" t="str">
        <f>TEXT(VALUE(Table1[[#This Row],[Content.Column9]])*1000,"#,##0")</f>
        <v>46,159</v>
      </c>
      <c r="T490" s="12" t="str">
        <f>TEXT(VALUE(Table1[[#This Row],[Content.Column10]])*1000,"#,##0")</f>
        <v>46,225</v>
      </c>
      <c r="U490" s="13" t="str">
        <f>TEXT(VALUE(Table1[[#This Row],[Content.Column11]])*1000,"#,##0")</f>
        <v>251,501</v>
      </c>
      <c r="V490" s="13" t="str">
        <f>TEXT(VALUE(Table1[[#This Row],[Content.Column12]])*1000,"#,##0")</f>
        <v>73,110</v>
      </c>
      <c r="W490" s="13" t="str">
        <f>TEXT(VALUE(Table1[[#This Row],[Content.Column13]])*1000,"#,##0")</f>
        <v>324,611</v>
      </c>
      <c r="X490" s="13" t="str">
        <f>TEXT(VALUE(Table1[[#This Row],[Content.Column14]])*1000,"#,##0")</f>
        <v>335,934</v>
      </c>
      <c r="Y490" s="14" t="str">
        <f>TEXT(VALUE(Table1[[#This Row],[Content.Column3]])*1000,"#,##0")</f>
        <v>287,218</v>
      </c>
      <c r="Z490" s="14" t="str">
        <f>TEXT(VALUE(Table1[[#This Row],[Content.Column4]])*1000,"#,##0")</f>
        <v>83,552</v>
      </c>
      <c r="AA490" s="14" t="str">
        <f>TEXT(VALUE(Table1[[#This Row],[Content.Column5]])*1000,"#,##0")</f>
        <v>370,770</v>
      </c>
      <c r="AB490" s="14" t="str">
        <f>TEXT(VALUE(Table1[[#This Row],[Content.Column6]])*1000,"#,##0")</f>
        <v>382,158</v>
      </c>
    </row>
    <row r="491" spans="1:28" x14ac:dyDescent="0.3">
      <c r="A491" t="s">
        <v>40</v>
      </c>
      <c r="B491" t="s">
        <v>41</v>
      </c>
      <c r="C491" s="6">
        <v>82.406999999999996</v>
      </c>
      <c r="D491" s="1">
        <v>40.853999999999999</v>
      </c>
      <c r="E491" s="1">
        <v>123.261</v>
      </c>
      <c r="F491" s="1">
        <v>125.875</v>
      </c>
      <c r="G491" s="2">
        <v>18.75</v>
      </c>
      <c r="H491" s="2">
        <v>7.4880000000000004</v>
      </c>
      <c r="I491" s="2">
        <v>26.238</v>
      </c>
      <c r="J491" s="2">
        <v>26.292000000000002</v>
      </c>
      <c r="K491" s="3">
        <v>63.658000000000001</v>
      </c>
      <c r="L491" s="3">
        <v>33.365000000000002</v>
      </c>
      <c r="M491" s="3">
        <v>97.022999999999996</v>
      </c>
      <c r="N491" s="3">
        <v>99.582999999999998</v>
      </c>
      <c r="O491">
        <v>2019</v>
      </c>
      <c r="Q491" s="12" t="str">
        <f>TEXT(VALUE(Table1[[#This Row],[Content.Column7]])*1000,"#,##0")</f>
        <v>18,750</v>
      </c>
      <c r="R491" s="12" t="str">
        <f>TEXT(VALUE(Table1[[#This Row],[Content.Column8]])*1000,"#,##0")</f>
        <v>7,488</v>
      </c>
      <c r="S491" s="12" t="str">
        <f>TEXT(VALUE(Table1[[#This Row],[Content.Column9]])*1000,"#,##0")</f>
        <v>26,238</v>
      </c>
      <c r="T491" s="12" t="str">
        <f>TEXT(VALUE(Table1[[#This Row],[Content.Column10]])*1000,"#,##0")</f>
        <v>26,292</v>
      </c>
      <c r="U491" s="13" t="str">
        <f>TEXT(VALUE(Table1[[#This Row],[Content.Column11]])*1000,"#,##0")</f>
        <v>63,658</v>
      </c>
      <c r="V491" s="13" t="str">
        <f>TEXT(VALUE(Table1[[#This Row],[Content.Column12]])*1000,"#,##0")</f>
        <v>33,365</v>
      </c>
      <c r="W491" s="13" t="str">
        <f>TEXT(VALUE(Table1[[#This Row],[Content.Column13]])*1000,"#,##0")</f>
        <v>97,023</v>
      </c>
      <c r="X491" s="13" t="str">
        <f>TEXT(VALUE(Table1[[#This Row],[Content.Column14]])*1000,"#,##0")</f>
        <v>99,583</v>
      </c>
      <c r="Y491" s="14" t="str">
        <f>TEXT(VALUE(Table1[[#This Row],[Content.Column3]])*1000,"#,##0")</f>
        <v>82,407</v>
      </c>
      <c r="Z491" s="14" t="str">
        <f>TEXT(VALUE(Table1[[#This Row],[Content.Column4]])*1000,"#,##0")</f>
        <v>40,854</v>
      </c>
      <c r="AA491" s="14" t="str">
        <f>TEXT(VALUE(Table1[[#This Row],[Content.Column5]])*1000,"#,##0")</f>
        <v>123,261</v>
      </c>
      <c r="AB491" s="14" t="str">
        <f>TEXT(VALUE(Table1[[#This Row],[Content.Column6]])*1000,"#,##0")</f>
        <v>125,875</v>
      </c>
    </row>
    <row r="492" spans="1:28" x14ac:dyDescent="0.3">
      <c r="A492" t="s">
        <v>42</v>
      </c>
      <c r="B492" t="s">
        <v>43</v>
      </c>
      <c r="C492" s="6">
        <v>96.088999999999999</v>
      </c>
      <c r="D492" s="1">
        <v>38.601999999999997</v>
      </c>
      <c r="E492" s="1">
        <v>134.691</v>
      </c>
      <c r="F492" s="1">
        <v>137.09800000000001</v>
      </c>
      <c r="G492" s="2">
        <v>11.06</v>
      </c>
      <c r="H492" s="2">
        <v>6.3360000000000003</v>
      </c>
      <c r="I492" s="2">
        <v>17.396000000000001</v>
      </c>
      <c r="J492" s="2">
        <v>17.407</v>
      </c>
      <c r="K492" s="3">
        <v>85.028999999999996</v>
      </c>
      <c r="L492" s="3">
        <v>32.265999999999998</v>
      </c>
      <c r="M492" s="3">
        <v>117.295</v>
      </c>
      <c r="N492" s="3">
        <v>119.691</v>
      </c>
      <c r="O492">
        <v>2019</v>
      </c>
      <c r="Q492" s="12" t="str">
        <f>TEXT(VALUE(Table1[[#This Row],[Content.Column7]])*1000,"#,##0")</f>
        <v>11,060</v>
      </c>
      <c r="R492" s="12" t="str">
        <f>TEXT(VALUE(Table1[[#This Row],[Content.Column8]])*1000,"#,##0")</f>
        <v>6,336</v>
      </c>
      <c r="S492" s="12" t="str">
        <f>TEXT(VALUE(Table1[[#This Row],[Content.Column9]])*1000,"#,##0")</f>
        <v>17,396</v>
      </c>
      <c r="T492" s="12" t="str">
        <f>TEXT(VALUE(Table1[[#This Row],[Content.Column10]])*1000,"#,##0")</f>
        <v>17,407</v>
      </c>
      <c r="U492" s="13" t="str">
        <f>TEXT(VALUE(Table1[[#This Row],[Content.Column11]])*1000,"#,##0")</f>
        <v>85,029</v>
      </c>
      <c r="V492" s="13" t="str">
        <f>TEXT(VALUE(Table1[[#This Row],[Content.Column12]])*1000,"#,##0")</f>
        <v>32,266</v>
      </c>
      <c r="W492" s="13" t="str">
        <f>TEXT(VALUE(Table1[[#This Row],[Content.Column13]])*1000,"#,##0")</f>
        <v>117,295</v>
      </c>
      <c r="X492" s="13" t="str">
        <f>TEXT(VALUE(Table1[[#This Row],[Content.Column14]])*1000,"#,##0")</f>
        <v>119,691</v>
      </c>
      <c r="Y492" s="14" t="str">
        <f>TEXT(VALUE(Table1[[#This Row],[Content.Column3]])*1000,"#,##0")</f>
        <v>96,089</v>
      </c>
      <c r="Z492" s="14" t="str">
        <f>TEXT(VALUE(Table1[[#This Row],[Content.Column4]])*1000,"#,##0")</f>
        <v>38,602</v>
      </c>
      <c r="AA492" s="14" t="str">
        <f>TEXT(VALUE(Table1[[#This Row],[Content.Column5]])*1000,"#,##0")</f>
        <v>134,691</v>
      </c>
      <c r="AB492" s="14" t="str">
        <f>TEXT(VALUE(Table1[[#This Row],[Content.Column6]])*1000,"#,##0")</f>
        <v>137,098</v>
      </c>
    </row>
    <row r="493" spans="1:28" x14ac:dyDescent="0.3">
      <c r="A493" t="s">
        <v>44</v>
      </c>
      <c r="B493" t="s">
        <v>45</v>
      </c>
      <c r="C493" s="6">
        <v>68.132999999999996</v>
      </c>
      <c r="D493" s="1">
        <v>36.473999999999997</v>
      </c>
      <c r="E493" s="1">
        <v>104.607</v>
      </c>
      <c r="F493" s="1">
        <v>106.777</v>
      </c>
      <c r="G493" s="2">
        <v>11.917</v>
      </c>
      <c r="H493" s="2">
        <v>8.1980000000000004</v>
      </c>
      <c r="I493" s="2">
        <v>20.114999999999998</v>
      </c>
      <c r="J493" s="2">
        <v>20.13</v>
      </c>
      <c r="K493" s="3">
        <v>56.215000000000003</v>
      </c>
      <c r="L493" s="3">
        <v>28.276</v>
      </c>
      <c r="M493" s="3">
        <v>84.491</v>
      </c>
      <c r="N493" s="3">
        <v>86.647000000000006</v>
      </c>
      <c r="O493">
        <v>2019</v>
      </c>
      <c r="Q493" s="12" t="str">
        <f>TEXT(VALUE(Table1[[#This Row],[Content.Column7]])*1000,"#,##0")</f>
        <v>11,917</v>
      </c>
      <c r="R493" s="12" t="str">
        <f>TEXT(VALUE(Table1[[#This Row],[Content.Column8]])*1000,"#,##0")</f>
        <v>8,198</v>
      </c>
      <c r="S493" s="12" t="str">
        <f>TEXT(VALUE(Table1[[#This Row],[Content.Column9]])*1000,"#,##0")</f>
        <v>20,115</v>
      </c>
      <c r="T493" s="12" t="str">
        <f>TEXT(VALUE(Table1[[#This Row],[Content.Column10]])*1000,"#,##0")</f>
        <v>20,130</v>
      </c>
      <c r="U493" s="13" t="str">
        <f>TEXT(VALUE(Table1[[#This Row],[Content.Column11]])*1000,"#,##0")</f>
        <v>56,215</v>
      </c>
      <c r="V493" s="13" t="str">
        <f>TEXT(VALUE(Table1[[#This Row],[Content.Column12]])*1000,"#,##0")</f>
        <v>28,276</v>
      </c>
      <c r="W493" s="13" t="str">
        <f>TEXT(VALUE(Table1[[#This Row],[Content.Column13]])*1000,"#,##0")</f>
        <v>84,491</v>
      </c>
      <c r="X493" s="13" t="str">
        <f>TEXT(VALUE(Table1[[#This Row],[Content.Column14]])*1000,"#,##0")</f>
        <v>86,647</v>
      </c>
      <c r="Y493" s="14" t="str">
        <f>TEXT(VALUE(Table1[[#This Row],[Content.Column3]])*1000,"#,##0")</f>
        <v>68,133</v>
      </c>
      <c r="Z493" s="14" t="str">
        <f>TEXT(VALUE(Table1[[#This Row],[Content.Column4]])*1000,"#,##0")</f>
        <v>36,474</v>
      </c>
      <c r="AA493" s="14" t="str">
        <f>TEXT(VALUE(Table1[[#This Row],[Content.Column5]])*1000,"#,##0")</f>
        <v>104,607</v>
      </c>
      <c r="AB493" s="14" t="str">
        <f>TEXT(VALUE(Table1[[#This Row],[Content.Column6]])*1000,"#,##0")</f>
        <v>106,777</v>
      </c>
    </row>
    <row r="494" spans="1:28" x14ac:dyDescent="0.3">
      <c r="A494" t="s">
        <v>46</v>
      </c>
      <c r="B494" t="s">
        <v>47</v>
      </c>
      <c r="C494" s="6">
        <v>52.723999999999997</v>
      </c>
      <c r="D494" s="1">
        <v>32.889000000000003</v>
      </c>
      <c r="E494" s="1">
        <v>85.613</v>
      </c>
      <c r="F494" s="1">
        <v>87.022000000000006</v>
      </c>
      <c r="G494" s="2">
        <v>13.073</v>
      </c>
      <c r="H494" s="2">
        <v>9.1449999999999996</v>
      </c>
      <c r="I494" s="2">
        <v>22.218</v>
      </c>
      <c r="J494" s="2">
        <v>22.23</v>
      </c>
      <c r="K494" s="3">
        <v>39.651000000000003</v>
      </c>
      <c r="L494" s="3">
        <v>23.744</v>
      </c>
      <c r="M494" s="3">
        <v>63.395000000000003</v>
      </c>
      <c r="N494" s="3">
        <v>64.792000000000002</v>
      </c>
      <c r="O494">
        <v>2019</v>
      </c>
      <c r="Q494" s="12" t="str">
        <f>TEXT(VALUE(Table1[[#This Row],[Content.Column7]])*1000,"#,##0")</f>
        <v>13,073</v>
      </c>
      <c r="R494" s="12" t="str">
        <f>TEXT(VALUE(Table1[[#This Row],[Content.Column8]])*1000,"#,##0")</f>
        <v>9,145</v>
      </c>
      <c r="S494" s="12" t="str">
        <f>TEXT(VALUE(Table1[[#This Row],[Content.Column9]])*1000,"#,##0")</f>
        <v>22,218</v>
      </c>
      <c r="T494" s="12" t="str">
        <f>TEXT(VALUE(Table1[[#This Row],[Content.Column10]])*1000,"#,##0")</f>
        <v>22,230</v>
      </c>
      <c r="U494" s="13" t="str">
        <f>TEXT(VALUE(Table1[[#This Row],[Content.Column11]])*1000,"#,##0")</f>
        <v>39,651</v>
      </c>
      <c r="V494" s="13" t="str">
        <f>TEXT(VALUE(Table1[[#This Row],[Content.Column12]])*1000,"#,##0")</f>
        <v>23,744</v>
      </c>
      <c r="W494" s="13" t="str">
        <f>TEXT(VALUE(Table1[[#This Row],[Content.Column13]])*1000,"#,##0")</f>
        <v>63,395</v>
      </c>
      <c r="X494" s="13" t="str">
        <f>TEXT(VALUE(Table1[[#This Row],[Content.Column14]])*1000,"#,##0")</f>
        <v>64,792</v>
      </c>
      <c r="Y494" s="14" t="str">
        <f>TEXT(VALUE(Table1[[#This Row],[Content.Column3]])*1000,"#,##0")</f>
        <v>52,724</v>
      </c>
      <c r="Z494" s="14" t="str">
        <f>TEXT(VALUE(Table1[[#This Row],[Content.Column4]])*1000,"#,##0")</f>
        <v>32,889</v>
      </c>
      <c r="AA494" s="14" t="str">
        <f>TEXT(VALUE(Table1[[#This Row],[Content.Column5]])*1000,"#,##0")</f>
        <v>85,613</v>
      </c>
      <c r="AB494" s="14" t="str">
        <f>TEXT(VALUE(Table1[[#This Row],[Content.Column6]])*1000,"#,##0")</f>
        <v>87,022</v>
      </c>
    </row>
    <row r="495" spans="1:28" x14ac:dyDescent="0.3">
      <c r="A495" t="s">
        <v>48</v>
      </c>
      <c r="B495" t="s">
        <v>49</v>
      </c>
      <c r="C495" s="6">
        <v>96.935000000000002</v>
      </c>
      <c r="D495" s="1">
        <v>33.576000000000001</v>
      </c>
      <c r="E495" s="1">
        <v>130.512</v>
      </c>
      <c r="F495" s="1">
        <v>133.37200000000001</v>
      </c>
      <c r="G495" s="2">
        <v>13.845000000000001</v>
      </c>
      <c r="H495" s="2">
        <v>4.008</v>
      </c>
      <c r="I495" s="2">
        <v>17.853000000000002</v>
      </c>
      <c r="J495" s="2">
        <v>17.882000000000001</v>
      </c>
      <c r="K495" s="3">
        <v>83.090999999999994</v>
      </c>
      <c r="L495" s="3">
        <v>29.568000000000001</v>
      </c>
      <c r="M495" s="3">
        <v>112.65900000000001</v>
      </c>
      <c r="N495" s="3">
        <v>115.49</v>
      </c>
      <c r="O495">
        <v>2019</v>
      </c>
      <c r="Q495" s="12" t="str">
        <f>TEXT(VALUE(Table1[[#This Row],[Content.Column7]])*1000,"#,##0")</f>
        <v>13,845</v>
      </c>
      <c r="R495" s="12" t="str">
        <f>TEXT(VALUE(Table1[[#This Row],[Content.Column8]])*1000,"#,##0")</f>
        <v>4,008</v>
      </c>
      <c r="S495" s="12" t="str">
        <f>TEXT(VALUE(Table1[[#This Row],[Content.Column9]])*1000,"#,##0")</f>
        <v>17,853</v>
      </c>
      <c r="T495" s="12" t="str">
        <f>TEXT(VALUE(Table1[[#This Row],[Content.Column10]])*1000,"#,##0")</f>
        <v>17,882</v>
      </c>
      <c r="U495" s="13" t="str">
        <f>TEXT(VALUE(Table1[[#This Row],[Content.Column11]])*1000,"#,##0")</f>
        <v>83,091</v>
      </c>
      <c r="V495" s="13" t="str">
        <f>TEXT(VALUE(Table1[[#This Row],[Content.Column12]])*1000,"#,##0")</f>
        <v>29,568</v>
      </c>
      <c r="W495" s="13" t="str">
        <f>TEXT(VALUE(Table1[[#This Row],[Content.Column13]])*1000,"#,##0")</f>
        <v>112,659</v>
      </c>
      <c r="X495" s="13" t="str">
        <f>TEXT(VALUE(Table1[[#This Row],[Content.Column14]])*1000,"#,##0")</f>
        <v>115,490</v>
      </c>
      <c r="Y495" s="14" t="str">
        <f>TEXT(VALUE(Table1[[#This Row],[Content.Column3]])*1000,"#,##0")</f>
        <v>96,935</v>
      </c>
      <c r="Z495" s="14" t="str">
        <f>TEXT(VALUE(Table1[[#This Row],[Content.Column4]])*1000,"#,##0")</f>
        <v>33,576</v>
      </c>
      <c r="AA495" s="14" t="str">
        <f>TEXT(VALUE(Table1[[#This Row],[Content.Column5]])*1000,"#,##0")</f>
        <v>130,512</v>
      </c>
      <c r="AB495" s="14" t="str">
        <f>TEXT(VALUE(Table1[[#This Row],[Content.Column6]])*1000,"#,##0")</f>
        <v>133,372</v>
      </c>
    </row>
    <row r="496" spans="1:28" x14ac:dyDescent="0.3">
      <c r="A496" t="s">
        <v>50</v>
      </c>
      <c r="B496" t="s">
        <v>51</v>
      </c>
      <c r="C496" s="6">
        <v>99.388000000000005</v>
      </c>
      <c r="D496" s="1">
        <v>37.177</v>
      </c>
      <c r="E496" s="1">
        <v>136.565</v>
      </c>
      <c r="F496" s="1">
        <v>138.458</v>
      </c>
      <c r="G496" s="2">
        <v>18.414999999999999</v>
      </c>
      <c r="H496" s="2">
        <v>3.3180000000000001</v>
      </c>
      <c r="I496" s="2">
        <v>21.733000000000001</v>
      </c>
      <c r="J496" s="2">
        <v>21.829000000000001</v>
      </c>
      <c r="K496" s="3">
        <v>80.972999999999999</v>
      </c>
      <c r="L496" s="3">
        <v>33.859000000000002</v>
      </c>
      <c r="M496" s="3">
        <v>114.83199999999999</v>
      </c>
      <c r="N496" s="3">
        <v>116.629</v>
      </c>
      <c r="O496">
        <v>2019</v>
      </c>
      <c r="Q496" s="12" t="str">
        <f>TEXT(VALUE(Table1[[#This Row],[Content.Column7]])*1000,"#,##0")</f>
        <v>18,415</v>
      </c>
      <c r="R496" s="12" t="str">
        <f>TEXT(VALUE(Table1[[#This Row],[Content.Column8]])*1000,"#,##0")</f>
        <v>3,318</v>
      </c>
      <c r="S496" s="12" t="str">
        <f>TEXT(VALUE(Table1[[#This Row],[Content.Column9]])*1000,"#,##0")</f>
        <v>21,733</v>
      </c>
      <c r="T496" s="12" t="str">
        <f>TEXT(VALUE(Table1[[#This Row],[Content.Column10]])*1000,"#,##0")</f>
        <v>21,829</v>
      </c>
      <c r="U496" s="13" t="str">
        <f>TEXT(VALUE(Table1[[#This Row],[Content.Column11]])*1000,"#,##0")</f>
        <v>80,973</v>
      </c>
      <c r="V496" s="13" t="str">
        <f>TEXT(VALUE(Table1[[#This Row],[Content.Column12]])*1000,"#,##0")</f>
        <v>33,859</v>
      </c>
      <c r="W496" s="13" t="str">
        <f>TEXT(VALUE(Table1[[#This Row],[Content.Column13]])*1000,"#,##0")</f>
        <v>114,832</v>
      </c>
      <c r="X496" s="13" t="str">
        <f>TEXT(VALUE(Table1[[#This Row],[Content.Column14]])*1000,"#,##0")</f>
        <v>116,629</v>
      </c>
      <c r="Y496" s="14" t="str">
        <f>TEXT(VALUE(Table1[[#This Row],[Content.Column3]])*1000,"#,##0")</f>
        <v>99,388</v>
      </c>
      <c r="Z496" s="14" t="str">
        <f>TEXT(VALUE(Table1[[#This Row],[Content.Column4]])*1000,"#,##0")</f>
        <v>37,177</v>
      </c>
      <c r="AA496" s="14" t="str">
        <f>TEXT(VALUE(Table1[[#This Row],[Content.Column5]])*1000,"#,##0")</f>
        <v>136,565</v>
      </c>
      <c r="AB496" s="14" t="str">
        <f>TEXT(VALUE(Table1[[#This Row],[Content.Column6]])*1000,"#,##0")</f>
        <v>138,458</v>
      </c>
    </row>
    <row r="497" spans="1:28" x14ac:dyDescent="0.3">
      <c r="A497" t="s">
        <v>52</v>
      </c>
      <c r="B497" t="s">
        <v>53</v>
      </c>
      <c r="C497" s="6">
        <v>43.523000000000003</v>
      </c>
      <c r="D497" s="1">
        <v>22.843</v>
      </c>
      <c r="E497" s="1">
        <v>66.366</v>
      </c>
      <c r="F497" s="1">
        <v>68.474999999999994</v>
      </c>
      <c r="G497" s="2">
        <v>7.9</v>
      </c>
      <c r="H497" s="2">
        <v>3.2890000000000001</v>
      </c>
      <c r="I497" s="2">
        <v>11.189</v>
      </c>
      <c r="J497" s="2">
        <v>11.209</v>
      </c>
      <c r="K497" s="3">
        <v>35.622999999999998</v>
      </c>
      <c r="L497" s="3">
        <v>19.553999999999998</v>
      </c>
      <c r="M497" s="3">
        <v>55.177</v>
      </c>
      <c r="N497" s="3">
        <v>57.265999999999998</v>
      </c>
      <c r="O497">
        <v>2019</v>
      </c>
      <c r="Q497" s="12" t="str">
        <f>TEXT(VALUE(Table1[[#This Row],[Content.Column7]])*1000,"#,##0")</f>
        <v>7,900</v>
      </c>
      <c r="R497" s="12" t="str">
        <f>TEXT(VALUE(Table1[[#This Row],[Content.Column8]])*1000,"#,##0")</f>
        <v>3,289</v>
      </c>
      <c r="S497" s="12" t="str">
        <f>TEXT(VALUE(Table1[[#This Row],[Content.Column9]])*1000,"#,##0")</f>
        <v>11,189</v>
      </c>
      <c r="T497" s="12" t="str">
        <f>TEXT(VALUE(Table1[[#This Row],[Content.Column10]])*1000,"#,##0")</f>
        <v>11,209</v>
      </c>
      <c r="U497" s="13" t="str">
        <f>TEXT(VALUE(Table1[[#This Row],[Content.Column11]])*1000,"#,##0")</f>
        <v>35,623</v>
      </c>
      <c r="V497" s="13" t="str">
        <f>TEXT(VALUE(Table1[[#This Row],[Content.Column12]])*1000,"#,##0")</f>
        <v>19,554</v>
      </c>
      <c r="W497" s="13" t="str">
        <f>TEXT(VALUE(Table1[[#This Row],[Content.Column13]])*1000,"#,##0")</f>
        <v>55,177</v>
      </c>
      <c r="X497" s="13" t="str">
        <f>TEXT(VALUE(Table1[[#This Row],[Content.Column14]])*1000,"#,##0")</f>
        <v>57,266</v>
      </c>
      <c r="Y497" s="14" t="str">
        <f>TEXT(VALUE(Table1[[#This Row],[Content.Column3]])*1000,"#,##0")</f>
        <v>43,523</v>
      </c>
      <c r="Z497" s="14" t="str">
        <f>TEXT(VALUE(Table1[[#This Row],[Content.Column4]])*1000,"#,##0")</f>
        <v>22,843</v>
      </c>
      <c r="AA497" s="14" t="str">
        <f>TEXT(VALUE(Table1[[#This Row],[Content.Column5]])*1000,"#,##0")</f>
        <v>66,366</v>
      </c>
      <c r="AB497" s="14" t="str">
        <f>TEXT(VALUE(Table1[[#This Row],[Content.Column6]])*1000,"#,##0")</f>
        <v>68,475</v>
      </c>
    </row>
    <row r="498" spans="1:28" x14ac:dyDescent="0.3">
      <c r="A498" t="s">
        <v>54</v>
      </c>
      <c r="B498" t="s">
        <v>55</v>
      </c>
      <c r="C498" s="6">
        <v>46.561</v>
      </c>
      <c r="D498" s="1">
        <v>24.219000000000001</v>
      </c>
      <c r="E498" s="1">
        <v>70.78</v>
      </c>
      <c r="F498" s="1">
        <v>72.510000000000005</v>
      </c>
      <c r="G498" s="2">
        <v>5.8680000000000003</v>
      </c>
      <c r="H498" s="2">
        <v>4.3719999999999999</v>
      </c>
      <c r="I498" s="2">
        <v>10.239000000000001</v>
      </c>
      <c r="J498" s="2">
        <v>10.244999999999999</v>
      </c>
      <c r="K498" s="3">
        <v>40.692999999999998</v>
      </c>
      <c r="L498" s="3">
        <v>19.847000000000001</v>
      </c>
      <c r="M498" s="3">
        <v>60.540999999999997</v>
      </c>
      <c r="N498" s="3">
        <v>62.265000000000001</v>
      </c>
      <c r="O498">
        <v>2019</v>
      </c>
      <c r="Q498" s="12" t="str">
        <f>TEXT(VALUE(Table1[[#This Row],[Content.Column7]])*1000,"#,##0")</f>
        <v>5,868</v>
      </c>
      <c r="R498" s="12" t="str">
        <f>TEXT(VALUE(Table1[[#This Row],[Content.Column8]])*1000,"#,##0")</f>
        <v>4,372</v>
      </c>
      <c r="S498" s="12" t="str">
        <f>TEXT(VALUE(Table1[[#This Row],[Content.Column9]])*1000,"#,##0")</f>
        <v>10,239</v>
      </c>
      <c r="T498" s="12" t="str">
        <f>TEXT(VALUE(Table1[[#This Row],[Content.Column10]])*1000,"#,##0")</f>
        <v>10,245</v>
      </c>
      <c r="U498" s="13" t="str">
        <f>TEXT(VALUE(Table1[[#This Row],[Content.Column11]])*1000,"#,##0")</f>
        <v>40,693</v>
      </c>
      <c r="V498" s="13" t="str">
        <f>TEXT(VALUE(Table1[[#This Row],[Content.Column12]])*1000,"#,##0")</f>
        <v>19,847</v>
      </c>
      <c r="W498" s="13" t="str">
        <f>TEXT(VALUE(Table1[[#This Row],[Content.Column13]])*1000,"#,##0")</f>
        <v>60,541</v>
      </c>
      <c r="X498" s="13" t="str">
        <f>TEXT(VALUE(Table1[[#This Row],[Content.Column14]])*1000,"#,##0")</f>
        <v>62,265</v>
      </c>
      <c r="Y498" s="14" t="str">
        <f>TEXT(VALUE(Table1[[#This Row],[Content.Column3]])*1000,"#,##0")</f>
        <v>46,561</v>
      </c>
      <c r="Z498" s="14" t="str">
        <f>TEXT(VALUE(Table1[[#This Row],[Content.Column4]])*1000,"#,##0")</f>
        <v>24,219</v>
      </c>
      <c r="AA498" s="14" t="str">
        <f>TEXT(VALUE(Table1[[#This Row],[Content.Column5]])*1000,"#,##0")</f>
        <v>70,780</v>
      </c>
      <c r="AB498" s="14" t="str">
        <f>TEXT(VALUE(Table1[[#This Row],[Content.Column6]])*1000,"#,##0")</f>
        <v>72,510</v>
      </c>
    </row>
    <row r="499" spans="1:28" x14ac:dyDescent="0.3">
      <c r="A499" t="s">
        <v>56</v>
      </c>
      <c r="B499" t="s">
        <v>57</v>
      </c>
      <c r="C499" s="6">
        <v>57.026000000000003</v>
      </c>
      <c r="D499" s="1">
        <v>27.995999999999999</v>
      </c>
      <c r="E499" s="1">
        <v>85.022000000000006</v>
      </c>
      <c r="F499" s="1">
        <v>86.697000000000003</v>
      </c>
      <c r="G499" s="2">
        <v>10.394</v>
      </c>
      <c r="H499" s="2">
        <v>4.2960000000000003</v>
      </c>
      <c r="I499" s="2">
        <v>14.689</v>
      </c>
      <c r="J499" s="2">
        <v>14.698</v>
      </c>
      <c r="K499" s="3">
        <v>46.631999999999998</v>
      </c>
      <c r="L499" s="3">
        <v>23.701000000000001</v>
      </c>
      <c r="M499" s="3">
        <v>70.332999999999998</v>
      </c>
      <c r="N499" s="3">
        <v>71.998000000000005</v>
      </c>
      <c r="O499">
        <v>2019</v>
      </c>
      <c r="Q499" s="12" t="str">
        <f>TEXT(VALUE(Table1[[#This Row],[Content.Column7]])*1000,"#,##0")</f>
        <v>10,394</v>
      </c>
      <c r="R499" s="12" t="str">
        <f>TEXT(VALUE(Table1[[#This Row],[Content.Column8]])*1000,"#,##0")</f>
        <v>4,296</v>
      </c>
      <c r="S499" s="12" t="str">
        <f>TEXT(VALUE(Table1[[#This Row],[Content.Column9]])*1000,"#,##0")</f>
        <v>14,689</v>
      </c>
      <c r="T499" s="12" t="str">
        <f>TEXT(VALUE(Table1[[#This Row],[Content.Column10]])*1000,"#,##0")</f>
        <v>14,698</v>
      </c>
      <c r="U499" s="13" t="str">
        <f>TEXT(VALUE(Table1[[#This Row],[Content.Column11]])*1000,"#,##0")</f>
        <v>46,632</v>
      </c>
      <c r="V499" s="13" t="str">
        <f>TEXT(VALUE(Table1[[#This Row],[Content.Column12]])*1000,"#,##0")</f>
        <v>23,701</v>
      </c>
      <c r="W499" s="13" t="str">
        <f>TEXT(VALUE(Table1[[#This Row],[Content.Column13]])*1000,"#,##0")</f>
        <v>70,333</v>
      </c>
      <c r="X499" s="13" t="str">
        <f>TEXT(VALUE(Table1[[#This Row],[Content.Column14]])*1000,"#,##0")</f>
        <v>71,998</v>
      </c>
      <c r="Y499" s="14" t="str">
        <f>TEXT(VALUE(Table1[[#This Row],[Content.Column3]])*1000,"#,##0")</f>
        <v>57,026</v>
      </c>
      <c r="Z499" s="14" t="str">
        <f>TEXT(VALUE(Table1[[#This Row],[Content.Column4]])*1000,"#,##0")</f>
        <v>27,996</v>
      </c>
      <c r="AA499" s="14" t="str">
        <f>TEXT(VALUE(Table1[[#This Row],[Content.Column5]])*1000,"#,##0")</f>
        <v>85,022</v>
      </c>
      <c r="AB499" s="14" t="str">
        <f>TEXT(VALUE(Table1[[#This Row],[Content.Column6]])*1000,"#,##0")</f>
        <v>86,697</v>
      </c>
    </row>
    <row r="500" spans="1:28" x14ac:dyDescent="0.3">
      <c r="A500" t="s">
        <v>58</v>
      </c>
      <c r="B500" t="s">
        <v>59</v>
      </c>
      <c r="C500" s="6">
        <v>139.721</v>
      </c>
      <c r="D500" s="1">
        <v>49.273000000000003</v>
      </c>
      <c r="E500" s="1">
        <v>188.994</v>
      </c>
      <c r="F500" s="1">
        <v>191.11500000000001</v>
      </c>
      <c r="G500" s="2">
        <v>15.621</v>
      </c>
      <c r="H500" s="2">
        <v>8.2449999999999992</v>
      </c>
      <c r="I500" s="2">
        <v>23.866</v>
      </c>
      <c r="J500" s="2">
        <v>23.946999999999999</v>
      </c>
      <c r="K500" s="3">
        <v>124.1</v>
      </c>
      <c r="L500" s="3">
        <v>41.027999999999999</v>
      </c>
      <c r="M500" s="3">
        <v>165.12799999999999</v>
      </c>
      <c r="N500" s="3">
        <v>167.167</v>
      </c>
      <c r="O500">
        <v>2019</v>
      </c>
      <c r="Q500" s="12" t="str">
        <f>TEXT(VALUE(Table1[[#This Row],[Content.Column7]])*1000,"#,##0")</f>
        <v>15,621</v>
      </c>
      <c r="R500" s="12" t="str">
        <f>TEXT(VALUE(Table1[[#This Row],[Content.Column8]])*1000,"#,##0")</f>
        <v>8,245</v>
      </c>
      <c r="S500" s="12" t="str">
        <f>TEXT(VALUE(Table1[[#This Row],[Content.Column9]])*1000,"#,##0")</f>
        <v>23,866</v>
      </c>
      <c r="T500" s="12" t="str">
        <f>TEXT(VALUE(Table1[[#This Row],[Content.Column10]])*1000,"#,##0")</f>
        <v>23,947</v>
      </c>
      <c r="U500" s="13" t="str">
        <f>TEXT(VALUE(Table1[[#This Row],[Content.Column11]])*1000,"#,##0")</f>
        <v>124,100</v>
      </c>
      <c r="V500" s="13" t="str">
        <f>TEXT(VALUE(Table1[[#This Row],[Content.Column12]])*1000,"#,##0")</f>
        <v>41,028</v>
      </c>
      <c r="W500" s="13" t="str">
        <f>TEXT(VALUE(Table1[[#This Row],[Content.Column13]])*1000,"#,##0")</f>
        <v>165,128</v>
      </c>
      <c r="X500" s="13" t="str">
        <f>TEXT(VALUE(Table1[[#This Row],[Content.Column14]])*1000,"#,##0")</f>
        <v>167,167</v>
      </c>
      <c r="Y500" s="14" t="str">
        <f>TEXT(VALUE(Table1[[#This Row],[Content.Column3]])*1000,"#,##0")</f>
        <v>139,721</v>
      </c>
      <c r="Z500" s="14" t="str">
        <f>TEXT(VALUE(Table1[[#This Row],[Content.Column4]])*1000,"#,##0")</f>
        <v>49,273</v>
      </c>
      <c r="AA500" s="14" t="str">
        <f>TEXT(VALUE(Table1[[#This Row],[Content.Column5]])*1000,"#,##0")</f>
        <v>188,994</v>
      </c>
      <c r="AB500" s="14" t="str">
        <f>TEXT(VALUE(Table1[[#This Row],[Content.Column6]])*1000,"#,##0")</f>
        <v>191,115</v>
      </c>
    </row>
    <row r="501" spans="1:28" x14ac:dyDescent="0.3">
      <c r="A501" t="s">
        <v>60</v>
      </c>
      <c r="B501" t="s">
        <v>61</v>
      </c>
      <c r="C501" s="6">
        <v>120.116</v>
      </c>
      <c r="D501" s="1">
        <v>42.652000000000001</v>
      </c>
      <c r="E501" s="1">
        <v>162.768</v>
      </c>
      <c r="F501" s="1">
        <v>164.572</v>
      </c>
      <c r="G501" s="2">
        <v>12.858000000000001</v>
      </c>
      <c r="H501" s="2">
        <v>4.3979999999999997</v>
      </c>
      <c r="I501" s="2">
        <v>17.256</v>
      </c>
      <c r="J501" s="2">
        <v>17.265999999999998</v>
      </c>
      <c r="K501" s="3">
        <v>107.258</v>
      </c>
      <c r="L501" s="3">
        <v>38.253999999999998</v>
      </c>
      <c r="M501" s="3">
        <v>145.512</v>
      </c>
      <c r="N501" s="3">
        <v>147.30600000000001</v>
      </c>
      <c r="O501">
        <v>2019</v>
      </c>
      <c r="Q501" s="12" t="str">
        <f>TEXT(VALUE(Table1[[#This Row],[Content.Column7]])*1000,"#,##0")</f>
        <v>12,858</v>
      </c>
      <c r="R501" s="12" t="str">
        <f>TEXT(VALUE(Table1[[#This Row],[Content.Column8]])*1000,"#,##0")</f>
        <v>4,398</v>
      </c>
      <c r="S501" s="12" t="str">
        <f>TEXT(VALUE(Table1[[#This Row],[Content.Column9]])*1000,"#,##0")</f>
        <v>17,256</v>
      </c>
      <c r="T501" s="12" t="str">
        <f>TEXT(VALUE(Table1[[#This Row],[Content.Column10]])*1000,"#,##0")</f>
        <v>17,266</v>
      </c>
      <c r="U501" s="13" t="str">
        <f>TEXT(VALUE(Table1[[#This Row],[Content.Column11]])*1000,"#,##0")</f>
        <v>107,258</v>
      </c>
      <c r="V501" s="13" t="str">
        <f>TEXT(VALUE(Table1[[#This Row],[Content.Column12]])*1000,"#,##0")</f>
        <v>38,254</v>
      </c>
      <c r="W501" s="13" t="str">
        <f>TEXT(VALUE(Table1[[#This Row],[Content.Column13]])*1000,"#,##0")</f>
        <v>145,512</v>
      </c>
      <c r="X501" s="13" t="str">
        <f>TEXT(VALUE(Table1[[#This Row],[Content.Column14]])*1000,"#,##0")</f>
        <v>147,306</v>
      </c>
      <c r="Y501" s="14" t="str">
        <f>TEXT(VALUE(Table1[[#This Row],[Content.Column3]])*1000,"#,##0")</f>
        <v>120,116</v>
      </c>
      <c r="Z501" s="14" t="str">
        <f>TEXT(VALUE(Table1[[#This Row],[Content.Column4]])*1000,"#,##0")</f>
        <v>42,652</v>
      </c>
      <c r="AA501" s="14" t="str">
        <f>TEXT(VALUE(Table1[[#This Row],[Content.Column5]])*1000,"#,##0")</f>
        <v>162,768</v>
      </c>
      <c r="AB501" s="14" t="str">
        <f>TEXT(VALUE(Table1[[#This Row],[Content.Column6]])*1000,"#,##0")</f>
        <v>164,572</v>
      </c>
    </row>
    <row r="502" spans="1:28" x14ac:dyDescent="0.3">
      <c r="A502" t="s">
        <v>62</v>
      </c>
      <c r="B502" t="s">
        <v>63</v>
      </c>
      <c r="C502" s="6">
        <v>185.46299999999999</v>
      </c>
      <c r="D502" s="1">
        <v>49.07</v>
      </c>
      <c r="E502" s="1">
        <v>234.53299999999999</v>
      </c>
      <c r="F502" s="1">
        <v>239.44399999999999</v>
      </c>
      <c r="G502" s="2">
        <v>15.891</v>
      </c>
      <c r="H502" s="2">
        <v>4.282</v>
      </c>
      <c r="I502" s="2">
        <v>20.172999999999998</v>
      </c>
      <c r="J502" s="2">
        <v>20.184999999999999</v>
      </c>
      <c r="K502" s="3">
        <v>169.572</v>
      </c>
      <c r="L502" s="3">
        <v>44.787999999999997</v>
      </c>
      <c r="M502" s="3">
        <v>214.36</v>
      </c>
      <c r="N502" s="3">
        <v>219.25899999999999</v>
      </c>
      <c r="O502">
        <v>2019</v>
      </c>
      <c r="Q502" s="12" t="str">
        <f>TEXT(VALUE(Table1[[#This Row],[Content.Column7]])*1000,"#,##0")</f>
        <v>15,891</v>
      </c>
      <c r="R502" s="12" t="str">
        <f>TEXT(VALUE(Table1[[#This Row],[Content.Column8]])*1000,"#,##0")</f>
        <v>4,282</v>
      </c>
      <c r="S502" s="12" t="str">
        <f>TEXT(VALUE(Table1[[#This Row],[Content.Column9]])*1000,"#,##0")</f>
        <v>20,173</v>
      </c>
      <c r="T502" s="12" t="str">
        <f>TEXT(VALUE(Table1[[#This Row],[Content.Column10]])*1000,"#,##0")</f>
        <v>20,185</v>
      </c>
      <c r="U502" s="13" t="str">
        <f>TEXT(VALUE(Table1[[#This Row],[Content.Column11]])*1000,"#,##0")</f>
        <v>169,572</v>
      </c>
      <c r="V502" s="13" t="str">
        <f>TEXT(VALUE(Table1[[#This Row],[Content.Column12]])*1000,"#,##0")</f>
        <v>44,788</v>
      </c>
      <c r="W502" s="13" t="str">
        <f>TEXT(VALUE(Table1[[#This Row],[Content.Column13]])*1000,"#,##0")</f>
        <v>214,360</v>
      </c>
      <c r="X502" s="13" t="str">
        <f>TEXT(VALUE(Table1[[#This Row],[Content.Column14]])*1000,"#,##0")</f>
        <v>219,259</v>
      </c>
      <c r="Y502" s="14" t="str">
        <f>TEXT(VALUE(Table1[[#This Row],[Content.Column3]])*1000,"#,##0")</f>
        <v>185,463</v>
      </c>
      <c r="Z502" s="14" t="str">
        <f>TEXT(VALUE(Table1[[#This Row],[Content.Column4]])*1000,"#,##0")</f>
        <v>49,070</v>
      </c>
      <c r="AA502" s="14" t="str">
        <f>TEXT(VALUE(Table1[[#This Row],[Content.Column5]])*1000,"#,##0")</f>
        <v>234,533</v>
      </c>
      <c r="AB502" s="14" t="str">
        <f>TEXT(VALUE(Table1[[#This Row],[Content.Column6]])*1000,"#,##0")</f>
        <v>239,444</v>
      </c>
    </row>
    <row r="503" spans="1:28" x14ac:dyDescent="0.3">
      <c r="A503" t="s">
        <v>64</v>
      </c>
      <c r="B503" t="s">
        <v>65</v>
      </c>
      <c r="C503" s="6">
        <v>104.577</v>
      </c>
      <c r="D503" s="1">
        <v>34.478999999999999</v>
      </c>
      <c r="E503" s="1">
        <v>139.05600000000001</v>
      </c>
      <c r="F503" s="1">
        <v>141.886</v>
      </c>
      <c r="G503" s="2">
        <v>15.272</v>
      </c>
      <c r="H503" s="2">
        <v>4.1890000000000001</v>
      </c>
      <c r="I503" s="2">
        <v>19.462</v>
      </c>
      <c r="J503" s="2">
        <v>19.492999999999999</v>
      </c>
      <c r="K503" s="3">
        <v>89.304000000000002</v>
      </c>
      <c r="L503" s="3">
        <v>30.29</v>
      </c>
      <c r="M503" s="3">
        <v>119.595</v>
      </c>
      <c r="N503" s="3">
        <v>122.393</v>
      </c>
      <c r="O503">
        <v>2019</v>
      </c>
      <c r="Q503" s="12" t="str">
        <f>TEXT(VALUE(Table1[[#This Row],[Content.Column7]])*1000,"#,##0")</f>
        <v>15,272</v>
      </c>
      <c r="R503" s="12" t="str">
        <f>TEXT(VALUE(Table1[[#This Row],[Content.Column8]])*1000,"#,##0")</f>
        <v>4,189</v>
      </c>
      <c r="S503" s="12" t="str">
        <f>TEXT(VALUE(Table1[[#This Row],[Content.Column9]])*1000,"#,##0")</f>
        <v>19,462</v>
      </c>
      <c r="T503" s="12" t="str">
        <f>TEXT(VALUE(Table1[[#This Row],[Content.Column10]])*1000,"#,##0")</f>
        <v>19,493</v>
      </c>
      <c r="U503" s="13" t="str">
        <f>TEXT(VALUE(Table1[[#This Row],[Content.Column11]])*1000,"#,##0")</f>
        <v>89,304</v>
      </c>
      <c r="V503" s="13" t="str">
        <f>TEXT(VALUE(Table1[[#This Row],[Content.Column12]])*1000,"#,##0")</f>
        <v>30,290</v>
      </c>
      <c r="W503" s="13" t="str">
        <f>TEXT(VALUE(Table1[[#This Row],[Content.Column13]])*1000,"#,##0")</f>
        <v>119,595</v>
      </c>
      <c r="X503" s="13" t="str">
        <f>TEXT(VALUE(Table1[[#This Row],[Content.Column14]])*1000,"#,##0")</f>
        <v>122,393</v>
      </c>
      <c r="Y503" s="14" t="str">
        <f>TEXT(VALUE(Table1[[#This Row],[Content.Column3]])*1000,"#,##0")</f>
        <v>104,577</v>
      </c>
      <c r="Z503" s="14" t="str">
        <f>TEXT(VALUE(Table1[[#This Row],[Content.Column4]])*1000,"#,##0")</f>
        <v>34,479</v>
      </c>
      <c r="AA503" s="14" t="str">
        <f>TEXT(VALUE(Table1[[#This Row],[Content.Column5]])*1000,"#,##0")</f>
        <v>139,056</v>
      </c>
      <c r="AB503" s="14" t="str">
        <f>TEXT(VALUE(Table1[[#This Row],[Content.Column6]])*1000,"#,##0")</f>
        <v>141,886</v>
      </c>
    </row>
    <row r="504" spans="1:28" x14ac:dyDescent="0.3">
      <c r="A504" t="s">
        <v>66</v>
      </c>
      <c r="B504" t="s">
        <v>67</v>
      </c>
      <c r="C504" s="6">
        <v>48.521999999999998</v>
      </c>
      <c r="D504" s="1">
        <v>29.591000000000001</v>
      </c>
      <c r="E504" s="1">
        <v>78.113</v>
      </c>
      <c r="F504" s="1">
        <v>79.308999999999997</v>
      </c>
      <c r="G504" s="2">
        <v>6.61</v>
      </c>
      <c r="H504" s="2">
        <v>4.3179999999999996</v>
      </c>
      <c r="I504" s="2">
        <v>10.927</v>
      </c>
      <c r="J504" s="2">
        <v>10.94</v>
      </c>
      <c r="K504" s="3">
        <v>41.911999999999999</v>
      </c>
      <c r="L504" s="3">
        <v>25.274000000000001</v>
      </c>
      <c r="M504" s="3">
        <v>67.186000000000007</v>
      </c>
      <c r="N504" s="3">
        <v>68.369</v>
      </c>
      <c r="O504">
        <v>2019</v>
      </c>
      <c r="Q504" s="12" t="str">
        <f>TEXT(VALUE(Table1[[#This Row],[Content.Column7]])*1000,"#,##0")</f>
        <v>6,610</v>
      </c>
      <c r="R504" s="12" t="str">
        <f>TEXT(VALUE(Table1[[#This Row],[Content.Column8]])*1000,"#,##0")</f>
        <v>4,318</v>
      </c>
      <c r="S504" s="12" t="str">
        <f>TEXT(VALUE(Table1[[#This Row],[Content.Column9]])*1000,"#,##0")</f>
        <v>10,927</v>
      </c>
      <c r="T504" s="12" t="str">
        <f>TEXT(VALUE(Table1[[#This Row],[Content.Column10]])*1000,"#,##0")</f>
        <v>10,940</v>
      </c>
      <c r="U504" s="13" t="str">
        <f>TEXT(VALUE(Table1[[#This Row],[Content.Column11]])*1000,"#,##0")</f>
        <v>41,912</v>
      </c>
      <c r="V504" s="13" t="str">
        <f>TEXT(VALUE(Table1[[#This Row],[Content.Column12]])*1000,"#,##0")</f>
        <v>25,274</v>
      </c>
      <c r="W504" s="13" t="str">
        <f>TEXT(VALUE(Table1[[#This Row],[Content.Column13]])*1000,"#,##0")</f>
        <v>67,186</v>
      </c>
      <c r="X504" s="13" t="str">
        <f>TEXT(VALUE(Table1[[#This Row],[Content.Column14]])*1000,"#,##0")</f>
        <v>68,369</v>
      </c>
      <c r="Y504" s="14" t="str">
        <f>TEXT(VALUE(Table1[[#This Row],[Content.Column3]])*1000,"#,##0")</f>
        <v>48,522</v>
      </c>
      <c r="Z504" s="14" t="str">
        <f>TEXT(VALUE(Table1[[#This Row],[Content.Column4]])*1000,"#,##0")</f>
        <v>29,591</v>
      </c>
      <c r="AA504" s="14" t="str">
        <f>TEXT(VALUE(Table1[[#This Row],[Content.Column5]])*1000,"#,##0")</f>
        <v>78,113</v>
      </c>
      <c r="AB504" s="14" t="str">
        <f>TEXT(VALUE(Table1[[#This Row],[Content.Column6]])*1000,"#,##0")</f>
        <v>79,309</v>
      </c>
    </row>
    <row r="505" spans="1:28" x14ac:dyDescent="0.3">
      <c r="A505" t="s">
        <v>68</v>
      </c>
      <c r="B505" t="s">
        <v>69</v>
      </c>
      <c r="C505" s="6">
        <v>108.369</v>
      </c>
      <c r="D505" s="1">
        <v>42.744999999999997</v>
      </c>
      <c r="E505" s="1">
        <v>151.114</v>
      </c>
      <c r="F505" s="1">
        <v>153.381</v>
      </c>
      <c r="G505" s="2">
        <v>29.291</v>
      </c>
      <c r="H505" s="2">
        <v>8.7539999999999996</v>
      </c>
      <c r="I505" s="2">
        <v>38.043999999999997</v>
      </c>
      <c r="J505" s="2">
        <v>38.072000000000003</v>
      </c>
      <c r="K505" s="3">
        <v>79.078000000000003</v>
      </c>
      <c r="L505" s="3">
        <v>33.991</v>
      </c>
      <c r="M505" s="3">
        <v>113.07</v>
      </c>
      <c r="N505" s="3">
        <v>115.309</v>
      </c>
      <c r="O505">
        <v>2019</v>
      </c>
      <c r="Q505" s="12" t="str">
        <f>TEXT(VALUE(Table1[[#This Row],[Content.Column7]])*1000,"#,##0")</f>
        <v>29,291</v>
      </c>
      <c r="R505" s="12" t="str">
        <f>TEXT(VALUE(Table1[[#This Row],[Content.Column8]])*1000,"#,##0")</f>
        <v>8,754</v>
      </c>
      <c r="S505" s="12" t="str">
        <f>TEXT(VALUE(Table1[[#This Row],[Content.Column9]])*1000,"#,##0")</f>
        <v>38,044</v>
      </c>
      <c r="T505" s="12" t="str">
        <f>TEXT(VALUE(Table1[[#This Row],[Content.Column10]])*1000,"#,##0")</f>
        <v>38,072</v>
      </c>
      <c r="U505" s="13" t="str">
        <f>TEXT(VALUE(Table1[[#This Row],[Content.Column11]])*1000,"#,##0")</f>
        <v>79,078</v>
      </c>
      <c r="V505" s="13" t="str">
        <f>TEXT(VALUE(Table1[[#This Row],[Content.Column12]])*1000,"#,##0")</f>
        <v>33,991</v>
      </c>
      <c r="W505" s="13" t="str">
        <f>TEXT(VALUE(Table1[[#This Row],[Content.Column13]])*1000,"#,##0")</f>
        <v>113,070</v>
      </c>
      <c r="X505" s="13" t="str">
        <f>TEXT(VALUE(Table1[[#This Row],[Content.Column14]])*1000,"#,##0")</f>
        <v>115,309</v>
      </c>
      <c r="Y505" s="14" t="str">
        <f>TEXT(VALUE(Table1[[#This Row],[Content.Column3]])*1000,"#,##0")</f>
        <v>108,369</v>
      </c>
      <c r="Z505" s="14" t="str">
        <f>TEXT(VALUE(Table1[[#This Row],[Content.Column4]])*1000,"#,##0")</f>
        <v>42,745</v>
      </c>
      <c r="AA505" s="14" t="str">
        <f>TEXT(VALUE(Table1[[#This Row],[Content.Column5]])*1000,"#,##0")</f>
        <v>151,114</v>
      </c>
      <c r="AB505" s="14" t="str">
        <f>TEXT(VALUE(Table1[[#This Row],[Content.Column6]])*1000,"#,##0")</f>
        <v>153,381</v>
      </c>
    </row>
    <row r="506" spans="1:28" x14ac:dyDescent="0.3">
      <c r="A506" t="s">
        <v>70</v>
      </c>
      <c r="B506" t="s">
        <v>71</v>
      </c>
      <c r="C506" s="6">
        <v>41.116</v>
      </c>
      <c r="D506" s="1">
        <v>24.957999999999998</v>
      </c>
      <c r="E506" s="1">
        <v>66.073999999999998</v>
      </c>
      <c r="F506" s="1">
        <v>67.548000000000002</v>
      </c>
      <c r="G506" s="2">
        <v>9.7210000000000001</v>
      </c>
      <c r="H506" s="2">
        <v>5.8070000000000004</v>
      </c>
      <c r="I506" s="2">
        <v>15.526999999999999</v>
      </c>
      <c r="J506" s="2">
        <v>15.545999999999999</v>
      </c>
      <c r="K506" s="3">
        <v>31.395</v>
      </c>
      <c r="L506" s="3">
        <v>19.151</v>
      </c>
      <c r="M506" s="3">
        <v>50.546999999999997</v>
      </c>
      <c r="N506" s="3">
        <v>52.002000000000002</v>
      </c>
      <c r="O506">
        <v>2019</v>
      </c>
      <c r="Q506" s="12" t="str">
        <f>TEXT(VALUE(Table1[[#This Row],[Content.Column7]])*1000,"#,##0")</f>
        <v>9,721</v>
      </c>
      <c r="R506" s="12" t="str">
        <f>TEXT(VALUE(Table1[[#This Row],[Content.Column8]])*1000,"#,##0")</f>
        <v>5,807</v>
      </c>
      <c r="S506" s="12" t="str">
        <f>TEXT(VALUE(Table1[[#This Row],[Content.Column9]])*1000,"#,##0")</f>
        <v>15,527</v>
      </c>
      <c r="T506" s="12" t="str">
        <f>TEXT(VALUE(Table1[[#This Row],[Content.Column10]])*1000,"#,##0")</f>
        <v>15,546</v>
      </c>
      <c r="U506" s="13" t="str">
        <f>TEXT(VALUE(Table1[[#This Row],[Content.Column11]])*1000,"#,##0")</f>
        <v>31,395</v>
      </c>
      <c r="V506" s="13" t="str">
        <f>TEXT(VALUE(Table1[[#This Row],[Content.Column12]])*1000,"#,##0")</f>
        <v>19,151</v>
      </c>
      <c r="W506" s="13" t="str">
        <f>TEXT(VALUE(Table1[[#This Row],[Content.Column13]])*1000,"#,##0")</f>
        <v>50,547</v>
      </c>
      <c r="X506" s="13" t="str">
        <f>TEXT(VALUE(Table1[[#This Row],[Content.Column14]])*1000,"#,##0")</f>
        <v>52,002</v>
      </c>
      <c r="Y506" s="14" t="str">
        <f>TEXT(VALUE(Table1[[#This Row],[Content.Column3]])*1000,"#,##0")</f>
        <v>41,116</v>
      </c>
      <c r="Z506" s="14" t="str">
        <f>TEXT(VALUE(Table1[[#This Row],[Content.Column4]])*1000,"#,##0")</f>
        <v>24,958</v>
      </c>
      <c r="AA506" s="14" t="str">
        <f>TEXT(VALUE(Table1[[#This Row],[Content.Column5]])*1000,"#,##0")</f>
        <v>66,074</v>
      </c>
      <c r="AB506" s="14" t="str">
        <f>TEXT(VALUE(Table1[[#This Row],[Content.Column6]])*1000,"#,##0")</f>
        <v>67,548</v>
      </c>
    </row>
    <row r="507" spans="1:28" x14ac:dyDescent="0.3">
      <c r="A507" t="s">
        <v>72</v>
      </c>
      <c r="B507" t="s">
        <v>73</v>
      </c>
      <c r="C507" s="6">
        <v>55.026000000000003</v>
      </c>
      <c r="D507" s="1">
        <v>25.513000000000002</v>
      </c>
      <c r="E507" s="1">
        <v>80.539000000000001</v>
      </c>
      <c r="F507" s="1">
        <v>81.926000000000002</v>
      </c>
      <c r="G507" s="2">
        <v>5.6079999999999997</v>
      </c>
      <c r="H507" s="2">
        <v>2.484</v>
      </c>
      <c r="I507" s="2">
        <v>8.0920000000000005</v>
      </c>
      <c r="J507" s="2">
        <v>8.1039999999999992</v>
      </c>
      <c r="K507" s="3">
        <v>49.417999999999999</v>
      </c>
      <c r="L507" s="3">
        <v>23.029</v>
      </c>
      <c r="M507" s="3">
        <v>72.447000000000003</v>
      </c>
      <c r="N507" s="3">
        <v>73.822000000000003</v>
      </c>
      <c r="O507">
        <v>2019</v>
      </c>
      <c r="Q507" s="12" t="str">
        <f>TEXT(VALUE(Table1[[#This Row],[Content.Column7]])*1000,"#,##0")</f>
        <v>5,608</v>
      </c>
      <c r="R507" s="12" t="str">
        <f>TEXT(VALUE(Table1[[#This Row],[Content.Column8]])*1000,"#,##0")</f>
        <v>2,484</v>
      </c>
      <c r="S507" s="12" t="str">
        <f>TEXT(VALUE(Table1[[#This Row],[Content.Column9]])*1000,"#,##0")</f>
        <v>8,092</v>
      </c>
      <c r="T507" s="12" t="str">
        <f>TEXT(VALUE(Table1[[#This Row],[Content.Column10]])*1000,"#,##0")</f>
        <v>8,104</v>
      </c>
      <c r="U507" s="13" t="str">
        <f>TEXT(VALUE(Table1[[#This Row],[Content.Column11]])*1000,"#,##0")</f>
        <v>49,418</v>
      </c>
      <c r="V507" s="13" t="str">
        <f>TEXT(VALUE(Table1[[#This Row],[Content.Column12]])*1000,"#,##0")</f>
        <v>23,029</v>
      </c>
      <c r="W507" s="13" t="str">
        <f>TEXT(VALUE(Table1[[#This Row],[Content.Column13]])*1000,"#,##0")</f>
        <v>72,447</v>
      </c>
      <c r="X507" s="13" t="str">
        <f>TEXT(VALUE(Table1[[#This Row],[Content.Column14]])*1000,"#,##0")</f>
        <v>73,822</v>
      </c>
      <c r="Y507" s="14" t="str">
        <f>TEXT(VALUE(Table1[[#This Row],[Content.Column3]])*1000,"#,##0")</f>
        <v>55,026</v>
      </c>
      <c r="Z507" s="14" t="str">
        <f>TEXT(VALUE(Table1[[#This Row],[Content.Column4]])*1000,"#,##0")</f>
        <v>25,513</v>
      </c>
      <c r="AA507" s="14" t="str">
        <f>TEXT(VALUE(Table1[[#This Row],[Content.Column5]])*1000,"#,##0")</f>
        <v>80,539</v>
      </c>
      <c r="AB507" s="14" t="str">
        <f>TEXT(VALUE(Table1[[#This Row],[Content.Column6]])*1000,"#,##0")</f>
        <v>81,926</v>
      </c>
    </row>
    <row r="508" spans="1:28" x14ac:dyDescent="0.3">
      <c r="A508" t="s">
        <v>74</v>
      </c>
      <c r="B508" t="s">
        <v>75</v>
      </c>
      <c r="C508" s="6">
        <v>76.694000000000003</v>
      </c>
      <c r="D508" s="1">
        <v>35.015999999999998</v>
      </c>
      <c r="E508" s="1">
        <v>111.711</v>
      </c>
      <c r="F508" s="1">
        <v>113.19499999999999</v>
      </c>
      <c r="G508" s="2">
        <v>18.678000000000001</v>
      </c>
      <c r="H508" s="2">
        <v>4.298</v>
      </c>
      <c r="I508" s="2">
        <v>22.975999999999999</v>
      </c>
      <c r="J508" s="2">
        <v>23.024999999999999</v>
      </c>
      <c r="K508" s="3">
        <v>58.015999999999998</v>
      </c>
      <c r="L508" s="3">
        <v>30.718</v>
      </c>
      <c r="M508" s="3">
        <v>88.734999999999999</v>
      </c>
      <c r="N508" s="3">
        <v>90.17</v>
      </c>
      <c r="O508">
        <v>2019</v>
      </c>
      <c r="Q508" s="12" t="str">
        <f>TEXT(VALUE(Table1[[#This Row],[Content.Column7]])*1000,"#,##0")</f>
        <v>18,678</v>
      </c>
      <c r="R508" s="12" t="str">
        <f>TEXT(VALUE(Table1[[#This Row],[Content.Column8]])*1000,"#,##0")</f>
        <v>4,298</v>
      </c>
      <c r="S508" s="12" t="str">
        <f>TEXT(VALUE(Table1[[#This Row],[Content.Column9]])*1000,"#,##0")</f>
        <v>22,976</v>
      </c>
      <c r="T508" s="12" t="str">
        <f>TEXT(VALUE(Table1[[#This Row],[Content.Column10]])*1000,"#,##0")</f>
        <v>23,025</v>
      </c>
      <c r="U508" s="13" t="str">
        <f>TEXT(VALUE(Table1[[#This Row],[Content.Column11]])*1000,"#,##0")</f>
        <v>58,016</v>
      </c>
      <c r="V508" s="13" t="str">
        <f>TEXT(VALUE(Table1[[#This Row],[Content.Column12]])*1000,"#,##0")</f>
        <v>30,718</v>
      </c>
      <c r="W508" s="13" t="str">
        <f>TEXT(VALUE(Table1[[#This Row],[Content.Column13]])*1000,"#,##0")</f>
        <v>88,735</v>
      </c>
      <c r="X508" s="13" t="str">
        <f>TEXT(VALUE(Table1[[#This Row],[Content.Column14]])*1000,"#,##0")</f>
        <v>90,170</v>
      </c>
      <c r="Y508" s="14" t="str">
        <f>TEXT(VALUE(Table1[[#This Row],[Content.Column3]])*1000,"#,##0")</f>
        <v>76,694</v>
      </c>
      <c r="Z508" s="14" t="str">
        <f>TEXT(VALUE(Table1[[#This Row],[Content.Column4]])*1000,"#,##0")</f>
        <v>35,016</v>
      </c>
      <c r="AA508" s="14" t="str">
        <f>TEXT(VALUE(Table1[[#This Row],[Content.Column5]])*1000,"#,##0")</f>
        <v>111,711</v>
      </c>
      <c r="AB508" s="14" t="str">
        <f>TEXT(VALUE(Table1[[#This Row],[Content.Column6]])*1000,"#,##0")</f>
        <v>113,195</v>
      </c>
    </row>
    <row r="509" spans="1:28" x14ac:dyDescent="0.3">
      <c r="A509" t="s">
        <v>76</v>
      </c>
      <c r="B509" t="s">
        <v>77</v>
      </c>
      <c r="C509" s="6">
        <v>52.491</v>
      </c>
      <c r="D509" s="1">
        <v>25.981999999999999</v>
      </c>
      <c r="E509" s="1">
        <v>78.472999999999999</v>
      </c>
      <c r="F509" s="1">
        <v>80.570999999999998</v>
      </c>
      <c r="G509" s="2">
        <v>11.516999999999999</v>
      </c>
      <c r="H509" s="2">
        <v>4.78</v>
      </c>
      <c r="I509" s="2">
        <v>16.297000000000001</v>
      </c>
      <c r="J509" s="2">
        <v>16.306999999999999</v>
      </c>
      <c r="K509" s="3">
        <v>40.975000000000001</v>
      </c>
      <c r="L509" s="3">
        <v>21.202000000000002</v>
      </c>
      <c r="M509" s="3">
        <v>62.177</v>
      </c>
      <c r="N509" s="3">
        <v>64.263999999999996</v>
      </c>
      <c r="O509">
        <v>2019</v>
      </c>
      <c r="Q509" s="12" t="str">
        <f>TEXT(VALUE(Table1[[#This Row],[Content.Column7]])*1000,"#,##0")</f>
        <v>11,517</v>
      </c>
      <c r="R509" s="12" t="str">
        <f>TEXT(VALUE(Table1[[#This Row],[Content.Column8]])*1000,"#,##0")</f>
        <v>4,780</v>
      </c>
      <c r="S509" s="12" t="str">
        <f>TEXT(VALUE(Table1[[#This Row],[Content.Column9]])*1000,"#,##0")</f>
        <v>16,297</v>
      </c>
      <c r="T509" s="12" t="str">
        <f>TEXT(VALUE(Table1[[#This Row],[Content.Column10]])*1000,"#,##0")</f>
        <v>16,307</v>
      </c>
      <c r="U509" s="13" t="str">
        <f>TEXT(VALUE(Table1[[#This Row],[Content.Column11]])*1000,"#,##0")</f>
        <v>40,975</v>
      </c>
      <c r="V509" s="13" t="str">
        <f>TEXT(VALUE(Table1[[#This Row],[Content.Column12]])*1000,"#,##0")</f>
        <v>21,202</v>
      </c>
      <c r="W509" s="13" t="str">
        <f>TEXT(VALUE(Table1[[#This Row],[Content.Column13]])*1000,"#,##0")</f>
        <v>62,177</v>
      </c>
      <c r="X509" s="13" t="str">
        <f>TEXT(VALUE(Table1[[#This Row],[Content.Column14]])*1000,"#,##0")</f>
        <v>64,264</v>
      </c>
      <c r="Y509" s="14" t="str">
        <f>TEXT(VALUE(Table1[[#This Row],[Content.Column3]])*1000,"#,##0")</f>
        <v>52,491</v>
      </c>
      <c r="Z509" s="14" t="str">
        <f>TEXT(VALUE(Table1[[#This Row],[Content.Column4]])*1000,"#,##0")</f>
        <v>25,982</v>
      </c>
      <c r="AA509" s="14" t="str">
        <f>TEXT(VALUE(Table1[[#This Row],[Content.Column5]])*1000,"#,##0")</f>
        <v>78,473</v>
      </c>
      <c r="AB509" s="14" t="str">
        <f>TEXT(VALUE(Table1[[#This Row],[Content.Column6]])*1000,"#,##0")</f>
        <v>80,571</v>
      </c>
    </row>
    <row r="510" spans="1:28" x14ac:dyDescent="0.3">
      <c r="A510" t="s">
        <v>78</v>
      </c>
      <c r="B510" t="s">
        <v>79</v>
      </c>
      <c r="C510" s="6">
        <v>56.201999999999998</v>
      </c>
      <c r="D510" s="1">
        <v>25.779</v>
      </c>
      <c r="E510" s="1">
        <v>81.980999999999995</v>
      </c>
      <c r="F510" s="1">
        <v>83.957999999999998</v>
      </c>
      <c r="G510" s="2">
        <v>6.5940000000000003</v>
      </c>
      <c r="H510" s="2">
        <v>2.9860000000000002</v>
      </c>
      <c r="I510" s="2">
        <v>9.58</v>
      </c>
      <c r="J510" s="2">
        <v>9.5920000000000005</v>
      </c>
      <c r="K510" s="3">
        <v>49.607999999999997</v>
      </c>
      <c r="L510" s="3">
        <v>22.792999999999999</v>
      </c>
      <c r="M510" s="3">
        <v>72.400999999999996</v>
      </c>
      <c r="N510" s="3">
        <v>74.366</v>
      </c>
      <c r="O510">
        <v>2019</v>
      </c>
      <c r="Q510" s="12" t="str">
        <f>TEXT(VALUE(Table1[[#This Row],[Content.Column7]])*1000,"#,##0")</f>
        <v>6,594</v>
      </c>
      <c r="R510" s="12" t="str">
        <f>TEXT(VALUE(Table1[[#This Row],[Content.Column8]])*1000,"#,##0")</f>
        <v>2,986</v>
      </c>
      <c r="S510" s="12" t="str">
        <f>TEXT(VALUE(Table1[[#This Row],[Content.Column9]])*1000,"#,##0")</f>
        <v>9,580</v>
      </c>
      <c r="T510" s="12" t="str">
        <f>TEXT(VALUE(Table1[[#This Row],[Content.Column10]])*1000,"#,##0")</f>
        <v>9,592</v>
      </c>
      <c r="U510" s="13" t="str">
        <f>TEXT(VALUE(Table1[[#This Row],[Content.Column11]])*1000,"#,##0")</f>
        <v>49,608</v>
      </c>
      <c r="V510" s="13" t="str">
        <f>TEXT(VALUE(Table1[[#This Row],[Content.Column12]])*1000,"#,##0")</f>
        <v>22,793</v>
      </c>
      <c r="W510" s="13" t="str">
        <f>TEXT(VALUE(Table1[[#This Row],[Content.Column13]])*1000,"#,##0")</f>
        <v>72,401</v>
      </c>
      <c r="X510" s="13" t="str">
        <f>TEXT(VALUE(Table1[[#This Row],[Content.Column14]])*1000,"#,##0")</f>
        <v>74,366</v>
      </c>
      <c r="Y510" s="14" t="str">
        <f>TEXT(VALUE(Table1[[#This Row],[Content.Column3]])*1000,"#,##0")</f>
        <v>56,202</v>
      </c>
      <c r="Z510" s="14" t="str">
        <f>TEXT(VALUE(Table1[[#This Row],[Content.Column4]])*1000,"#,##0")</f>
        <v>25,779</v>
      </c>
      <c r="AA510" s="14" t="str">
        <f>TEXT(VALUE(Table1[[#This Row],[Content.Column5]])*1000,"#,##0")</f>
        <v>81,981</v>
      </c>
      <c r="AB510" s="14" t="str">
        <f>TEXT(VALUE(Table1[[#This Row],[Content.Column6]])*1000,"#,##0")</f>
        <v>83,958</v>
      </c>
    </row>
    <row r="511" spans="1:28" x14ac:dyDescent="0.3">
      <c r="A511" t="s">
        <v>80</v>
      </c>
      <c r="B511" t="s">
        <v>81</v>
      </c>
      <c r="C511" s="6">
        <v>195.27</v>
      </c>
      <c r="D511" s="1">
        <v>53.564</v>
      </c>
      <c r="E511" s="1">
        <v>248.834</v>
      </c>
      <c r="F511" s="1">
        <v>253.8</v>
      </c>
      <c r="G511" s="2">
        <v>33.191000000000003</v>
      </c>
      <c r="H511" s="2">
        <v>7.0350000000000001</v>
      </c>
      <c r="I511" s="2">
        <v>40.225999999999999</v>
      </c>
      <c r="J511" s="2">
        <v>40.317999999999998</v>
      </c>
      <c r="K511" s="3">
        <v>162.08000000000001</v>
      </c>
      <c r="L511" s="3">
        <v>46.529000000000003</v>
      </c>
      <c r="M511" s="3">
        <v>208.60900000000001</v>
      </c>
      <c r="N511" s="3">
        <v>213.483</v>
      </c>
      <c r="O511">
        <v>2019</v>
      </c>
      <c r="Q511" s="12" t="str">
        <f>TEXT(VALUE(Table1[[#This Row],[Content.Column7]])*1000,"#,##0")</f>
        <v>33,191</v>
      </c>
      <c r="R511" s="12" t="str">
        <f>TEXT(VALUE(Table1[[#This Row],[Content.Column8]])*1000,"#,##0")</f>
        <v>7,035</v>
      </c>
      <c r="S511" s="12" t="str">
        <f>TEXT(VALUE(Table1[[#This Row],[Content.Column9]])*1000,"#,##0")</f>
        <v>40,226</v>
      </c>
      <c r="T511" s="12" t="str">
        <f>TEXT(VALUE(Table1[[#This Row],[Content.Column10]])*1000,"#,##0")</f>
        <v>40,318</v>
      </c>
      <c r="U511" s="13" t="str">
        <f>TEXT(VALUE(Table1[[#This Row],[Content.Column11]])*1000,"#,##0")</f>
        <v>162,080</v>
      </c>
      <c r="V511" s="13" t="str">
        <f>TEXT(VALUE(Table1[[#This Row],[Content.Column12]])*1000,"#,##0")</f>
        <v>46,529</v>
      </c>
      <c r="W511" s="13" t="str">
        <f>TEXT(VALUE(Table1[[#This Row],[Content.Column13]])*1000,"#,##0")</f>
        <v>208,609</v>
      </c>
      <c r="X511" s="13" t="str">
        <f>TEXT(VALUE(Table1[[#This Row],[Content.Column14]])*1000,"#,##0")</f>
        <v>213,483</v>
      </c>
      <c r="Y511" s="14" t="str">
        <f>TEXT(VALUE(Table1[[#This Row],[Content.Column3]])*1000,"#,##0")</f>
        <v>195,270</v>
      </c>
      <c r="Z511" s="14" t="str">
        <f>TEXT(VALUE(Table1[[#This Row],[Content.Column4]])*1000,"#,##0")</f>
        <v>53,564</v>
      </c>
      <c r="AA511" s="14" t="str">
        <f>TEXT(VALUE(Table1[[#This Row],[Content.Column5]])*1000,"#,##0")</f>
        <v>248,834</v>
      </c>
      <c r="AB511" s="14" t="str">
        <f>TEXT(VALUE(Table1[[#This Row],[Content.Column6]])*1000,"#,##0")</f>
        <v>253,800</v>
      </c>
    </row>
    <row r="512" spans="1:28" x14ac:dyDescent="0.3">
      <c r="A512" t="s">
        <v>82</v>
      </c>
      <c r="B512" t="s">
        <v>83</v>
      </c>
      <c r="C512" s="6">
        <v>44.991</v>
      </c>
      <c r="D512" s="1">
        <v>25.681999999999999</v>
      </c>
      <c r="E512" s="1">
        <v>70.674000000000007</v>
      </c>
      <c r="F512" s="1">
        <v>72.209000000000003</v>
      </c>
      <c r="G512" s="2">
        <v>8.9830000000000005</v>
      </c>
      <c r="H512" s="2">
        <v>5.3109999999999999</v>
      </c>
      <c r="I512" s="2">
        <v>14.294</v>
      </c>
      <c r="J512" s="2">
        <v>14.323</v>
      </c>
      <c r="K512" s="3">
        <v>36.008000000000003</v>
      </c>
      <c r="L512" s="3">
        <v>20.370999999999999</v>
      </c>
      <c r="M512" s="3">
        <v>56.38</v>
      </c>
      <c r="N512" s="3">
        <v>57.886000000000003</v>
      </c>
      <c r="O512">
        <v>2019</v>
      </c>
      <c r="Q512" s="12" t="str">
        <f>TEXT(VALUE(Table1[[#This Row],[Content.Column7]])*1000,"#,##0")</f>
        <v>8,983</v>
      </c>
      <c r="R512" s="12" t="str">
        <f>TEXT(VALUE(Table1[[#This Row],[Content.Column8]])*1000,"#,##0")</f>
        <v>5,311</v>
      </c>
      <c r="S512" s="12" t="str">
        <f>TEXT(VALUE(Table1[[#This Row],[Content.Column9]])*1000,"#,##0")</f>
        <v>14,294</v>
      </c>
      <c r="T512" s="12" t="str">
        <f>TEXT(VALUE(Table1[[#This Row],[Content.Column10]])*1000,"#,##0")</f>
        <v>14,323</v>
      </c>
      <c r="U512" s="13" t="str">
        <f>TEXT(VALUE(Table1[[#This Row],[Content.Column11]])*1000,"#,##0")</f>
        <v>36,008</v>
      </c>
      <c r="V512" s="13" t="str">
        <f>TEXT(VALUE(Table1[[#This Row],[Content.Column12]])*1000,"#,##0")</f>
        <v>20,371</v>
      </c>
      <c r="W512" s="13" t="str">
        <f>TEXT(VALUE(Table1[[#This Row],[Content.Column13]])*1000,"#,##0")</f>
        <v>56,380</v>
      </c>
      <c r="X512" s="13" t="str">
        <f>TEXT(VALUE(Table1[[#This Row],[Content.Column14]])*1000,"#,##0")</f>
        <v>57,886</v>
      </c>
      <c r="Y512" s="14" t="str">
        <f>TEXT(VALUE(Table1[[#This Row],[Content.Column3]])*1000,"#,##0")</f>
        <v>44,991</v>
      </c>
      <c r="Z512" s="14" t="str">
        <f>TEXT(VALUE(Table1[[#This Row],[Content.Column4]])*1000,"#,##0")</f>
        <v>25,682</v>
      </c>
      <c r="AA512" s="14" t="str">
        <f>TEXT(VALUE(Table1[[#This Row],[Content.Column5]])*1000,"#,##0")</f>
        <v>70,674</v>
      </c>
      <c r="AB512" s="14" t="str">
        <f>TEXT(VALUE(Table1[[#This Row],[Content.Column6]])*1000,"#,##0")</f>
        <v>72,209</v>
      </c>
    </row>
    <row r="513" spans="1:28" x14ac:dyDescent="0.3">
      <c r="A513" t="s">
        <v>84</v>
      </c>
      <c r="B513" t="s">
        <v>85</v>
      </c>
      <c r="C513" s="6">
        <v>238.6</v>
      </c>
      <c r="D513" s="1">
        <v>66.099999999999994</v>
      </c>
      <c r="E513" s="1">
        <v>304.7</v>
      </c>
      <c r="F513" s="1">
        <v>309.16899999999998</v>
      </c>
      <c r="G513" s="2">
        <v>34.792999999999999</v>
      </c>
      <c r="H513" s="2">
        <v>18.190000000000001</v>
      </c>
      <c r="I513" s="2">
        <v>52.982999999999997</v>
      </c>
      <c r="J513" s="2">
        <v>53.008000000000003</v>
      </c>
      <c r="K513" s="3">
        <v>203.80699999999999</v>
      </c>
      <c r="L513" s="3">
        <v>47.908999999999999</v>
      </c>
      <c r="M513" s="3">
        <v>251.71700000000001</v>
      </c>
      <c r="N513" s="3">
        <v>256.161</v>
      </c>
      <c r="O513">
        <v>2019</v>
      </c>
      <c r="Q513" s="12" t="str">
        <f>TEXT(VALUE(Table1[[#This Row],[Content.Column7]])*1000,"#,##0")</f>
        <v>34,793</v>
      </c>
      <c r="R513" s="12" t="str">
        <f>TEXT(VALUE(Table1[[#This Row],[Content.Column8]])*1000,"#,##0")</f>
        <v>18,190</v>
      </c>
      <c r="S513" s="12" t="str">
        <f>TEXT(VALUE(Table1[[#This Row],[Content.Column9]])*1000,"#,##0")</f>
        <v>52,983</v>
      </c>
      <c r="T513" s="12" t="str">
        <f>TEXT(VALUE(Table1[[#This Row],[Content.Column10]])*1000,"#,##0")</f>
        <v>53,008</v>
      </c>
      <c r="U513" s="13" t="str">
        <f>TEXT(VALUE(Table1[[#This Row],[Content.Column11]])*1000,"#,##0")</f>
        <v>203,807</v>
      </c>
      <c r="V513" s="13" t="str">
        <f>TEXT(VALUE(Table1[[#This Row],[Content.Column12]])*1000,"#,##0")</f>
        <v>47,909</v>
      </c>
      <c r="W513" s="13" t="str">
        <f>TEXT(VALUE(Table1[[#This Row],[Content.Column13]])*1000,"#,##0")</f>
        <v>251,717</v>
      </c>
      <c r="X513" s="13" t="str">
        <f>TEXT(VALUE(Table1[[#This Row],[Content.Column14]])*1000,"#,##0")</f>
        <v>256,161</v>
      </c>
      <c r="Y513" s="14" t="str">
        <f>TEXT(VALUE(Table1[[#This Row],[Content.Column3]])*1000,"#,##0")</f>
        <v>238,600</v>
      </c>
      <c r="Z513" s="14" t="str">
        <f>TEXT(VALUE(Table1[[#This Row],[Content.Column4]])*1000,"#,##0")</f>
        <v>66,100</v>
      </c>
      <c r="AA513" s="14" t="str">
        <f>TEXT(VALUE(Table1[[#This Row],[Content.Column5]])*1000,"#,##0")</f>
        <v>304,700</v>
      </c>
      <c r="AB513" s="14" t="str">
        <f>TEXT(VALUE(Table1[[#This Row],[Content.Column6]])*1000,"#,##0")</f>
        <v>309,169</v>
      </c>
    </row>
    <row r="514" spans="1:28" x14ac:dyDescent="0.3">
      <c r="A514" t="s">
        <v>86</v>
      </c>
      <c r="B514" t="s">
        <v>87</v>
      </c>
      <c r="C514" s="6">
        <v>50.518999999999998</v>
      </c>
      <c r="D514" s="1">
        <v>22.116</v>
      </c>
      <c r="E514" s="1">
        <v>72.635000000000005</v>
      </c>
      <c r="F514" s="1">
        <v>74.311000000000007</v>
      </c>
      <c r="G514" s="2">
        <v>12.494</v>
      </c>
      <c r="H514" s="2">
        <v>4.468</v>
      </c>
      <c r="I514" s="2">
        <v>16.962</v>
      </c>
      <c r="J514" s="2">
        <v>16.98</v>
      </c>
      <c r="K514" s="3">
        <v>38.024999999999999</v>
      </c>
      <c r="L514" s="3">
        <v>17.648</v>
      </c>
      <c r="M514" s="3">
        <v>55.673000000000002</v>
      </c>
      <c r="N514" s="3">
        <v>57.331000000000003</v>
      </c>
      <c r="O514">
        <v>2019</v>
      </c>
      <c r="Q514" s="12" t="str">
        <f>TEXT(VALUE(Table1[[#This Row],[Content.Column7]])*1000,"#,##0")</f>
        <v>12,494</v>
      </c>
      <c r="R514" s="12" t="str">
        <f>TEXT(VALUE(Table1[[#This Row],[Content.Column8]])*1000,"#,##0")</f>
        <v>4,468</v>
      </c>
      <c r="S514" s="12" t="str">
        <f>TEXT(VALUE(Table1[[#This Row],[Content.Column9]])*1000,"#,##0")</f>
        <v>16,962</v>
      </c>
      <c r="T514" s="12" t="str">
        <f>TEXT(VALUE(Table1[[#This Row],[Content.Column10]])*1000,"#,##0")</f>
        <v>16,980</v>
      </c>
      <c r="U514" s="13" t="str">
        <f>TEXT(VALUE(Table1[[#This Row],[Content.Column11]])*1000,"#,##0")</f>
        <v>38,025</v>
      </c>
      <c r="V514" s="13" t="str">
        <f>TEXT(VALUE(Table1[[#This Row],[Content.Column12]])*1000,"#,##0")</f>
        <v>17,648</v>
      </c>
      <c r="W514" s="13" t="str">
        <f>TEXT(VALUE(Table1[[#This Row],[Content.Column13]])*1000,"#,##0")</f>
        <v>55,673</v>
      </c>
      <c r="X514" s="13" t="str">
        <f>TEXT(VALUE(Table1[[#This Row],[Content.Column14]])*1000,"#,##0")</f>
        <v>57,331</v>
      </c>
      <c r="Y514" s="14" t="str">
        <f>TEXT(VALUE(Table1[[#This Row],[Content.Column3]])*1000,"#,##0")</f>
        <v>50,519</v>
      </c>
      <c r="Z514" s="14" t="str">
        <f>TEXT(VALUE(Table1[[#This Row],[Content.Column4]])*1000,"#,##0")</f>
        <v>22,116</v>
      </c>
      <c r="AA514" s="14" t="str">
        <f>TEXT(VALUE(Table1[[#This Row],[Content.Column5]])*1000,"#,##0")</f>
        <v>72,635</v>
      </c>
      <c r="AB514" s="14" t="str">
        <f>TEXT(VALUE(Table1[[#This Row],[Content.Column6]])*1000,"#,##0")</f>
        <v>74,311</v>
      </c>
    </row>
    <row r="515" spans="1:28" x14ac:dyDescent="0.3">
      <c r="A515" t="s">
        <v>88</v>
      </c>
      <c r="B515" t="s">
        <v>89</v>
      </c>
      <c r="C515" s="6">
        <v>81.584999999999994</v>
      </c>
      <c r="D515" s="1">
        <v>38.256</v>
      </c>
      <c r="E515" s="1">
        <v>119.842</v>
      </c>
      <c r="F515" s="1">
        <v>122.10299999999999</v>
      </c>
      <c r="G515" s="2">
        <v>18.298999999999999</v>
      </c>
      <c r="H515" s="2">
        <v>7.617</v>
      </c>
      <c r="I515" s="2">
        <v>25.914999999999999</v>
      </c>
      <c r="J515" s="2">
        <v>25.933</v>
      </c>
      <c r="K515" s="3">
        <v>63.286999999999999</v>
      </c>
      <c r="L515" s="3">
        <v>30.638999999999999</v>
      </c>
      <c r="M515" s="3">
        <v>93.926000000000002</v>
      </c>
      <c r="N515" s="3">
        <v>96.17</v>
      </c>
      <c r="O515">
        <v>2019</v>
      </c>
      <c r="Q515" s="12" t="str">
        <f>TEXT(VALUE(Table1[[#This Row],[Content.Column7]])*1000,"#,##0")</f>
        <v>18,299</v>
      </c>
      <c r="R515" s="12" t="str">
        <f>TEXT(VALUE(Table1[[#This Row],[Content.Column8]])*1000,"#,##0")</f>
        <v>7,617</v>
      </c>
      <c r="S515" s="12" t="str">
        <f>TEXT(VALUE(Table1[[#This Row],[Content.Column9]])*1000,"#,##0")</f>
        <v>25,915</v>
      </c>
      <c r="T515" s="12" t="str">
        <f>TEXT(VALUE(Table1[[#This Row],[Content.Column10]])*1000,"#,##0")</f>
        <v>25,933</v>
      </c>
      <c r="U515" s="13" t="str">
        <f>TEXT(VALUE(Table1[[#This Row],[Content.Column11]])*1000,"#,##0")</f>
        <v>63,287</v>
      </c>
      <c r="V515" s="13" t="str">
        <f>TEXT(VALUE(Table1[[#This Row],[Content.Column12]])*1000,"#,##0")</f>
        <v>30,639</v>
      </c>
      <c r="W515" s="13" t="str">
        <f>TEXT(VALUE(Table1[[#This Row],[Content.Column13]])*1000,"#,##0")</f>
        <v>93,926</v>
      </c>
      <c r="X515" s="13" t="str">
        <f>TEXT(VALUE(Table1[[#This Row],[Content.Column14]])*1000,"#,##0")</f>
        <v>96,170</v>
      </c>
      <c r="Y515" s="14" t="str">
        <f>TEXT(VALUE(Table1[[#This Row],[Content.Column3]])*1000,"#,##0")</f>
        <v>81,585</v>
      </c>
      <c r="Z515" s="14" t="str">
        <f>TEXT(VALUE(Table1[[#This Row],[Content.Column4]])*1000,"#,##0")</f>
        <v>38,256</v>
      </c>
      <c r="AA515" s="14" t="str">
        <f>TEXT(VALUE(Table1[[#This Row],[Content.Column5]])*1000,"#,##0")</f>
        <v>119,842</v>
      </c>
      <c r="AB515" s="14" t="str">
        <f>TEXT(VALUE(Table1[[#This Row],[Content.Column6]])*1000,"#,##0")</f>
        <v>122,103</v>
      </c>
    </row>
    <row r="516" spans="1:28" x14ac:dyDescent="0.3">
      <c r="A516" t="s">
        <v>90</v>
      </c>
      <c r="B516" t="s">
        <v>91</v>
      </c>
      <c r="C516" s="6">
        <v>579.69299999999998</v>
      </c>
      <c r="D516" s="1">
        <v>157.01499999999999</v>
      </c>
      <c r="E516" s="1">
        <v>736.70799999999997</v>
      </c>
      <c r="F516" s="1">
        <v>756.03099999999995</v>
      </c>
      <c r="G516" s="2">
        <v>92.066999999999993</v>
      </c>
      <c r="H516" s="2">
        <v>11.843</v>
      </c>
      <c r="I516" s="2">
        <v>103.911</v>
      </c>
      <c r="J516" s="2">
        <v>104.7</v>
      </c>
      <c r="K516" s="3">
        <v>487.625</v>
      </c>
      <c r="L516" s="3">
        <v>145.17099999999999</v>
      </c>
      <c r="M516" s="3">
        <v>632.79700000000003</v>
      </c>
      <c r="N516" s="3">
        <v>651.33199999999999</v>
      </c>
      <c r="O516">
        <v>2019</v>
      </c>
      <c r="Q516" s="12" t="str">
        <f>TEXT(VALUE(Table1[[#This Row],[Content.Column7]])*1000,"#,##0")</f>
        <v>92,067</v>
      </c>
      <c r="R516" s="12" t="str">
        <f>TEXT(VALUE(Table1[[#This Row],[Content.Column8]])*1000,"#,##0")</f>
        <v>11,843</v>
      </c>
      <c r="S516" s="12" t="str">
        <f>TEXT(VALUE(Table1[[#This Row],[Content.Column9]])*1000,"#,##0")</f>
        <v>103,911</v>
      </c>
      <c r="T516" s="12" t="str">
        <f>TEXT(VALUE(Table1[[#This Row],[Content.Column10]])*1000,"#,##0")</f>
        <v>104,700</v>
      </c>
      <c r="U516" s="13" t="str">
        <f>TEXT(VALUE(Table1[[#This Row],[Content.Column11]])*1000,"#,##0")</f>
        <v>487,625</v>
      </c>
      <c r="V516" s="13" t="str">
        <f>TEXT(VALUE(Table1[[#This Row],[Content.Column12]])*1000,"#,##0")</f>
        <v>145,171</v>
      </c>
      <c r="W516" s="13" t="str">
        <f>TEXT(VALUE(Table1[[#This Row],[Content.Column13]])*1000,"#,##0")</f>
        <v>632,797</v>
      </c>
      <c r="X516" s="13" t="str">
        <f>TEXT(VALUE(Table1[[#This Row],[Content.Column14]])*1000,"#,##0")</f>
        <v>651,332</v>
      </c>
      <c r="Y516" s="14" t="str">
        <f>TEXT(VALUE(Table1[[#This Row],[Content.Column3]])*1000,"#,##0")</f>
        <v>579,693</v>
      </c>
      <c r="Z516" s="14" t="str">
        <f>TEXT(VALUE(Table1[[#This Row],[Content.Column4]])*1000,"#,##0")</f>
        <v>157,015</v>
      </c>
      <c r="AA516" s="14" t="str">
        <f>TEXT(VALUE(Table1[[#This Row],[Content.Column5]])*1000,"#,##0")</f>
        <v>736,708</v>
      </c>
      <c r="AB516" s="14" t="str">
        <f>TEXT(VALUE(Table1[[#This Row],[Content.Column6]])*1000,"#,##0")</f>
        <v>756,031</v>
      </c>
    </row>
    <row r="517" spans="1:28" x14ac:dyDescent="0.3">
      <c r="A517" t="s">
        <v>92</v>
      </c>
      <c r="B517" t="s">
        <v>93</v>
      </c>
      <c r="C517" s="6">
        <v>2591.877</v>
      </c>
      <c r="D517" s="1">
        <v>749.85299999999995</v>
      </c>
      <c r="E517" s="1">
        <v>3341.732</v>
      </c>
      <c r="F517" s="1">
        <v>3420.8380000000002</v>
      </c>
      <c r="G517" s="2">
        <v>356.971</v>
      </c>
      <c r="H517" s="2">
        <v>95.802000000000007</v>
      </c>
      <c r="I517" s="2">
        <v>452.77199999999999</v>
      </c>
      <c r="J517" s="2">
        <v>454.04500000000002</v>
      </c>
      <c r="K517" s="3">
        <v>2234.9070000000002</v>
      </c>
      <c r="L517" s="3">
        <v>654.05200000000002</v>
      </c>
      <c r="M517" s="3">
        <v>2888.96</v>
      </c>
      <c r="N517" s="3">
        <v>2966.7919999999999</v>
      </c>
      <c r="O517">
        <v>2019</v>
      </c>
      <c r="Q517" s="12" t="str">
        <f>TEXT(VALUE(Table1[[#This Row],[Content.Column7]])*1000,"#,##0")</f>
        <v>356,971</v>
      </c>
      <c r="R517" s="12" t="str">
        <f>TEXT(VALUE(Table1[[#This Row],[Content.Column8]])*1000,"#,##0")</f>
        <v>95,802</v>
      </c>
      <c r="S517" s="12" t="str">
        <f>TEXT(VALUE(Table1[[#This Row],[Content.Column9]])*1000,"#,##0")</f>
        <v>452,772</v>
      </c>
      <c r="T517" s="12" t="str">
        <f>TEXT(VALUE(Table1[[#This Row],[Content.Column10]])*1000,"#,##0")</f>
        <v>454,045</v>
      </c>
      <c r="U517" s="13" t="str">
        <f>TEXT(VALUE(Table1[[#This Row],[Content.Column11]])*1000,"#,##0")</f>
        <v>2,234,907</v>
      </c>
      <c r="V517" s="13" t="str">
        <f>TEXT(VALUE(Table1[[#This Row],[Content.Column12]])*1000,"#,##0")</f>
        <v>654,052</v>
      </c>
      <c r="W517" s="13" t="str">
        <f>TEXT(VALUE(Table1[[#This Row],[Content.Column13]])*1000,"#,##0")</f>
        <v>2,888,960</v>
      </c>
      <c r="X517" s="13" t="str">
        <f>TEXT(VALUE(Table1[[#This Row],[Content.Column14]])*1000,"#,##0")</f>
        <v>2,966,792</v>
      </c>
      <c r="Y517" s="14" t="str">
        <f>TEXT(VALUE(Table1[[#This Row],[Content.Column3]])*1000,"#,##0")</f>
        <v>2,591,877</v>
      </c>
      <c r="Z517" s="14" t="str">
        <f>TEXT(VALUE(Table1[[#This Row],[Content.Column4]])*1000,"#,##0")</f>
        <v>749,853</v>
      </c>
      <c r="AA517" s="14" t="str">
        <f>TEXT(VALUE(Table1[[#This Row],[Content.Column5]])*1000,"#,##0")</f>
        <v>3,341,732</v>
      </c>
      <c r="AB517" s="14" t="str">
        <f>TEXT(VALUE(Table1[[#This Row],[Content.Column6]])*1000,"#,##0")</f>
        <v>3,420,838</v>
      </c>
    </row>
    <row r="518" spans="1:28" x14ac:dyDescent="0.3">
      <c r="A518" t="s">
        <v>94</v>
      </c>
      <c r="B518" t="s">
        <v>95</v>
      </c>
      <c r="C518" s="6">
        <v>1299.7660000000001</v>
      </c>
      <c r="D518" s="1">
        <v>611.505</v>
      </c>
      <c r="E518" s="1">
        <v>1911.2719999999999</v>
      </c>
      <c r="F518" s="1">
        <v>1947.9580000000001</v>
      </c>
      <c r="G518" s="2">
        <v>201.16900000000001</v>
      </c>
      <c r="H518" s="2">
        <v>103.919</v>
      </c>
      <c r="I518" s="2">
        <v>305.089</v>
      </c>
      <c r="J518" s="2">
        <v>305.63600000000002</v>
      </c>
      <c r="K518" s="3">
        <v>1098.597</v>
      </c>
      <c r="L518" s="3">
        <v>507.58600000000001</v>
      </c>
      <c r="M518" s="3">
        <v>1606.184</v>
      </c>
      <c r="N518" s="3">
        <v>1642.3219999999999</v>
      </c>
      <c r="O518">
        <v>2019</v>
      </c>
      <c r="Q518" s="12" t="str">
        <f>TEXT(VALUE(Table1[[#This Row],[Content.Column7]])*1000,"#,##0")</f>
        <v>201,169</v>
      </c>
      <c r="R518" s="12" t="str">
        <f>TEXT(VALUE(Table1[[#This Row],[Content.Column8]])*1000,"#,##0")</f>
        <v>103,919</v>
      </c>
      <c r="S518" s="12" t="str">
        <f>TEXT(VALUE(Table1[[#This Row],[Content.Column9]])*1000,"#,##0")</f>
        <v>305,089</v>
      </c>
      <c r="T518" s="12" t="str">
        <f>TEXT(VALUE(Table1[[#This Row],[Content.Column10]])*1000,"#,##0")</f>
        <v>305,636</v>
      </c>
      <c r="U518" s="13" t="str">
        <f>TEXT(VALUE(Table1[[#This Row],[Content.Column11]])*1000,"#,##0")</f>
        <v>1,098,597</v>
      </c>
      <c r="V518" s="13" t="str">
        <f>TEXT(VALUE(Table1[[#This Row],[Content.Column12]])*1000,"#,##0")</f>
        <v>507,586</v>
      </c>
      <c r="W518" s="13" t="str">
        <f>TEXT(VALUE(Table1[[#This Row],[Content.Column13]])*1000,"#,##0")</f>
        <v>1,606,184</v>
      </c>
      <c r="X518" s="13" t="str">
        <f>TEXT(VALUE(Table1[[#This Row],[Content.Column14]])*1000,"#,##0")</f>
        <v>1,642,322</v>
      </c>
      <c r="Y518" s="14" t="str">
        <f>TEXT(VALUE(Table1[[#This Row],[Content.Column3]])*1000,"#,##0")</f>
        <v>1,299,766</v>
      </c>
      <c r="Z518" s="14" t="str">
        <f>TEXT(VALUE(Table1[[#This Row],[Content.Column4]])*1000,"#,##0")</f>
        <v>611,505</v>
      </c>
      <c r="AA518" s="14" t="str">
        <f>TEXT(VALUE(Table1[[#This Row],[Content.Column5]])*1000,"#,##0")</f>
        <v>1,911,272</v>
      </c>
      <c r="AB518" s="14" t="str">
        <f>TEXT(VALUE(Table1[[#This Row],[Content.Column6]])*1000,"#,##0")</f>
        <v>1,947,958</v>
      </c>
    </row>
    <row r="519" spans="1:28" x14ac:dyDescent="0.3">
      <c r="A519" t="s">
        <v>96</v>
      </c>
      <c r="B519" t="s">
        <v>97</v>
      </c>
      <c r="C519" s="6">
        <v>707.45600000000002</v>
      </c>
      <c r="D519" s="1">
        <v>361.71699999999998</v>
      </c>
      <c r="E519" s="1">
        <v>1069.174</v>
      </c>
      <c r="F519" s="1">
        <v>1101.3710000000001</v>
      </c>
      <c r="G519" s="2">
        <v>145.33600000000001</v>
      </c>
      <c r="H519" s="2">
        <v>82.4</v>
      </c>
      <c r="I519" s="2">
        <v>227.73599999999999</v>
      </c>
      <c r="J519" s="2">
        <v>227.98</v>
      </c>
      <c r="K519" s="3">
        <v>562.12099999999998</v>
      </c>
      <c r="L519" s="3">
        <v>279.31700000000001</v>
      </c>
      <c r="M519" s="3">
        <v>841.43799999999999</v>
      </c>
      <c r="N519" s="3">
        <v>873.39099999999996</v>
      </c>
      <c r="O519">
        <v>2019</v>
      </c>
      <c r="Q519" s="12" t="str">
        <f>TEXT(VALUE(Table1[[#This Row],[Content.Column7]])*1000,"#,##0")</f>
        <v>145,336</v>
      </c>
      <c r="R519" s="12" t="str">
        <f>TEXT(VALUE(Table1[[#This Row],[Content.Column8]])*1000,"#,##0")</f>
        <v>82,400</v>
      </c>
      <c r="S519" s="12" t="str">
        <f>TEXT(VALUE(Table1[[#This Row],[Content.Column9]])*1000,"#,##0")</f>
        <v>227,736</v>
      </c>
      <c r="T519" s="12" t="str">
        <f>TEXT(VALUE(Table1[[#This Row],[Content.Column10]])*1000,"#,##0")</f>
        <v>227,980</v>
      </c>
      <c r="U519" s="13" t="str">
        <f>TEXT(VALUE(Table1[[#This Row],[Content.Column11]])*1000,"#,##0")</f>
        <v>562,121</v>
      </c>
      <c r="V519" s="13" t="str">
        <f>TEXT(VALUE(Table1[[#This Row],[Content.Column12]])*1000,"#,##0")</f>
        <v>279,317</v>
      </c>
      <c r="W519" s="13" t="str">
        <f>TEXT(VALUE(Table1[[#This Row],[Content.Column13]])*1000,"#,##0")</f>
        <v>841,438</v>
      </c>
      <c r="X519" s="13" t="str">
        <f>TEXT(VALUE(Table1[[#This Row],[Content.Column14]])*1000,"#,##0")</f>
        <v>873,391</v>
      </c>
      <c r="Y519" s="14" t="str">
        <f>TEXT(VALUE(Table1[[#This Row],[Content.Column3]])*1000,"#,##0")</f>
        <v>707,456</v>
      </c>
      <c r="Z519" s="14" t="str">
        <f>TEXT(VALUE(Table1[[#This Row],[Content.Column4]])*1000,"#,##0")</f>
        <v>361,717</v>
      </c>
      <c r="AA519" s="14" t="str">
        <f>TEXT(VALUE(Table1[[#This Row],[Content.Column5]])*1000,"#,##0")</f>
        <v>1,069,174</v>
      </c>
      <c r="AB519" s="14" t="str">
        <f>TEXT(VALUE(Table1[[#This Row],[Content.Column6]])*1000,"#,##0")</f>
        <v>1,101,371</v>
      </c>
    </row>
    <row r="520" spans="1:28" x14ac:dyDescent="0.3">
      <c r="A520" t="s">
        <v>98</v>
      </c>
      <c r="B520" t="s">
        <v>99</v>
      </c>
      <c r="C520" s="6">
        <v>2317.67</v>
      </c>
      <c r="D520" s="1">
        <v>1084.8679999999999</v>
      </c>
      <c r="E520" s="1">
        <v>3402.5390000000002</v>
      </c>
      <c r="F520" s="1">
        <v>3498.203</v>
      </c>
      <c r="G520" s="2">
        <v>386.56900000000002</v>
      </c>
      <c r="H520" s="2">
        <v>228.32</v>
      </c>
      <c r="I520" s="2">
        <v>614.88800000000003</v>
      </c>
      <c r="J520" s="2">
        <v>617.39</v>
      </c>
      <c r="K520" s="3">
        <v>1931.1010000000001</v>
      </c>
      <c r="L520" s="3">
        <v>856.548</v>
      </c>
      <c r="M520" s="3">
        <v>2787.65</v>
      </c>
      <c r="N520" s="3">
        <v>2880.8139999999999</v>
      </c>
      <c r="O520">
        <v>2019</v>
      </c>
      <c r="Q520" s="12" t="str">
        <f>TEXT(VALUE(Table1[[#This Row],[Content.Column7]])*1000,"#,##0")</f>
        <v>386,569</v>
      </c>
      <c r="R520" s="12" t="str">
        <f>TEXT(VALUE(Table1[[#This Row],[Content.Column8]])*1000,"#,##0")</f>
        <v>228,320</v>
      </c>
      <c r="S520" s="12" t="str">
        <f>TEXT(VALUE(Table1[[#This Row],[Content.Column9]])*1000,"#,##0")</f>
        <v>614,888</v>
      </c>
      <c r="T520" s="12" t="str">
        <f>TEXT(VALUE(Table1[[#This Row],[Content.Column10]])*1000,"#,##0")</f>
        <v>617,390</v>
      </c>
      <c r="U520" s="13" t="str">
        <f>TEXT(VALUE(Table1[[#This Row],[Content.Column11]])*1000,"#,##0")</f>
        <v>1,931,101</v>
      </c>
      <c r="V520" s="13" t="str">
        <f>TEXT(VALUE(Table1[[#This Row],[Content.Column12]])*1000,"#,##0")</f>
        <v>856,548</v>
      </c>
      <c r="W520" s="13" t="str">
        <f>TEXT(VALUE(Table1[[#This Row],[Content.Column13]])*1000,"#,##0")</f>
        <v>2,787,650</v>
      </c>
      <c r="X520" s="13" t="str">
        <f>TEXT(VALUE(Table1[[#This Row],[Content.Column14]])*1000,"#,##0")</f>
        <v>2,880,814</v>
      </c>
      <c r="Y520" s="14" t="str">
        <f>TEXT(VALUE(Table1[[#This Row],[Content.Column3]])*1000,"#,##0")</f>
        <v>2,317,670</v>
      </c>
      <c r="Z520" s="14" t="str">
        <f>TEXT(VALUE(Table1[[#This Row],[Content.Column4]])*1000,"#,##0")</f>
        <v>1,084,868</v>
      </c>
      <c r="AA520" s="14" t="str">
        <f>TEXT(VALUE(Table1[[#This Row],[Content.Column5]])*1000,"#,##0")</f>
        <v>3,402,539</v>
      </c>
      <c r="AB520" s="14" t="str">
        <f>TEXT(VALUE(Table1[[#This Row],[Content.Column6]])*1000,"#,##0")</f>
        <v>3,498,203</v>
      </c>
    </row>
    <row r="521" spans="1:28" x14ac:dyDescent="0.3">
      <c r="A521" t="s">
        <v>100</v>
      </c>
      <c r="B521" t="s">
        <v>101</v>
      </c>
      <c r="C521" s="6">
        <v>1595.711</v>
      </c>
      <c r="D521" s="1">
        <v>805.34699999999998</v>
      </c>
      <c r="E521" s="1">
        <v>2401.058</v>
      </c>
      <c r="F521" s="1">
        <v>2492.2629999999999</v>
      </c>
      <c r="G521" s="2">
        <v>274.08300000000003</v>
      </c>
      <c r="H521" s="2">
        <v>173.94300000000001</v>
      </c>
      <c r="I521" s="2">
        <v>448.02600000000001</v>
      </c>
      <c r="J521" s="2">
        <v>448.084</v>
      </c>
      <c r="K521" s="3">
        <v>1321.6279999999999</v>
      </c>
      <c r="L521" s="3">
        <v>631.404</v>
      </c>
      <c r="M521" s="3">
        <v>1953.0319999999999</v>
      </c>
      <c r="N521" s="3">
        <v>2044.1790000000001</v>
      </c>
      <c r="O521">
        <v>2019</v>
      </c>
      <c r="Q521" s="12" t="str">
        <f>TEXT(VALUE(Table1[[#This Row],[Content.Column7]])*1000,"#,##0")</f>
        <v>274,083</v>
      </c>
      <c r="R521" s="12" t="str">
        <f>TEXT(VALUE(Table1[[#This Row],[Content.Column8]])*1000,"#,##0")</f>
        <v>173,943</v>
      </c>
      <c r="S521" s="12" t="str">
        <f>TEXT(VALUE(Table1[[#This Row],[Content.Column9]])*1000,"#,##0")</f>
        <v>448,026</v>
      </c>
      <c r="T521" s="12" t="str">
        <f>TEXT(VALUE(Table1[[#This Row],[Content.Column10]])*1000,"#,##0")</f>
        <v>448,084</v>
      </c>
      <c r="U521" s="13" t="str">
        <f>TEXT(VALUE(Table1[[#This Row],[Content.Column11]])*1000,"#,##0")</f>
        <v>1,321,628</v>
      </c>
      <c r="V521" s="13" t="str">
        <f>TEXT(VALUE(Table1[[#This Row],[Content.Column12]])*1000,"#,##0")</f>
        <v>631,404</v>
      </c>
      <c r="W521" s="13" t="str">
        <f>TEXT(VALUE(Table1[[#This Row],[Content.Column13]])*1000,"#,##0")</f>
        <v>1,953,032</v>
      </c>
      <c r="X521" s="13" t="str">
        <f>TEXT(VALUE(Table1[[#This Row],[Content.Column14]])*1000,"#,##0")</f>
        <v>2,044,179</v>
      </c>
      <c r="Y521" s="14" t="str">
        <f>TEXT(VALUE(Table1[[#This Row],[Content.Column3]])*1000,"#,##0")</f>
        <v>1,595,711</v>
      </c>
      <c r="Z521" s="14" t="str">
        <f>TEXT(VALUE(Table1[[#This Row],[Content.Column4]])*1000,"#,##0")</f>
        <v>805,347</v>
      </c>
      <c r="AA521" s="14" t="str">
        <f>TEXT(VALUE(Table1[[#This Row],[Content.Column5]])*1000,"#,##0")</f>
        <v>2,401,058</v>
      </c>
      <c r="AB521" s="14" t="str">
        <f>TEXT(VALUE(Table1[[#This Row],[Content.Column6]])*1000,"#,##0")</f>
        <v>2,492,263</v>
      </c>
    </row>
    <row r="522" spans="1:28" x14ac:dyDescent="0.3">
      <c r="A522" t="s">
        <v>102</v>
      </c>
      <c r="B522" t="s">
        <v>103</v>
      </c>
      <c r="C522" s="6">
        <v>1412.8630000000001</v>
      </c>
      <c r="D522" s="1">
        <v>676.67</v>
      </c>
      <c r="E522" s="1">
        <v>2089.5320000000002</v>
      </c>
      <c r="F522" s="1">
        <v>2168.1590000000001</v>
      </c>
      <c r="G522" s="2">
        <v>197.358</v>
      </c>
      <c r="H522" s="2">
        <v>139.75399999999999</v>
      </c>
      <c r="I522" s="2">
        <v>337.11200000000002</v>
      </c>
      <c r="J522" s="2">
        <v>337.61399999999998</v>
      </c>
      <c r="K522" s="3">
        <v>1215.5050000000001</v>
      </c>
      <c r="L522" s="3">
        <v>536.91499999999996</v>
      </c>
      <c r="M522" s="3">
        <v>1752.42</v>
      </c>
      <c r="N522" s="3">
        <v>1830.5450000000001</v>
      </c>
      <c r="O522">
        <v>2019</v>
      </c>
      <c r="Q522" s="12" t="str">
        <f>TEXT(VALUE(Table1[[#This Row],[Content.Column7]])*1000,"#,##0")</f>
        <v>197,358</v>
      </c>
      <c r="R522" s="12" t="str">
        <f>TEXT(VALUE(Table1[[#This Row],[Content.Column8]])*1000,"#,##0")</f>
        <v>139,754</v>
      </c>
      <c r="S522" s="12" t="str">
        <f>TEXT(VALUE(Table1[[#This Row],[Content.Column9]])*1000,"#,##0")</f>
        <v>337,112</v>
      </c>
      <c r="T522" s="12" t="str">
        <f>TEXT(VALUE(Table1[[#This Row],[Content.Column10]])*1000,"#,##0")</f>
        <v>337,614</v>
      </c>
      <c r="U522" s="13" t="str">
        <f>TEXT(VALUE(Table1[[#This Row],[Content.Column11]])*1000,"#,##0")</f>
        <v>1,215,505</v>
      </c>
      <c r="V522" s="13" t="str">
        <f>TEXT(VALUE(Table1[[#This Row],[Content.Column12]])*1000,"#,##0")</f>
        <v>536,915</v>
      </c>
      <c r="W522" s="13" t="str">
        <f>TEXT(VALUE(Table1[[#This Row],[Content.Column13]])*1000,"#,##0")</f>
        <v>1,752,420</v>
      </c>
      <c r="X522" s="13" t="str">
        <f>TEXT(VALUE(Table1[[#This Row],[Content.Column14]])*1000,"#,##0")</f>
        <v>1,830,545</v>
      </c>
      <c r="Y522" s="14" t="str">
        <f>TEXT(VALUE(Table1[[#This Row],[Content.Column3]])*1000,"#,##0")</f>
        <v>1,412,863</v>
      </c>
      <c r="Z522" s="14" t="str">
        <f>TEXT(VALUE(Table1[[#This Row],[Content.Column4]])*1000,"#,##0")</f>
        <v>676,670</v>
      </c>
      <c r="AA522" s="14" t="str">
        <f>TEXT(VALUE(Table1[[#This Row],[Content.Column5]])*1000,"#,##0")</f>
        <v>2,089,532</v>
      </c>
      <c r="AB522" s="14" t="str">
        <f>TEXT(VALUE(Table1[[#This Row],[Content.Column6]])*1000,"#,##0")</f>
        <v>2,168,159</v>
      </c>
    </row>
    <row r="523" spans="1:28" x14ac:dyDescent="0.3">
      <c r="A523" t="s">
        <v>104</v>
      </c>
      <c r="B523" t="s">
        <v>105</v>
      </c>
      <c r="C523" s="6">
        <v>1729.713</v>
      </c>
      <c r="D523" s="1">
        <v>863.62699999999995</v>
      </c>
      <c r="E523" s="1">
        <v>2593.34</v>
      </c>
      <c r="F523" s="1">
        <v>2676.8049999999998</v>
      </c>
      <c r="G523" s="2">
        <v>263.16500000000002</v>
      </c>
      <c r="H523" s="2">
        <v>165.88300000000001</v>
      </c>
      <c r="I523" s="2">
        <v>429.048</v>
      </c>
      <c r="J523" s="2">
        <v>429.73899999999998</v>
      </c>
      <c r="K523" s="3">
        <v>1466.548</v>
      </c>
      <c r="L523" s="3">
        <v>697.74400000000003</v>
      </c>
      <c r="M523" s="3">
        <v>2164.2919999999999</v>
      </c>
      <c r="N523" s="3">
        <v>2247.0659999999998</v>
      </c>
      <c r="O523">
        <v>2019</v>
      </c>
      <c r="Q523" s="12" t="str">
        <f>TEXT(VALUE(Table1[[#This Row],[Content.Column7]])*1000,"#,##0")</f>
        <v>263,165</v>
      </c>
      <c r="R523" s="12" t="str">
        <f>TEXT(VALUE(Table1[[#This Row],[Content.Column8]])*1000,"#,##0")</f>
        <v>165,883</v>
      </c>
      <c r="S523" s="12" t="str">
        <f>TEXT(VALUE(Table1[[#This Row],[Content.Column9]])*1000,"#,##0")</f>
        <v>429,048</v>
      </c>
      <c r="T523" s="12" t="str">
        <f>TEXT(VALUE(Table1[[#This Row],[Content.Column10]])*1000,"#,##0")</f>
        <v>429,739</v>
      </c>
      <c r="U523" s="13" t="str">
        <f>TEXT(VALUE(Table1[[#This Row],[Content.Column11]])*1000,"#,##0")</f>
        <v>1,466,548</v>
      </c>
      <c r="V523" s="13" t="str">
        <f>TEXT(VALUE(Table1[[#This Row],[Content.Column12]])*1000,"#,##0")</f>
        <v>697,744</v>
      </c>
      <c r="W523" s="13" t="str">
        <f>TEXT(VALUE(Table1[[#This Row],[Content.Column13]])*1000,"#,##0")</f>
        <v>2,164,292</v>
      </c>
      <c r="X523" s="13" t="str">
        <f>TEXT(VALUE(Table1[[#This Row],[Content.Column14]])*1000,"#,##0")</f>
        <v>2,247,066</v>
      </c>
      <c r="Y523" s="14" t="str">
        <f>TEXT(VALUE(Table1[[#This Row],[Content.Column3]])*1000,"#,##0")</f>
        <v>1,729,713</v>
      </c>
      <c r="Z523" s="14" t="str">
        <f>TEXT(VALUE(Table1[[#This Row],[Content.Column4]])*1000,"#,##0")</f>
        <v>863,627</v>
      </c>
      <c r="AA523" s="14" t="str">
        <f>TEXT(VALUE(Table1[[#This Row],[Content.Column5]])*1000,"#,##0")</f>
        <v>2,593,340</v>
      </c>
      <c r="AB523" s="14" t="str">
        <f>TEXT(VALUE(Table1[[#This Row],[Content.Column6]])*1000,"#,##0")</f>
        <v>2,676,805</v>
      </c>
    </row>
    <row r="524" spans="1:28" x14ac:dyDescent="0.3">
      <c r="A524" t="s">
        <v>106</v>
      </c>
      <c r="B524" t="s">
        <v>107</v>
      </c>
      <c r="C524" s="6">
        <v>1830.4690000000001</v>
      </c>
      <c r="D524" s="1">
        <v>954.93700000000001</v>
      </c>
      <c r="E524" s="1">
        <v>2785.4050000000002</v>
      </c>
      <c r="F524" s="1">
        <v>2870.681</v>
      </c>
      <c r="G524" s="2">
        <v>246.108</v>
      </c>
      <c r="H524" s="2">
        <v>187.33799999999999</v>
      </c>
      <c r="I524" s="2">
        <v>433.447</v>
      </c>
      <c r="J524" s="2">
        <v>433.99200000000002</v>
      </c>
      <c r="K524" s="3">
        <v>1584.36</v>
      </c>
      <c r="L524" s="3">
        <v>767.59900000000005</v>
      </c>
      <c r="M524" s="3">
        <v>2351.9580000000001</v>
      </c>
      <c r="N524" s="3">
        <v>2436.6889999999999</v>
      </c>
      <c r="O524">
        <v>2019</v>
      </c>
      <c r="Q524" s="12" t="str">
        <f>TEXT(VALUE(Table1[[#This Row],[Content.Column7]])*1000,"#,##0")</f>
        <v>246,108</v>
      </c>
      <c r="R524" s="12" t="str">
        <f>TEXT(VALUE(Table1[[#This Row],[Content.Column8]])*1000,"#,##0")</f>
        <v>187,338</v>
      </c>
      <c r="S524" s="12" t="str">
        <f>TEXT(VALUE(Table1[[#This Row],[Content.Column9]])*1000,"#,##0")</f>
        <v>433,447</v>
      </c>
      <c r="T524" s="12" t="str">
        <f>TEXT(VALUE(Table1[[#This Row],[Content.Column10]])*1000,"#,##0")</f>
        <v>433,992</v>
      </c>
      <c r="U524" s="13" t="str">
        <f>TEXT(VALUE(Table1[[#This Row],[Content.Column11]])*1000,"#,##0")</f>
        <v>1,584,360</v>
      </c>
      <c r="V524" s="13" t="str">
        <f>TEXT(VALUE(Table1[[#This Row],[Content.Column12]])*1000,"#,##0")</f>
        <v>767,599</v>
      </c>
      <c r="W524" s="13" t="str">
        <f>TEXT(VALUE(Table1[[#This Row],[Content.Column13]])*1000,"#,##0")</f>
        <v>2,351,958</v>
      </c>
      <c r="X524" s="13" t="str">
        <f>TEXT(VALUE(Table1[[#This Row],[Content.Column14]])*1000,"#,##0")</f>
        <v>2,436,689</v>
      </c>
      <c r="Y524" s="14" t="str">
        <f>TEXT(VALUE(Table1[[#This Row],[Content.Column3]])*1000,"#,##0")</f>
        <v>1,830,469</v>
      </c>
      <c r="Z524" s="14" t="str">
        <f>TEXT(VALUE(Table1[[#This Row],[Content.Column4]])*1000,"#,##0")</f>
        <v>954,937</v>
      </c>
      <c r="AA524" s="14" t="str">
        <f>TEXT(VALUE(Table1[[#This Row],[Content.Column5]])*1000,"#,##0")</f>
        <v>2,785,405</v>
      </c>
      <c r="AB524" s="14" t="str">
        <f>TEXT(VALUE(Table1[[#This Row],[Content.Column6]])*1000,"#,##0")</f>
        <v>2,870,681</v>
      </c>
    </row>
    <row r="525" spans="1:28" x14ac:dyDescent="0.3">
      <c r="A525" t="s">
        <v>108</v>
      </c>
      <c r="B525" t="s">
        <v>109</v>
      </c>
      <c r="C525" s="6">
        <v>3891.643</v>
      </c>
      <c r="D525" s="1">
        <v>1361.3589999999999</v>
      </c>
      <c r="E525" s="1">
        <v>5253.0050000000001</v>
      </c>
      <c r="F525" s="1">
        <v>5368.7960000000003</v>
      </c>
      <c r="G525" s="2">
        <v>558.14</v>
      </c>
      <c r="H525" s="2">
        <v>199.721</v>
      </c>
      <c r="I525" s="2">
        <v>757.86099999999999</v>
      </c>
      <c r="J525" s="2">
        <v>759.68100000000004</v>
      </c>
      <c r="K525" s="3">
        <v>3333.5030000000002</v>
      </c>
      <c r="L525" s="3">
        <v>1161.6379999999999</v>
      </c>
      <c r="M525" s="3">
        <v>4495.1440000000002</v>
      </c>
      <c r="N525" s="3">
        <v>4609.1149999999998</v>
      </c>
      <c r="O525">
        <v>2019</v>
      </c>
      <c r="Q525" s="12" t="str">
        <f>TEXT(VALUE(Table1[[#This Row],[Content.Column7]])*1000,"#,##0")</f>
        <v>558,140</v>
      </c>
      <c r="R525" s="12" t="str">
        <f>TEXT(VALUE(Table1[[#This Row],[Content.Column8]])*1000,"#,##0")</f>
        <v>199,721</v>
      </c>
      <c r="S525" s="12" t="str">
        <f>TEXT(VALUE(Table1[[#This Row],[Content.Column9]])*1000,"#,##0")</f>
        <v>757,861</v>
      </c>
      <c r="T525" s="12" t="str">
        <f>TEXT(VALUE(Table1[[#This Row],[Content.Column10]])*1000,"#,##0")</f>
        <v>759,681</v>
      </c>
      <c r="U525" s="13" t="str">
        <f>TEXT(VALUE(Table1[[#This Row],[Content.Column11]])*1000,"#,##0")</f>
        <v>3,333,503</v>
      </c>
      <c r="V525" s="13" t="str">
        <f>TEXT(VALUE(Table1[[#This Row],[Content.Column12]])*1000,"#,##0")</f>
        <v>1,161,638</v>
      </c>
      <c r="W525" s="13" t="str">
        <f>TEXT(VALUE(Table1[[#This Row],[Content.Column13]])*1000,"#,##0")</f>
        <v>4,495,144</v>
      </c>
      <c r="X525" s="13" t="str">
        <f>TEXT(VALUE(Table1[[#This Row],[Content.Column14]])*1000,"#,##0")</f>
        <v>4,609,115</v>
      </c>
      <c r="Y525" s="14" t="str">
        <f>TEXT(VALUE(Table1[[#This Row],[Content.Column3]])*1000,"#,##0")</f>
        <v>3,891,643</v>
      </c>
      <c r="Z525" s="14" t="str">
        <f>TEXT(VALUE(Table1[[#This Row],[Content.Column4]])*1000,"#,##0")</f>
        <v>1,361,359</v>
      </c>
      <c r="AA525" s="14" t="str">
        <f>TEXT(VALUE(Table1[[#This Row],[Content.Column5]])*1000,"#,##0")</f>
        <v>5,253,005</v>
      </c>
      <c r="AB525" s="14" t="str">
        <f>TEXT(VALUE(Table1[[#This Row],[Content.Column6]])*1000,"#,##0")</f>
        <v>5,368,796</v>
      </c>
    </row>
    <row r="526" spans="1:28" x14ac:dyDescent="0.3">
      <c r="A526" t="s">
        <v>110</v>
      </c>
      <c r="B526" t="s">
        <v>111</v>
      </c>
      <c r="C526" s="6">
        <v>2821.875</v>
      </c>
      <c r="D526" s="1">
        <v>1393.922</v>
      </c>
      <c r="E526" s="1">
        <v>4215.7969999999996</v>
      </c>
      <c r="F526" s="1">
        <v>4341.942</v>
      </c>
      <c r="G526" s="2">
        <v>377.92700000000002</v>
      </c>
      <c r="H526" s="2">
        <v>228.935</v>
      </c>
      <c r="I526" s="2">
        <v>606.86300000000006</v>
      </c>
      <c r="J526" s="2">
        <v>608.58399999999995</v>
      </c>
      <c r="K526" s="3">
        <v>2443.9479999999999</v>
      </c>
      <c r="L526" s="3">
        <v>1164.9870000000001</v>
      </c>
      <c r="M526" s="3">
        <v>3608.9340000000002</v>
      </c>
      <c r="N526" s="3">
        <v>3733.357</v>
      </c>
      <c r="O526">
        <v>2019</v>
      </c>
      <c r="Q526" s="12" t="str">
        <f>TEXT(VALUE(Table1[[#This Row],[Content.Column7]])*1000,"#,##0")</f>
        <v>377,927</v>
      </c>
      <c r="R526" s="12" t="str">
        <f>TEXT(VALUE(Table1[[#This Row],[Content.Column8]])*1000,"#,##0")</f>
        <v>228,935</v>
      </c>
      <c r="S526" s="12" t="str">
        <f>TEXT(VALUE(Table1[[#This Row],[Content.Column9]])*1000,"#,##0")</f>
        <v>606,863</v>
      </c>
      <c r="T526" s="12" t="str">
        <f>TEXT(VALUE(Table1[[#This Row],[Content.Column10]])*1000,"#,##0")</f>
        <v>608,584</v>
      </c>
      <c r="U526" s="13" t="str">
        <f>TEXT(VALUE(Table1[[#This Row],[Content.Column11]])*1000,"#,##0")</f>
        <v>2,443,948</v>
      </c>
      <c r="V526" s="13" t="str">
        <f>TEXT(VALUE(Table1[[#This Row],[Content.Column12]])*1000,"#,##0")</f>
        <v>1,164,987</v>
      </c>
      <c r="W526" s="13" t="str">
        <f>TEXT(VALUE(Table1[[#This Row],[Content.Column13]])*1000,"#,##0")</f>
        <v>3,608,934</v>
      </c>
      <c r="X526" s="13" t="str">
        <f>TEXT(VALUE(Table1[[#This Row],[Content.Column14]])*1000,"#,##0")</f>
        <v>3,733,357</v>
      </c>
      <c r="Y526" s="14" t="str">
        <f>TEXT(VALUE(Table1[[#This Row],[Content.Column3]])*1000,"#,##0")</f>
        <v>2,821,875</v>
      </c>
      <c r="Z526" s="14" t="str">
        <f>TEXT(VALUE(Table1[[#This Row],[Content.Column4]])*1000,"#,##0")</f>
        <v>1,393,922</v>
      </c>
      <c r="AA526" s="14" t="str">
        <f>TEXT(VALUE(Table1[[#This Row],[Content.Column5]])*1000,"#,##0")</f>
        <v>4,215,797</v>
      </c>
      <c r="AB526" s="14" t="str">
        <f>TEXT(VALUE(Table1[[#This Row],[Content.Column6]])*1000,"#,##0")</f>
        <v>4,341,942</v>
      </c>
    </row>
    <row r="527" spans="1:28" x14ac:dyDescent="0.3">
      <c r="A527" t="s">
        <v>112</v>
      </c>
      <c r="B527" t="s">
        <v>113</v>
      </c>
      <c r="C527" s="6">
        <v>1601.4929999999999</v>
      </c>
      <c r="D527" s="1">
        <v>896.08399999999995</v>
      </c>
      <c r="E527" s="1">
        <v>2497.5770000000002</v>
      </c>
      <c r="F527" s="1">
        <v>2635.7689999999998</v>
      </c>
      <c r="G527" s="2">
        <v>237.31100000000001</v>
      </c>
      <c r="H527" s="2">
        <v>167.197</v>
      </c>
      <c r="I527" s="2">
        <v>404.50799999999998</v>
      </c>
      <c r="J527" s="2">
        <v>406.16800000000001</v>
      </c>
      <c r="K527" s="3">
        <v>1364.182</v>
      </c>
      <c r="L527" s="3">
        <v>728.88699999999994</v>
      </c>
      <c r="M527" s="3">
        <v>2093.069</v>
      </c>
      <c r="N527" s="3">
        <v>2229.6010000000001</v>
      </c>
      <c r="O527">
        <v>2019</v>
      </c>
      <c r="Q527" s="12" t="str">
        <f>TEXT(VALUE(Table1[[#This Row],[Content.Column7]])*1000,"#,##0")</f>
        <v>237,311</v>
      </c>
      <c r="R527" s="12" t="str">
        <f>TEXT(VALUE(Table1[[#This Row],[Content.Column8]])*1000,"#,##0")</f>
        <v>167,197</v>
      </c>
      <c r="S527" s="12" t="str">
        <f>TEXT(VALUE(Table1[[#This Row],[Content.Column9]])*1000,"#,##0")</f>
        <v>404,508</v>
      </c>
      <c r="T527" s="12" t="str">
        <f>TEXT(VALUE(Table1[[#This Row],[Content.Column10]])*1000,"#,##0")</f>
        <v>406,168</v>
      </c>
      <c r="U527" s="13" t="str">
        <f>TEXT(VALUE(Table1[[#This Row],[Content.Column11]])*1000,"#,##0")</f>
        <v>1,364,182</v>
      </c>
      <c r="V527" s="13" t="str">
        <f>TEXT(VALUE(Table1[[#This Row],[Content.Column12]])*1000,"#,##0")</f>
        <v>728,887</v>
      </c>
      <c r="W527" s="13" t="str">
        <f>TEXT(VALUE(Table1[[#This Row],[Content.Column13]])*1000,"#,##0")</f>
        <v>2,093,069</v>
      </c>
      <c r="X527" s="13" t="str">
        <f>TEXT(VALUE(Table1[[#This Row],[Content.Column14]])*1000,"#,##0")</f>
        <v>2,229,601</v>
      </c>
      <c r="Y527" s="14" t="str">
        <f>TEXT(VALUE(Table1[[#This Row],[Content.Column3]])*1000,"#,##0")</f>
        <v>1,601,493</v>
      </c>
      <c r="Z527" s="14" t="str">
        <f>TEXT(VALUE(Table1[[#This Row],[Content.Column4]])*1000,"#,##0")</f>
        <v>896,084</v>
      </c>
      <c r="AA527" s="14" t="str">
        <f>TEXT(VALUE(Table1[[#This Row],[Content.Column5]])*1000,"#,##0")</f>
        <v>2,497,577</v>
      </c>
      <c r="AB527" s="14" t="str">
        <f>TEXT(VALUE(Table1[[#This Row],[Content.Column6]])*1000,"#,##0")</f>
        <v>2,635,769</v>
      </c>
    </row>
    <row r="528" spans="1:28" x14ac:dyDescent="0.3">
      <c r="A528" t="s">
        <v>114</v>
      </c>
      <c r="B528" t="s">
        <v>115</v>
      </c>
      <c r="C528" s="6">
        <v>826.80899999999997</v>
      </c>
      <c r="D528" s="1">
        <v>441.80900000000003</v>
      </c>
      <c r="E528" s="1">
        <v>1268.6179999999999</v>
      </c>
      <c r="F528" s="1">
        <v>1331.7809999999999</v>
      </c>
      <c r="G528" s="2">
        <v>185.96600000000001</v>
      </c>
      <c r="H528" s="2">
        <v>114.504</v>
      </c>
      <c r="I528" s="2">
        <v>300.47000000000003</v>
      </c>
      <c r="J528" s="2">
        <v>300.601</v>
      </c>
      <c r="K528" s="3">
        <v>640.84299999999996</v>
      </c>
      <c r="L528" s="3">
        <v>327.30500000000001</v>
      </c>
      <c r="M528" s="3">
        <v>968.14800000000002</v>
      </c>
      <c r="N528" s="3">
        <v>1031.18</v>
      </c>
      <c r="O528">
        <v>2019</v>
      </c>
      <c r="Q528" s="12" t="str">
        <f>TEXT(VALUE(Table1[[#This Row],[Content.Column7]])*1000,"#,##0")</f>
        <v>185,966</v>
      </c>
      <c r="R528" s="12" t="str">
        <f>TEXT(VALUE(Table1[[#This Row],[Content.Column8]])*1000,"#,##0")</f>
        <v>114,504</v>
      </c>
      <c r="S528" s="12" t="str">
        <f>TEXT(VALUE(Table1[[#This Row],[Content.Column9]])*1000,"#,##0")</f>
        <v>300,470</v>
      </c>
      <c r="T528" s="12" t="str">
        <f>TEXT(VALUE(Table1[[#This Row],[Content.Column10]])*1000,"#,##0")</f>
        <v>300,601</v>
      </c>
      <c r="U528" s="13" t="str">
        <f>TEXT(VALUE(Table1[[#This Row],[Content.Column11]])*1000,"#,##0")</f>
        <v>640,843</v>
      </c>
      <c r="V528" s="13" t="str">
        <f>TEXT(VALUE(Table1[[#This Row],[Content.Column12]])*1000,"#,##0")</f>
        <v>327,305</v>
      </c>
      <c r="W528" s="13" t="str">
        <f>TEXT(VALUE(Table1[[#This Row],[Content.Column13]])*1000,"#,##0")</f>
        <v>968,148</v>
      </c>
      <c r="X528" s="13" t="str">
        <f>TEXT(VALUE(Table1[[#This Row],[Content.Column14]])*1000,"#,##0")</f>
        <v>1,031,180</v>
      </c>
      <c r="Y528" s="14" t="str">
        <f>TEXT(VALUE(Table1[[#This Row],[Content.Column3]])*1000,"#,##0")</f>
        <v>826,809</v>
      </c>
      <c r="Z528" s="14" t="str">
        <f>TEXT(VALUE(Table1[[#This Row],[Content.Column4]])*1000,"#,##0")</f>
        <v>441,809</v>
      </c>
      <c r="AA528" s="14" t="str">
        <f>TEXT(VALUE(Table1[[#This Row],[Content.Column5]])*1000,"#,##0")</f>
        <v>1,268,618</v>
      </c>
      <c r="AB528" s="14" t="str">
        <f>TEXT(VALUE(Table1[[#This Row],[Content.Column6]])*1000,"#,##0")</f>
        <v>1,331,781</v>
      </c>
    </row>
    <row r="529" spans="1:28" x14ac:dyDescent="0.3">
      <c r="A529" t="s">
        <v>116</v>
      </c>
      <c r="B529" t="s">
        <v>117</v>
      </c>
      <c r="C529" s="6">
        <v>1653.354</v>
      </c>
      <c r="D529" s="1">
        <v>849.59500000000003</v>
      </c>
      <c r="E529" s="1">
        <v>2502.9479999999999</v>
      </c>
      <c r="F529" s="1">
        <v>2601.8000000000002</v>
      </c>
      <c r="G529" s="2">
        <v>356.63299999999998</v>
      </c>
      <c r="H529" s="2">
        <v>224.47499999999999</v>
      </c>
      <c r="I529" s="2">
        <v>581.10799999999995</v>
      </c>
      <c r="J529" s="2">
        <v>581.15099999999995</v>
      </c>
      <c r="K529" s="3">
        <v>1296.72</v>
      </c>
      <c r="L529" s="3">
        <v>625.12</v>
      </c>
      <c r="M529" s="3">
        <v>1921.8409999999999</v>
      </c>
      <c r="N529" s="3">
        <v>2020.6489999999999</v>
      </c>
      <c r="O529">
        <v>2019</v>
      </c>
      <c r="Q529" s="12" t="str">
        <f>TEXT(VALUE(Table1[[#This Row],[Content.Column7]])*1000,"#,##0")</f>
        <v>356,633</v>
      </c>
      <c r="R529" s="12" t="str">
        <f>TEXT(VALUE(Table1[[#This Row],[Content.Column8]])*1000,"#,##0")</f>
        <v>224,475</v>
      </c>
      <c r="S529" s="12" t="str">
        <f>TEXT(VALUE(Table1[[#This Row],[Content.Column9]])*1000,"#,##0")</f>
        <v>581,108</v>
      </c>
      <c r="T529" s="12" t="str">
        <f>TEXT(VALUE(Table1[[#This Row],[Content.Column10]])*1000,"#,##0")</f>
        <v>581,151</v>
      </c>
      <c r="U529" s="13" t="str">
        <f>TEXT(VALUE(Table1[[#This Row],[Content.Column11]])*1000,"#,##0")</f>
        <v>1,296,720</v>
      </c>
      <c r="V529" s="13" t="str">
        <f>TEXT(VALUE(Table1[[#This Row],[Content.Column12]])*1000,"#,##0")</f>
        <v>625,120</v>
      </c>
      <c r="W529" s="13" t="str">
        <f>TEXT(VALUE(Table1[[#This Row],[Content.Column13]])*1000,"#,##0")</f>
        <v>1,921,841</v>
      </c>
      <c r="X529" s="13" t="str">
        <f>TEXT(VALUE(Table1[[#This Row],[Content.Column14]])*1000,"#,##0")</f>
        <v>2,020,649</v>
      </c>
      <c r="Y529" s="14" t="str">
        <f>TEXT(VALUE(Table1[[#This Row],[Content.Column3]])*1000,"#,##0")</f>
        <v>1,653,354</v>
      </c>
      <c r="Z529" s="14" t="str">
        <f>TEXT(VALUE(Table1[[#This Row],[Content.Column4]])*1000,"#,##0")</f>
        <v>849,595</v>
      </c>
      <c r="AA529" s="14" t="str">
        <f>TEXT(VALUE(Table1[[#This Row],[Content.Column5]])*1000,"#,##0")</f>
        <v>2,502,948</v>
      </c>
      <c r="AB529" s="14" t="str">
        <f>TEXT(VALUE(Table1[[#This Row],[Content.Column6]])*1000,"#,##0")</f>
        <v>2,601,800</v>
      </c>
    </row>
    <row r="530" spans="1:28" x14ac:dyDescent="0.3">
      <c r="A530" t="s">
        <v>118</v>
      </c>
      <c r="B530" t="s">
        <v>119</v>
      </c>
      <c r="C530" s="6">
        <v>17908.893</v>
      </c>
      <c r="D530" s="1">
        <v>8398.5319999999992</v>
      </c>
      <c r="E530" s="1">
        <v>26307.425999999999</v>
      </c>
      <c r="F530" s="1">
        <v>27153.99</v>
      </c>
      <c r="G530" s="2">
        <v>2685.9969999999998</v>
      </c>
      <c r="H530" s="2">
        <v>1573.492</v>
      </c>
      <c r="I530" s="2">
        <v>4259.4889999999996</v>
      </c>
      <c r="J530" s="2">
        <v>4269.232</v>
      </c>
      <c r="K530" s="3">
        <v>15222.896000000001</v>
      </c>
      <c r="L530" s="3">
        <v>6825.04</v>
      </c>
      <c r="M530" s="3">
        <v>22047.937000000002</v>
      </c>
      <c r="N530" s="3">
        <v>22884.758000000002</v>
      </c>
      <c r="O530">
        <v>2019</v>
      </c>
      <c r="Q530" s="12" t="str">
        <f>TEXT(VALUE(Table1[[#This Row],[Content.Column7]])*1000,"#,##0")</f>
        <v>2,685,997</v>
      </c>
      <c r="R530" s="12" t="str">
        <f>TEXT(VALUE(Table1[[#This Row],[Content.Column8]])*1000,"#,##0")</f>
        <v>1,573,492</v>
      </c>
      <c r="S530" s="12" t="str">
        <f>TEXT(VALUE(Table1[[#This Row],[Content.Column9]])*1000,"#,##0")</f>
        <v>4,259,489</v>
      </c>
      <c r="T530" s="12" t="str">
        <f>TEXT(VALUE(Table1[[#This Row],[Content.Column10]])*1000,"#,##0")</f>
        <v>4,269,232</v>
      </c>
      <c r="U530" s="13" t="str">
        <f>TEXT(VALUE(Table1[[#This Row],[Content.Column11]])*1000,"#,##0")</f>
        <v>15,222,896</v>
      </c>
      <c r="V530" s="13" t="str">
        <f>TEXT(VALUE(Table1[[#This Row],[Content.Column12]])*1000,"#,##0")</f>
        <v>6,825,040</v>
      </c>
      <c r="W530" s="13" t="str">
        <f>TEXT(VALUE(Table1[[#This Row],[Content.Column13]])*1000,"#,##0")</f>
        <v>22,047,937</v>
      </c>
      <c r="X530" s="13" t="str">
        <f>TEXT(VALUE(Table1[[#This Row],[Content.Column14]])*1000,"#,##0")</f>
        <v>22,884,758</v>
      </c>
      <c r="Y530" s="14" t="str">
        <f>TEXT(VALUE(Table1[[#This Row],[Content.Column3]])*1000,"#,##0")</f>
        <v>17,908,893</v>
      </c>
      <c r="Z530" s="14" t="str">
        <f>TEXT(VALUE(Table1[[#This Row],[Content.Column4]])*1000,"#,##0")</f>
        <v>8,398,532</v>
      </c>
      <c r="AA530" s="14" t="str">
        <f>TEXT(VALUE(Table1[[#This Row],[Content.Column5]])*1000,"#,##0")</f>
        <v>26,307,426</v>
      </c>
      <c r="AB530" s="14" t="str">
        <f>TEXT(VALUE(Table1[[#This Row],[Content.Column6]])*1000,"#,##0")</f>
        <v>27,153,990</v>
      </c>
    </row>
    <row r="531" spans="1:28" x14ac:dyDescent="0.3">
      <c r="A531" t="s">
        <v>120</v>
      </c>
      <c r="B531" t="s">
        <v>121</v>
      </c>
      <c r="C531" s="6">
        <v>20389.056</v>
      </c>
      <c r="D531" s="1">
        <v>9689.9359999999997</v>
      </c>
      <c r="E531" s="1">
        <v>30078.991999999998</v>
      </c>
      <c r="F531" s="1">
        <v>31087.571</v>
      </c>
      <c r="G531" s="2">
        <v>3228.596</v>
      </c>
      <c r="H531" s="2">
        <v>1912.47</v>
      </c>
      <c r="I531" s="2">
        <v>5141.0659999999998</v>
      </c>
      <c r="J531" s="2">
        <v>5150.9840000000004</v>
      </c>
      <c r="K531" s="3">
        <v>17160.46</v>
      </c>
      <c r="L531" s="3">
        <v>7777.4650000000001</v>
      </c>
      <c r="M531" s="3">
        <v>24937.925999999999</v>
      </c>
      <c r="N531" s="3">
        <v>25936.585999999999</v>
      </c>
      <c r="O531">
        <v>2019</v>
      </c>
      <c r="Q531" s="12" t="str">
        <f>TEXT(VALUE(Table1[[#This Row],[Content.Column7]])*1000,"#,##0")</f>
        <v>3,228,596</v>
      </c>
      <c r="R531" s="12" t="str">
        <f>TEXT(VALUE(Table1[[#This Row],[Content.Column8]])*1000,"#,##0")</f>
        <v>1,912,470</v>
      </c>
      <c r="S531" s="12" t="str">
        <f>TEXT(VALUE(Table1[[#This Row],[Content.Column9]])*1000,"#,##0")</f>
        <v>5,141,066</v>
      </c>
      <c r="T531" s="12" t="str">
        <f>TEXT(VALUE(Table1[[#This Row],[Content.Column10]])*1000,"#,##0")</f>
        <v>5,150,984</v>
      </c>
      <c r="U531" s="13" t="str">
        <f>TEXT(VALUE(Table1[[#This Row],[Content.Column11]])*1000,"#,##0")</f>
        <v>17,160,460</v>
      </c>
      <c r="V531" s="13" t="str">
        <f>TEXT(VALUE(Table1[[#This Row],[Content.Column12]])*1000,"#,##0")</f>
        <v>7,777,465</v>
      </c>
      <c r="W531" s="13" t="str">
        <f>TEXT(VALUE(Table1[[#This Row],[Content.Column13]])*1000,"#,##0")</f>
        <v>24,937,926</v>
      </c>
      <c r="X531" s="13" t="str">
        <f>TEXT(VALUE(Table1[[#This Row],[Content.Column14]])*1000,"#,##0")</f>
        <v>25,936,586</v>
      </c>
      <c r="Y531" s="14" t="str">
        <f>TEXT(VALUE(Table1[[#This Row],[Content.Column3]])*1000,"#,##0")</f>
        <v>20,389,056</v>
      </c>
      <c r="Z531" s="14" t="str">
        <f>TEXT(VALUE(Table1[[#This Row],[Content.Column4]])*1000,"#,##0")</f>
        <v>9,689,936</v>
      </c>
      <c r="AA531" s="14" t="str">
        <f>TEXT(VALUE(Table1[[#This Row],[Content.Column5]])*1000,"#,##0")</f>
        <v>30,078,992</v>
      </c>
      <c r="AB531" s="14" t="str">
        <f>TEXT(VALUE(Table1[[#This Row],[Content.Column6]])*1000,"#,##0")</f>
        <v>31,087,571</v>
      </c>
    </row>
    <row r="533" spans="1:28" x14ac:dyDescent="0.3">
      <c r="E533" s="1"/>
      <c r="F533" s="1"/>
      <c r="I533" s="2"/>
      <c r="J533" s="2"/>
      <c r="M533" s="3"/>
      <c r="N533" s="3"/>
    </row>
    <row r="534" spans="1:28" x14ac:dyDescent="0.3">
      <c r="E534" s="1"/>
      <c r="F534" s="1"/>
      <c r="I534" s="2"/>
      <c r="J534" s="2"/>
      <c r="M534" s="3"/>
      <c r="N534" s="3"/>
    </row>
    <row r="535" spans="1:28" ht="16.2" customHeight="1" x14ac:dyDescent="0.3">
      <c r="E535" s="1"/>
      <c r="F535" s="1"/>
      <c r="I535" s="2"/>
      <c r="J535" s="2"/>
      <c r="M535" s="3"/>
      <c r="N535" s="3"/>
    </row>
  </sheetData>
  <phoneticPr fontId="7" type="noConversion"/>
  <pageMargins left="0.70000000000000007" right="0.70000000000000007" top="0.75" bottom="0.75" header="0.30000000000000004" footer="0.30000000000000004"/>
  <pageSetup orientation="portrait" r:id="rId1"/>
  <headerFooter alignWithMargins="0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C7C9-E414-4F95-9494-2C919ED3D24C}">
  <dimension ref="A1:X583"/>
  <sheetViews>
    <sheetView tabSelected="1" topLeftCell="A468" workbookViewId="0">
      <selection activeCell="G540" sqref="G540"/>
    </sheetView>
  </sheetViews>
  <sheetFormatPr defaultRowHeight="14.4" x14ac:dyDescent="0.3"/>
  <cols>
    <col min="2" max="2" width="13.21875" customWidth="1"/>
    <col min="3" max="3" width="10.33203125" customWidth="1"/>
    <col min="4" max="4" width="19" customWidth="1"/>
    <col min="5" max="5" width="11.109375" bestFit="1" customWidth="1"/>
    <col min="6" max="6" width="11.109375" style="34" bestFit="1" customWidth="1"/>
    <col min="7" max="7" width="21.21875" style="34" customWidth="1"/>
    <col min="8" max="8" width="22" style="34" customWidth="1"/>
    <col min="9" max="9" width="22.88671875" style="34" customWidth="1"/>
    <col min="10" max="10" width="21.5546875" style="32" customWidth="1"/>
    <col min="11" max="12" width="22.5546875" style="32" customWidth="1"/>
    <col min="13" max="13" width="23.44140625" style="32" customWidth="1"/>
    <col min="14" max="14" width="19.77734375" style="30" customWidth="1"/>
    <col min="15" max="15" width="19.88671875" style="30" customWidth="1"/>
    <col min="16" max="16" width="18.5546875" style="30" customWidth="1"/>
    <col min="17" max="17" width="12.5546875" style="23" bestFit="1" customWidth="1"/>
    <col min="18" max="19" width="12.5546875" style="25" customWidth="1"/>
    <col min="21" max="21" width="14.109375" customWidth="1"/>
  </cols>
  <sheetData>
    <row r="1" spans="1:24" x14ac:dyDescent="0.3">
      <c r="D1" s="34"/>
      <c r="E1" s="34"/>
      <c r="H1" s="32"/>
      <c r="I1" s="32"/>
      <c r="L1" s="30"/>
      <c r="M1" s="30"/>
      <c r="P1" s="25"/>
      <c r="Q1" s="25"/>
      <c r="R1"/>
      <c r="S1"/>
    </row>
    <row r="2" spans="1:24" x14ac:dyDescent="0.3">
      <c r="D2" s="34"/>
      <c r="E2" s="34"/>
      <c r="H2" s="32"/>
      <c r="I2" s="32"/>
      <c r="L2" s="30"/>
      <c r="M2" s="30"/>
      <c r="P2" s="25"/>
      <c r="Q2" s="25"/>
      <c r="R2"/>
      <c r="S2"/>
    </row>
    <row r="3" spans="1:24" x14ac:dyDescent="0.3">
      <c r="A3" s="15" t="s">
        <v>130</v>
      </c>
      <c r="B3" s="15" t="s">
        <v>20</v>
      </c>
      <c r="C3" s="36" t="s">
        <v>19</v>
      </c>
      <c r="D3" s="35" t="s">
        <v>125</v>
      </c>
      <c r="E3" s="35" t="s">
        <v>126</v>
      </c>
      <c r="F3" s="35" t="s">
        <v>131</v>
      </c>
      <c r="G3" s="35" t="s">
        <v>132</v>
      </c>
      <c r="H3" s="33" t="s">
        <v>127</v>
      </c>
      <c r="I3" s="33" t="s">
        <v>128</v>
      </c>
      <c r="J3" s="33" t="s">
        <v>133</v>
      </c>
      <c r="K3" s="33" t="s">
        <v>134</v>
      </c>
      <c r="L3" s="31" t="s">
        <v>122</v>
      </c>
      <c r="M3" s="31" t="s">
        <v>123</v>
      </c>
      <c r="N3" s="31" t="s">
        <v>135</v>
      </c>
      <c r="O3" s="31" t="s">
        <v>124</v>
      </c>
      <c r="P3" s="26"/>
      <c r="Q3" s="26"/>
      <c r="R3"/>
      <c r="S3"/>
    </row>
    <row r="4" spans="1:24" x14ac:dyDescent="0.3">
      <c r="A4">
        <v>2009</v>
      </c>
      <c r="B4" t="s">
        <v>27</v>
      </c>
      <c r="C4" t="s">
        <v>26</v>
      </c>
      <c r="D4" s="34">
        <f>ROUND(Table1[[#This Row],[Content.Column7]] * 1000, 0)</f>
        <v>16102</v>
      </c>
      <c r="E4" s="34">
        <f>ROUND(Table1[[#This Row],[Content.Column8]] * 1000, 0)</f>
        <v>2203</v>
      </c>
      <c r="F4" s="34">
        <f>ROUND(Table1[[#This Row],[Content.Column9]] * 1000, 0)</f>
        <v>18304</v>
      </c>
      <c r="G4" s="34">
        <f>ROUND(Table1[[#This Row],[Content.Column10]] * 1000, 0)</f>
        <v>18346</v>
      </c>
      <c r="H4" s="32">
        <f>ROUND(Table1[[#This Row],[Content.Column11]] * 1000, 0)</f>
        <v>264922</v>
      </c>
      <c r="I4" s="32">
        <f>ROUND(Table1[[#This Row],[Content.Column12]] * 1000, 0)</f>
        <v>37988</v>
      </c>
      <c r="J4" s="32">
        <f>ROUND(Table1[[#This Row],[Content.Column13]] * 1000, 0)</f>
        <v>302909</v>
      </c>
      <c r="K4" s="32">
        <f>ROUND(Table1[[#This Row],[Content.Column14]] * 1000, 0)</f>
        <v>313519</v>
      </c>
      <c r="L4" s="30">
        <f>ROUND(Table1[[#This Row],[Content.Column3]] * 1000, 0)</f>
        <v>281023</v>
      </c>
      <c r="M4" s="30">
        <f>ROUND(Table1[[#This Row],[Content.Column4]] * 1000, 0)</f>
        <v>40190</v>
      </c>
      <c r="N4" s="30">
        <f>ROUND(Table1[[#This Row],[Content.Column5]] * 1000, 0)</f>
        <v>321214</v>
      </c>
      <c r="O4" s="30">
        <f>ROUND(Table1[[#This Row],[Content.Column6]] * 1000, 0)</f>
        <v>331866</v>
      </c>
      <c r="P4" s="27"/>
      <c r="Q4" s="27"/>
      <c r="R4"/>
      <c r="S4"/>
    </row>
    <row r="5" spans="1:24" x14ac:dyDescent="0.3">
      <c r="A5">
        <v>2009</v>
      </c>
      <c r="B5" t="s">
        <v>29</v>
      </c>
      <c r="C5" t="s">
        <v>28</v>
      </c>
      <c r="D5" s="34">
        <f>ROUND(Table1[[#This Row],[Content.Column7]] * 1000, 0)</f>
        <v>3804</v>
      </c>
      <c r="E5" s="34">
        <f>ROUND(Table1[[#This Row],[Content.Column8]] * 1000, 0)</f>
        <v>5384</v>
      </c>
      <c r="F5" s="34">
        <f>ROUND(Table1[[#This Row],[Content.Column9]] * 1000, 0)</f>
        <v>9187</v>
      </c>
      <c r="G5" s="34">
        <f>ROUND(Table1[[#This Row],[Content.Column10]] * 1000, 0)</f>
        <v>9199</v>
      </c>
      <c r="H5" s="32">
        <f>ROUND(Table1[[#This Row],[Content.Column11]] * 1000, 0)</f>
        <v>25882</v>
      </c>
      <c r="I5" s="32">
        <f>ROUND(Table1[[#This Row],[Content.Column12]] * 1000, 0)</f>
        <v>8130</v>
      </c>
      <c r="J5" s="32">
        <f>ROUND(Table1[[#This Row],[Content.Column13]] * 1000, 0)</f>
        <v>34012</v>
      </c>
      <c r="K5" s="32">
        <f>ROUND(Table1[[#This Row],[Content.Column14]] * 1000, 0)</f>
        <v>35031</v>
      </c>
      <c r="L5" s="30">
        <f>ROUND(Table1[[#This Row],[Content.Column3]] * 1000, 0)</f>
        <v>29685</v>
      </c>
      <c r="M5" s="30">
        <f>ROUND(Table1[[#This Row],[Content.Column4]] * 1000, 0)</f>
        <v>13513</v>
      </c>
      <c r="N5" s="30">
        <f>ROUND(Table1[[#This Row],[Content.Column5]] * 1000, 0)</f>
        <v>43199</v>
      </c>
      <c r="O5" s="30">
        <f>ROUND(Table1[[#This Row],[Content.Column6]] * 1000, 0)</f>
        <v>44230</v>
      </c>
      <c r="P5" s="27"/>
      <c r="Q5" s="27"/>
      <c r="R5"/>
      <c r="S5"/>
    </row>
    <row r="6" spans="1:24" x14ac:dyDescent="0.3">
      <c r="A6">
        <v>2009</v>
      </c>
      <c r="B6" t="s">
        <v>31</v>
      </c>
      <c r="C6" t="s">
        <v>30</v>
      </c>
      <c r="D6" s="34">
        <f>ROUND(Table1[[#This Row],[Content.Column7]] * 1000, 0)</f>
        <v>16146</v>
      </c>
      <c r="E6" s="34">
        <f>ROUND(Table1[[#This Row],[Content.Column8]] * 1000, 0)</f>
        <v>9841</v>
      </c>
      <c r="F6" s="34">
        <f>ROUND(Table1[[#This Row],[Content.Column9]] * 1000, 0)</f>
        <v>25987</v>
      </c>
      <c r="G6" s="34">
        <f>ROUND(Table1[[#This Row],[Content.Column10]] * 1000, 0)</f>
        <v>26081</v>
      </c>
      <c r="H6" s="32">
        <f>ROUND(Table1[[#This Row],[Content.Column11]] * 1000, 0)</f>
        <v>58348</v>
      </c>
      <c r="I6" s="32">
        <f>ROUND(Table1[[#This Row],[Content.Column12]] * 1000, 0)</f>
        <v>28639</v>
      </c>
      <c r="J6" s="32">
        <f>ROUND(Table1[[#This Row],[Content.Column13]] * 1000, 0)</f>
        <v>86987</v>
      </c>
      <c r="K6" s="32">
        <f>ROUND(Table1[[#This Row],[Content.Column14]] * 1000, 0)</f>
        <v>91065</v>
      </c>
      <c r="L6" s="30">
        <f>ROUND(Table1[[#This Row],[Content.Column3]] * 1000, 0)</f>
        <v>74493</v>
      </c>
      <c r="M6" s="30">
        <f>ROUND(Table1[[#This Row],[Content.Column4]] * 1000, 0)</f>
        <v>38481</v>
      </c>
      <c r="N6" s="30">
        <f>ROUND(Table1[[#This Row],[Content.Column5]] * 1000, 0)</f>
        <v>112974</v>
      </c>
      <c r="O6" s="30">
        <f>ROUND(Table1[[#This Row],[Content.Column6]] * 1000, 0)</f>
        <v>117146</v>
      </c>
      <c r="P6" s="27"/>
      <c r="Q6" s="27"/>
      <c r="R6"/>
      <c r="S6"/>
      <c r="W6" s="23"/>
    </row>
    <row r="7" spans="1:24" x14ac:dyDescent="0.3">
      <c r="A7">
        <v>2009</v>
      </c>
      <c r="B7" t="s">
        <v>33</v>
      </c>
      <c r="C7" t="s">
        <v>32</v>
      </c>
      <c r="D7" s="34">
        <f>ROUND(Table1[[#This Row],[Content.Column7]] * 1000, 0)</f>
        <v>7095</v>
      </c>
      <c r="E7" s="34">
        <f>ROUND(Table1[[#This Row],[Content.Column8]] * 1000, 0)</f>
        <v>5665</v>
      </c>
      <c r="F7" s="34">
        <f>ROUND(Table1[[#This Row],[Content.Column9]] * 1000, 0)</f>
        <v>12760</v>
      </c>
      <c r="G7" s="34">
        <f>ROUND(Table1[[#This Row],[Content.Column10]] * 1000, 0)</f>
        <v>12760</v>
      </c>
      <c r="H7" s="32">
        <f>ROUND(Table1[[#This Row],[Content.Column11]] * 1000, 0)</f>
        <v>33952</v>
      </c>
      <c r="I7" s="32">
        <f>ROUND(Table1[[#This Row],[Content.Column12]] * 1000, 0)</f>
        <v>17010</v>
      </c>
      <c r="J7" s="32">
        <f>ROUND(Table1[[#This Row],[Content.Column13]] * 1000, 0)</f>
        <v>50962</v>
      </c>
      <c r="K7" s="32">
        <f>ROUND(Table1[[#This Row],[Content.Column14]] * 1000, 0)</f>
        <v>53306</v>
      </c>
      <c r="L7" s="30">
        <f>ROUND(Table1[[#This Row],[Content.Column3]] * 1000, 0)</f>
        <v>41047</v>
      </c>
      <c r="M7" s="30">
        <f>ROUND(Table1[[#This Row],[Content.Column4]] * 1000, 0)</f>
        <v>22675</v>
      </c>
      <c r="N7" s="30">
        <f>ROUND(Table1[[#This Row],[Content.Column5]] * 1000, 0)</f>
        <v>63722</v>
      </c>
      <c r="O7" s="30">
        <f>ROUND(Table1[[#This Row],[Content.Column6]] * 1000, 0)</f>
        <v>66066</v>
      </c>
      <c r="P7" s="27"/>
      <c r="Q7" s="27"/>
      <c r="R7"/>
      <c r="S7"/>
    </row>
    <row r="8" spans="1:24" x14ac:dyDescent="0.3">
      <c r="A8">
        <v>2009</v>
      </c>
      <c r="B8" t="s">
        <v>35</v>
      </c>
      <c r="C8" t="s">
        <v>34</v>
      </c>
      <c r="D8" s="34">
        <f>ROUND(Table1[[#This Row],[Content.Column7]] * 1000, 0)</f>
        <v>13496</v>
      </c>
      <c r="E8" s="34">
        <f>ROUND(Table1[[#This Row],[Content.Column8]] * 1000, 0)</f>
        <v>4489</v>
      </c>
      <c r="F8" s="34">
        <f>ROUND(Table1[[#This Row],[Content.Column9]] * 1000, 0)</f>
        <v>17985</v>
      </c>
      <c r="G8" s="34">
        <f>ROUND(Table1[[#This Row],[Content.Column10]] * 1000, 0)</f>
        <v>18039</v>
      </c>
      <c r="H8" s="32">
        <f>ROUND(Table1[[#This Row],[Content.Column11]] * 1000, 0)</f>
        <v>53578</v>
      </c>
      <c r="I8" s="32">
        <f>ROUND(Table1[[#This Row],[Content.Column12]] * 1000, 0)</f>
        <v>21173</v>
      </c>
      <c r="J8" s="32">
        <f>ROUND(Table1[[#This Row],[Content.Column13]] * 1000, 0)</f>
        <v>74751</v>
      </c>
      <c r="K8" s="32">
        <f>ROUND(Table1[[#This Row],[Content.Column14]] * 1000, 0)</f>
        <v>77542</v>
      </c>
      <c r="L8" s="30">
        <f>ROUND(Table1[[#This Row],[Content.Column3]] * 1000, 0)</f>
        <v>67074</v>
      </c>
      <c r="M8" s="30">
        <f>ROUND(Table1[[#This Row],[Content.Column4]] * 1000, 0)</f>
        <v>25662</v>
      </c>
      <c r="N8" s="30">
        <f>ROUND(Table1[[#This Row],[Content.Column5]] * 1000, 0)</f>
        <v>92735</v>
      </c>
      <c r="O8" s="30">
        <f>ROUND(Table1[[#This Row],[Content.Column6]] * 1000, 0)</f>
        <v>95581</v>
      </c>
      <c r="P8" s="27"/>
      <c r="Q8" s="27"/>
      <c r="R8"/>
      <c r="S8"/>
      <c r="X8" s="23"/>
    </row>
    <row r="9" spans="1:24" x14ac:dyDescent="0.3">
      <c r="A9">
        <v>2009</v>
      </c>
      <c r="B9" t="s">
        <v>37</v>
      </c>
      <c r="C9" t="s">
        <v>36</v>
      </c>
      <c r="D9" s="34">
        <f>ROUND(Table1[[#This Row],[Content.Column7]] * 1000, 0)</f>
        <v>13690</v>
      </c>
      <c r="E9" s="34">
        <f>ROUND(Table1[[#This Row],[Content.Column8]] * 1000, 0)</f>
        <v>6911</v>
      </c>
      <c r="F9" s="34">
        <f>ROUND(Table1[[#This Row],[Content.Column9]] * 1000, 0)</f>
        <v>20600</v>
      </c>
      <c r="G9" s="34">
        <f>ROUND(Table1[[#This Row],[Content.Column10]] * 1000, 0)</f>
        <v>20652</v>
      </c>
      <c r="H9" s="32">
        <f>ROUND(Table1[[#This Row],[Content.Column11]] * 1000, 0)</f>
        <v>53915</v>
      </c>
      <c r="I9" s="32">
        <f>ROUND(Table1[[#This Row],[Content.Column12]] * 1000, 0)</f>
        <v>28795</v>
      </c>
      <c r="J9" s="32">
        <f>ROUND(Table1[[#This Row],[Content.Column13]] * 1000, 0)</f>
        <v>82711</v>
      </c>
      <c r="K9" s="32">
        <f>ROUND(Table1[[#This Row],[Content.Column14]] * 1000, 0)</f>
        <v>86295</v>
      </c>
      <c r="L9" s="30">
        <f>ROUND(Table1[[#This Row],[Content.Column3]] * 1000, 0)</f>
        <v>67605</v>
      </c>
      <c r="M9" s="30">
        <f>ROUND(Table1[[#This Row],[Content.Column4]] * 1000, 0)</f>
        <v>35706</v>
      </c>
      <c r="N9" s="30">
        <f>ROUND(Table1[[#This Row],[Content.Column5]] * 1000, 0)</f>
        <v>103311</v>
      </c>
      <c r="O9" s="30">
        <f>ROUND(Table1[[#This Row],[Content.Column6]] * 1000, 0)</f>
        <v>106947</v>
      </c>
      <c r="P9" s="27"/>
      <c r="Q9" s="27"/>
      <c r="R9"/>
      <c r="S9"/>
    </row>
    <row r="10" spans="1:24" x14ac:dyDescent="0.3">
      <c r="A10">
        <v>2009</v>
      </c>
      <c r="B10" t="s">
        <v>39</v>
      </c>
      <c r="C10" t="s">
        <v>38</v>
      </c>
      <c r="D10" s="34">
        <f>ROUND(Table1[[#This Row],[Content.Column7]] * 1000, 0)</f>
        <v>30665</v>
      </c>
      <c r="E10" s="34">
        <f>ROUND(Table1[[#This Row],[Content.Column8]] * 1000, 0)</f>
        <v>7937</v>
      </c>
      <c r="F10" s="34">
        <f>ROUND(Table1[[#This Row],[Content.Column9]] * 1000, 0)</f>
        <v>38602</v>
      </c>
      <c r="G10" s="34">
        <f>ROUND(Table1[[#This Row],[Content.Column10]] * 1000, 0)</f>
        <v>38723</v>
      </c>
      <c r="H10" s="32">
        <f>ROUND(Table1[[#This Row],[Content.Column11]] * 1000, 0)</f>
        <v>189266</v>
      </c>
      <c r="I10" s="32">
        <f>ROUND(Table1[[#This Row],[Content.Column12]] * 1000, 0)</f>
        <v>52427</v>
      </c>
      <c r="J10" s="32">
        <f>ROUND(Table1[[#This Row],[Content.Column13]] * 1000, 0)</f>
        <v>241692</v>
      </c>
      <c r="K10" s="32">
        <f>ROUND(Table1[[#This Row],[Content.Column14]] * 1000, 0)</f>
        <v>251697</v>
      </c>
      <c r="L10" s="30">
        <f>ROUND(Table1[[#This Row],[Content.Column3]] * 1000, 0)</f>
        <v>219930</v>
      </c>
      <c r="M10" s="30">
        <f>ROUND(Table1[[#This Row],[Content.Column4]] * 1000, 0)</f>
        <v>60364</v>
      </c>
      <c r="N10" s="30">
        <f>ROUND(Table1[[#This Row],[Content.Column5]] * 1000, 0)</f>
        <v>280294</v>
      </c>
      <c r="O10" s="30">
        <f>ROUND(Table1[[#This Row],[Content.Column6]] * 1000, 0)</f>
        <v>290420</v>
      </c>
      <c r="P10" s="27"/>
      <c r="Q10" s="27"/>
      <c r="R10"/>
      <c r="S10"/>
    </row>
    <row r="11" spans="1:24" ht="15" thickBot="1" x14ac:dyDescent="0.35">
      <c r="A11">
        <v>2009</v>
      </c>
      <c r="B11" t="s">
        <v>41</v>
      </c>
      <c r="C11" t="s">
        <v>40</v>
      </c>
      <c r="D11" s="34">
        <f>ROUND(Table1[[#This Row],[Content.Column7]] * 1000, 0)</f>
        <v>19437</v>
      </c>
      <c r="E11" s="34">
        <f>ROUND(Table1[[#This Row],[Content.Column8]] * 1000, 0)</f>
        <v>8534</v>
      </c>
      <c r="F11" s="34">
        <f>ROUND(Table1[[#This Row],[Content.Column9]] * 1000, 0)</f>
        <v>27971</v>
      </c>
      <c r="G11" s="34">
        <f>ROUND(Table1[[#This Row],[Content.Column10]] * 1000, 0)</f>
        <v>28119</v>
      </c>
      <c r="H11" s="32">
        <f>ROUND(Table1[[#This Row],[Content.Column11]] * 1000, 0)</f>
        <v>62541</v>
      </c>
      <c r="I11" s="32">
        <f>ROUND(Table1[[#This Row],[Content.Column12]] * 1000, 0)</f>
        <v>30298</v>
      </c>
      <c r="J11" s="32">
        <f>ROUND(Table1[[#This Row],[Content.Column13]] * 1000, 0)</f>
        <v>92838</v>
      </c>
      <c r="K11" s="32">
        <f>ROUND(Table1[[#This Row],[Content.Column14]] * 1000, 0)</f>
        <v>96561</v>
      </c>
      <c r="L11" s="30">
        <f>ROUND(Table1[[#This Row],[Content.Column3]] * 1000, 0)</f>
        <v>81978</v>
      </c>
      <c r="M11" s="30">
        <f>ROUND(Table1[[#This Row],[Content.Column4]] * 1000, 0)</f>
        <v>38831</v>
      </c>
      <c r="N11" s="30">
        <f>ROUND(Table1[[#This Row],[Content.Column5]] * 1000, 0)</f>
        <v>120809</v>
      </c>
      <c r="O11" s="30">
        <f>ROUND(Table1[[#This Row],[Content.Column6]] * 1000, 0)</f>
        <v>124679</v>
      </c>
      <c r="P11" s="27"/>
      <c r="Q11" s="27"/>
      <c r="R11"/>
      <c r="S11" s="22" t="s">
        <v>176</v>
      </c>
      <c r="T11" s="22" t="s">
        <v>177</v>
      </c>
      <c r="U11" s="22" t="s">
        <v>178</v>
      </c>
    </row>
    <row r="12" spans="1:24" ht="15" thickBot="1" x14ac:dyDescent="0.35">
      <c r="A12">
        <v>2009</v>
      </c>
      <c r="B12" t="s">
        <v>43</v>
      </c>
      <c r="C12" t="s">
        <v>42</v>
      </c>
      <c r="D12" s="34">
        <f>ROUND(Table1[[#This Row],[Content.Column7]] * 1000, 0)</f>
        <v>12178</v>
      </c>
      <c r="E12" s="34">
        <f>ROUND(Table1[[#This Row],[Content.Column8]] * 1000, 0)</f>
        <v>5616</v>
      </c>
      <c r="F12" s="34">
        <f>ROUND(Table1[[#This Row],[Content.Column9]] * 1000, 0)</f>
        <v>17793</v>
      </c>
      <c r="G12" s="34">
        <f>ROUND(Table1[[#This Row],[Content.Column10]] * 1000, 0)</f>
        <v>17875</v>
      </c>
      <c r="H12" s="32">
        <f>ROUND(Table1[[#This Row],[Content.Column11]] * 1000, 0)</f>
        <v>66090</v>
      </c>
      <c r="I12" s="32">
        <f>ROUND(Table1[[#This Row],[Content.Column12]] * 1000, 0)</f>
        <v>22462</v>
      </c>
      <c r="J12" s="32">
        <f>ROUND(Table1[[#This Row],[Content.Column13]] * 1000, 0)</f>
        <v>88552</v>
      </c>
      <c r="K12" s="32">
        <f>ROUND(Table1[[#This Row],[Content.Column14]] * 1000, 0)</f>
        <v>91671</v>
      </c>
      <c r="L12" s="30">
        <f>ROUND(Table1[[#This Row],[Content.Column3]] * 1000, 0)</f>
        <v>78267</v>
      </c>
      <c r="M12" s="30">
        <f>ROUND(Table1[[#This Row],[Content.Column4]] * 1000, 0)</f>
        <v>28077</v>
      </c>
      <c r="N12" s="30">
        <f>ROUND(Table1[[#This Row],[Content.Column5]] * 1000, 0)</f>
        <v>106345</v>
      </c>
      <c r="O12" s="30">
        <f>ROUND(Table1[[#This Row],[Content.Column6]] * 1000, 0)</f>
        <v>109546</v>
      </c>
      <c r="P12" s="27"/>
      <c r="Q12" s="27"/>
      <c r="R12"/>
      <c r="S12" s="19" t="s">
        <v>125</v>
      </c>
      <c r="T12" s="18" t="str">
        <f>IF(LEFT(S12,6)="Public","Public",IF(LEFT(S12,7)="Private","Private","Total"))</f>
        <v>Public</v>
      </c>
      <c r="U12" t="str">
        <f>IF(ISNUMBER(SEARCH("FT",Table3[[#This Row],[Column name]])),"Full-Time",IF(ISNUMBER(SEARCH("PT",Table3[[#This Row],[Column name]])),"Part-Time","Total"))</f>
        <v>Full-Time</v>
      </c>
    </row>
    <row r="13" spans="1:24" ht="15" thickBot="1" x14ac:dyDescent="0.35">
      <c r="A13">
        <v>2009</v>
      </c>
      <c r="B13" t="s">
        <v>45</v>
      </c>
      <c r="C13" t="s">
        <v>44</v>
      </c>
      <c r="D13" s="34">
        <f>ROUND(Table1[[#This Row],[Content.Column7]] * 1000, 0)</f>
        <v>15205</v>
      </c>
      <c r="E13" s="34">
        <f>ROUND(Table1[[#This Row],[Content.Column8]] * 1000, 0)</f>
        <v>7925</v>
      </c>
      <c r="F13" s="34">
        <f>ROUND(Table1[[#This Row],[Content.Column9]] * 1000, 0)</f>
        <v>23130</v>
      </c>
      <c r="G13" s="34">
        <f>ROUND(Table1[[#This Row],[Content.Column10]] * 1000, 0)</f>
        <v>23176</v>
      </c>
      <c r="H13" s="32">
        <f>ROUND(Table1[[#This Row],[Content.Column11]] * 1000, 0)</f>
        <v>48091</v>
      </c>
      <c r="I13" s="32">
        <f>ROUND(Table1[[#This Row],[Content.Column12]] * 1000, 0)</f>
        <v>21280</v>
      </c>
      <c r="J13" s="32">
        <f>ROUND(Table1[[#This Row],[Content.Column13]] * 1000, 0)</f>
        <v>69371</v>
      </c>
      <c r="K13" s="32">
        <f>ROUND(Table1[[#This Row],[Content.Column14]] * 1000, 0)</f>
        <v>71763</v>
      </c>
      <c r="L13" s="30">
        <f>ROUND(Table1[[#This Row],[Content.Column3]] * 1000, 0)</f>
        <v>63295</v>
      </c>
      <c r="M13" s="30">
        <f>ROUND(Table1[[#This Row],[Content.Column4]] * 1000, 0)</f>
        <v>29205</v>
      </c>
      <c r="N13" s="30">
        <f>ROUND(Table1[[#This Row],[Content.Column5]] * 1000, 0)</f>
        <v>92501</v>
      </c>
      <c r="O13" s="30">
        <f>ROUND(Table1[[#This Row],[Content.Column6]] * 1000, 0)</f>
        <v>94939</v>
      </c>
      <c r="P13" s="27"/>
      <c r="Q13" s="27"/>
      <c r="R13"/>
      <c r="S13" s="19" t="s">
        <v>126</v>
      </c>
      <c r="T13" s="18" t="str">
        <f t="shared" ref="T13:T23" si="0">IF(LEFT(S13,6)="Public","Public",IF(LEFT(S13,7)="Private","Private","Total"))</f>
        <v>Public</v>
      </c>
      <c r="U13" t="str">
        <f>IF(ISNUMBER(SEARCH("FT",Table3[[#This Row],[Column name]])),"Full-Time",IF(ISNUMBER(SEARCH("PT",Table3[[#This Row],[Column name]])),"Part-Time","Total"))</f>
        <v>Part-Time</v>
      </c>
    </row>
    <row r="14" spans="1:24" ht="15" thickBot="1" x14ac:dyDescent="0.35">
      <c r="A14">
        <v>2009</v>
      </c>
      <c r="B14" t="s">
        <v>47</v>
      </c>
      <c r="C14" t="s">
        <v>46</v>
      </c>
      <c r="D14" s="34">
        <f>ROUND(Table1[[#This Row],[Content.Column7]] * 1000, 0)</f>
        <v>13650</v>
      </c>
      <c r="E14" s="34">
        <f>ROUND(Table1[[#This Row],[Content.Column8]] * 1000, 0)</f>
        <v>7076</v>
      </c>
      <c r="F14" s="34">
        <f>ROUND(Table1[[#This Row],[Content.Column9]] * 1000, 0)</f>
        <v>20726</v>
      </c>
      <c r="G14" s="34">
        <f>ROUND(Table1[[#This Row],[Content.Column10]] * 1000, 0)</f>
        <v>20742</v>
      </c>
      <c r="H14" s="32">
        <f>ROUND(Table1[[#This Row],[Content.Column11]] * 1000, 0)</f>
        <v>30675</v>
      </c>
      <c r="I14" s="32">
        <f>ROUND(Table1[[#This Row],[Content.Column12]] * 1000, 0)</f>
        <v>15857</v>
      </c>
      <c r="J14" s="32">
        <f>ROUND(Table1[[#This Row],[Content.Column13]] * 1000, 0)</f>
        <v>46533</v>
      </c>
      <c r="K14" s="32">
        <f>ROUND(Table1[[#This Row],[Content.Column14]] * 1000, 0)</f>
        <v>48461</v>
      </c>
      <c r="L14" s="30">
        <f>ROUND(Table1[[#This Row],[Content.Column3]] * 1000, 0)</f>
        <v>44325</v>
      </c>
      <c r="M14" s="30">
        <f>ROUND(Table1[[#This Row],[Content.Column4]] * 1000, 0)</f>
        <v>22933</v>
      </c>
      <c r="N14" s="30">
        <f>ROUND(Table1[[#This Row],[Content.Column5]] * 1000, 0)</f>
        <v>67258</v>
      </c>
      <c r="O14" s="30">
        <f>ROUND(Table1[[#This Row],[Content.Column6]] * 1000, 0)</f>
        <v>69203</v>
      </c>
      <c r="P14" s="27"/>
      <c r="Q14" s="27"/>
      <c r="R14"/>
      <c r="S14" s="19" t="s">
        <v>131</v>
      </c>
      <c r="T14" s="18" t="str">
        <f t="shared" si="0"/>
        <v>Public</v>
      </c>
      <c r="U14" t="str">
        <f>IF(ISNUMBER(SEARCH("FT",Table3[[#This Row],[Column name]])),"Full-Time",IF(ISNUMBER(SEARCH("PT",Table3[[#This Row],[Column name]])),"Part-Time","Total"))</f>
        <v>Total</v>
      </c>
    </row>
    <row r="15" spans="1:24" ht="15" thickBot="1" x14ac:dyDescent="0.35">
      <c r="A15">
        <v>2009</v>
      </c>
      <c r="B15" t="s">
        <v>49</v>
      </c>
      <c r="C15" t="s">
        <v>48</v>
      </c>
      <c r="D15" s="34">
        <f>ROUND(Table1[[#This Row],[Content.Column7]] * 1000, 0)</f>
        <v>12283</v>
      </c>
      <c r="E15" s="34">
        <f>ROUND(Table1[[#This Row],[Content.Column8]] * 1000, 0)</f>
        <v>5354</v>
      </c>
      <c r="F15" s="34">
        <f>ROUND(Table1[[#This Row],[Content.Column9]] * 1000, 0)</f>
        <v>17637</v>
      </c>
      <c r="G15" s="34">
        <f>ROUND(Table1[[#This Row],[Content.Column10]] * 1000, 0)</f>
        <v>17796</v>
      </c>
      <c r="H15" s="32">
        <f>ROUND(Table1[[#This Row],[Content.Column11]] * 1000, 0)</f>
        <v>48409</v>
      </c>
      <c r="I15" s="32">
        <f>ROUND(Table1[[#This Row],[Content.Column12]] * 1000, 0)</f>
        <v>19609</v>
      </c>
      <c r="J15" s="32">
        <f>ROUND(Table1[[#This Row],[Content.Column13]] * 1000, 0)</f>
        <v>68018</v>
      </c>
      <c r="K15" s="32">
        <f>ROUND(Table1[[#This Row],[Content.Column14]] * 1000, 0)</f>
        <v>70748</v>
      </c>
      <c r="L15" s="30">
        <f>ROUND(Table1[[#This Row],[Content.Column3]] * 1000, 0)</f>
        <v>60692</v>
      </c>
      <c r="M15" s="30">
        <f>ROUND(Table1[[#This Row],[Content.Column4]] * 1000, 0)</f>
        <v>24963</v>
      </c>
      <c r="N15" s="30">
        <f>ROUND(Table1[[#This Row],[Content.Column5]] * 1000, 0)</f>
        <v>85655</v>
      </c>
      <c r="O15" s="30">
        <f>ROUND(Table1[[#This Row],[Content.Column6]] * 1000, 0)</f>
        <v>88544</v>
      </c>
      <c r="P15" s="27"/>
      <c r="Q15" s="27"/>
      <c r="R15"/>
      <c r="S15" s="19" t="s">
        <v>132</v>
      </c>
      <c r="T15" s="18" t="str">
        <f t="shared" si="0"/>
        <v>Public</v>
      </c>
      <c r="U15" t="str">
        <f>IF(ISNUMBER(SEARCH("FT",Table3[[#This Row],[Column name]])),"Full-Time",IF(ISNUMBER(SEARCH("PT",Table3[[#This Row],[Column name]])),"Part-Time","Total"))</f>
        <v>Total</v>
      </c>
    </row>
    <row r="16" spans="1:24" ht="15" thickBot="1" x14ac:dyDescent="0.35">
      <c r="A16">
        <v>2009</v>
      </c>
      <c r="B16" t="s">
        <v>51</v>
      </c>
      <c r="C16" t="s">
        <v>50</v>
      </c>
      <c r="D16" s="34">
        <f>ROUND(Table1[[#This Row],[Content.Column7]] * 1000, 0)</f>
        <v>23615</v>
      </c>
      <c r="E16" s="34">
        <f>ROUND(Table1[[#This Row],[Content.Column8]] * 1000, 0)</f>
        <v>4352</v>
      </c>
      <c r="F16" s="34">
        <f>ROUND(Table1[[#This Row],[Content.Column9]] * 1000, 0)</f>
        <v>27967</v>
      </c>
      <c r="G16" s="34">
        <f>ROUND(Table1[[#This Row],[Content.Column10]] * 1000, 0)</f>
        <v>28137</v>
      </c>
      <c r="H16" s="32">
        <f>ROUND(Table1[[#This Row],[Content.Column11]] * 1000, 0)</f>
        <v>63193</v>
      </c>
      <c r="I16" s="32">
        <f>ROUND(Table1[[#This Row],[Content.Column12]] * 1000, 0)</f>
        <v>26903</v>
      </c>
      <c r="J16" s="32">
        <f>ROUND(Table1[[#This Row],[Content.Column13]] * 1000, 0)</f>
        <v>90096</v>
      </c>
      <c r="K16" s="32">
        <f>ROUND(Table1[[#This Row],[Content.Column14]] * 1000, 0)</f>
        <v>92401</v>
      </c>
      <c r="L16" s="30">
        <f>ROUND(Table1[[#This Row],[Content.Column3]] * 1000, 0)</f>
        <v>86808</v>
      </c>
      <c r="M16" s="30">
        <f>ROUND(Table1[[#This Row],[Content.Column4]] * 1000, 0)</f>
        <v>31255</v>
      </c>
      <c r="N16" s="30">
        <f>ROUND(Table1[[#This Row],[Content.Column5]] * 1000, 0)</f>
        <v>118063</v>
      </c>
      <c r="O16" s="30">
        <f>ROUND(Table1[[#This Row],[Content.Column6]] * 1000, 0)</f>
        <v>120538</v>
      </c>
      <c r="P16" s="27"/>
      <c r="Q16" s="27"/>
      <c r="R16"/>
      <c r="S16" s="20" t="s">
        <v>127</v>
      </c>
      <c r="T16" s="18" t="str">
        <f t="shared" si="0"/>
        <v>Private</v>
      </c>
      <c r="U16" t="str">
        <f>IF(ISNUMBER(SEARCH("FT",Table3[[#This Row],[Column name]])),"Full-Time",IF(ISNUMBER(SEARCH("PT",Table3[[#This Row],[Column name]])),"Part-Time","Total"))</f>
        <v>Full-Time</v>
      </c>
    </row>
    <row r="17" spans="1:21" ht="15" thickBot="1" x14ac:dyDescent="0.35">
      <c r="A17">
        <v>2009</v>
      </c>
      <c r="B17" t="s">
        <v>53</v>
      </c>
      <c r="C17" t="s">
        <v>52</v>
      </c>
      <c r="D17" s="34">
        <f>ROUND(Table1[[#This Row],[Content.Column7]] * 1000, 0)</f>
        <v>8092</v>
      </c>
      <c r="E17" s="34">
        <f>ROUND(Table1[[#This Row],[Content.Column8]] * 1000, 0)</f>
        <v>6844</v>
      </c>
      <c r="F17" s="34">
        <f>ROUND(Table1[[#This Row],[Content.Column9]] * 1000, 0)</f>
        <v>14936</v>
      </c>
      <c r="G17" s="34">
        <f>ROUND(Table1[[#This Row],[Content.Column10]] * 1000, 0)</f>
        <v>15258</v>
      </c>
      <c r="H17" s="32">
        <f>ROUND(Table1[[#This Row],[Content.Column11]] * 1000, 0)</f>
        <v>29702</v>
      </c>
      <c r="I17" s="32">
        <f>ROUND(Table1[[#This Row],[Content.Column12]] * 1000, 0)</f>
        <v>15096</v>
      </c>
      <c r="J17" s="32">
        <f>ROUND(Table1[[#This Row],[Content.Column13]] * 1000, 0)</f>
        <v>44798</v>
      </c>
      <c r="K17" s="32">
        <f>ROUND(Table1[[#This Row],[Content.Column14]] * 1000, 0)</f>
        <v>47135</v>
      </c>
      <c r="L17" s="30">
        <f>ROUND(Table1[[#This Row],[Content.Column3]] * 1000, 0)</f>
        <v>37794</v>
      </c>
      <c r="M17" s="30">
        <f>ROUND(Table1[[#This Row],[Content.Column4]] * 1000, 0)</f>
        <v>21940</v>
      </c>
      <c r="N17" s="30">
        <f>ROUND(Table1[[#This Row],[Content.Column5]] * 1000, 0)</f>
        <v>59734</v>
      </c>
      <c r="O17" s="30">
        <f>ROUND(Table1[[#This Row],[Content.Column6]] * 1000, 0)</f>
        <v>62393</v>
      </c>
      <c r="P17" s="27"/>
      <c r="Q17" s="27"/>
      <c r="R17"/>
      <c r="S17" s="20" t="s">
        <v>128</v>
      </c>
      <c r="T17" s="18" t="str">
        <f t="shared" si="0"/>
        <v>Private</v>
      </c>
      <c r="U17" t="str">
        <f>IF(ISNUMBER(SEARCH("FT",Table3[[#This Row],[Column name]])),"Full-Time",IF(ISNUMBER(SEARCH("PT",Table3[[#This Row],[Column name]])),"Part-Time","Total"))</f>
        <v>Part-Time</v>
      </c>
    </row>
    <row r="18" spans="1:21" ht="15" thickBot="1" x14ac:dyDescent="0.35">
      <c r="A18">
        <v>2009</v>
      </c>
      <c r="B18" t="s">
        <v>55</v>
      </c>
      <c r="C18" t="s">
        <v>54</v>
      </c>
      <c r="D18" s="34">
        <f>ROUND(Table1[[#This Row],[Content.Column7]] * 1000, 0)</f>
        <v>8031</v>
      </c>
      <c r="E18" s="34">
        <f>ROUND(Table1[[#This Row],[Content.Column8]] * 1000, 0)</f>
        <v>4031</v>
      </c>
      <c r="F18" s="34">
        <f>ROUND(Table1[[#This Row],[Content.Column9]] * 1000, 0)</f>
        <v>12062</v>
      </c>
      <c r="G18" s="34">
        <f>ROUND(Table1[[#This Row],[Content.Column10]] * 1000, 0)</f>
        <v>12077</v>
      </c>
      <c r="H18" s="32">
        <f>ROUND(Table1[[#This Row],[Content.Column11]] * 1000, 0)</f>
        <v>36880</v>
      </c>
      <c r="I18" s="32">
        <f>ROUND(Table1[[#This Row],[Content.Column12]] * 1000, 0)</f>
        <v>15633</v>
      </c>
      <c r="J18" s="32">
        <f>ROUND(Table1[[#This Row],[Content.Column13]] * 1000, 0)</f>
        <v>52513</v>
      </c>
      <c r="K18" s="32">
        <f>ROUND(Table1[[#This Row],[Content.Column14]] * 1000, 0)</f>
        <v>55225</v>
      </c>
      <c r="L18" s="30">
        <f>ROUND(Table1[[#This Row],[Content.Column3]] * 1000, 0)</f>
        <v>44911</v>
      </c>
      <c r="M18" s="30">
        <f>ROUND(Table1[[#This Row],[Content.Column4]] * 1000, 0)</f>
        <v>19665</v>
      </c>
      <c r="N18" s="30">
        <f>ROUND(Table1[[#This Row],[Content.Column5]] * 1000, 0)</f>
        <v>64575</v>
      </c>
      <c r="O18" s="30">
        <f>ROUND(Table1[[#This Row],[Content.Column6]] * 1000, 0)</f>
        <v>67301</v>
      </c>
      <c r="P18" s="27"/>
      <c r="Q18" s="27"/>
      <c r="R18"/>
      <c r="S18" s="20" t="s">
        <v>133</v>
      </c>
      <c r="T18" s="18" t="str">
        <f t="shared" si="0"/>
        <v>Private</v>
      </c>
      <c r="U18" t="str">
        <f>IF(ISNUMBER(SEARCH("FT",Table3[[#This Row],[Column name]])),"Full-Time",IF(ISNUMBER(SEARCH("PT",Table3[[#This Row],[Column name]])),"Part-Time","Total"))</f>
        <v>Total</v>
      </c>
    </row>
    <row r="19" spans="1:21" ht="15" thickBot="1" x14ac:dyDescent="0.35">
      <c r="A19">
        <v>2009</v>
      </c>
      <c r="B19" t="s">
        <v>57</v>
      </c>
      <c r="C19" t="s">
        <v>56</v>
      </c>
      <c r="D19" s="34">
        <f>ROUND(Table1[[#This Row],[Content.Column7]] * 1000, 0)</f>
        <v>10487</v>
      </c>
      <c r="E19" s="34">
        <f>ROUND(Table1[[#This Row],[Content.Column8]] * 1000, 0)</f>
        <v>6037</v>
      </c>
      <c r="F19" s="34">
        <f>ROUND(Table1[[#This Row],[Content.Column9]] * 1000, 0)</f>
        <v>16524</v>
      </c>
      <c r="G19" s="34">
        <f>ROUND(Table1[[#This Row],[Content.Column10]] * 1000, 0)</f>
        <v>16532</v>
      </c>
      <c r="H19" s="32">
        <f>ROUND(Table1[[#This Row],[Content.Column11]] * 1000, 0)</f>
        <v>36048</v>
      </c>
      <c r="I19" s="32">
        <f>ROUND(Table1[[#This Row],[Content.Column12]] * 1000, 0)</f>
        <v>18988</v>
      </c>
      <c r="J19" s="32">
        <f>ROUND(Table1[[#This Row],[Content.Column13]] * 1000, 0)</f>
        <v>55036</v>
      </c>
      <c r="K19" s="32">
        <f>ROUND(Table1[[#This Row],[Content.Column14]] * 1000, 0)</f>
        <v>57624</v>
      </c>
      <c r="L19" s="30">
        <f>ROUND(Table1[[#This Row],[Content.Column3]] * 1000, 0)</f>
        <v>46536</v>
      </c>
      <c r="M19" s="30">
        <f>ROUND(Table1[[#This Row],[Content.Column4]] * 1000, 0)</f>
        <v>25025</v>
      </c>
      <c r="N19" s="30">
        <f>ROUND(Table1[[#This Row],[Content.Column5]] * 1000, 0)</f>
        <v>71561</v>
      </c>
      <c r="O19" s="30">
        <f>ROUND(Table1[[#This Row],[Content.Column6]] * 1000, 0)</f>
        <v>74156</v>
      </c>
      <c r="P19" s="27"/>
      <c r="Q19" s="27"/>
      <c r="R19"/>
      <c r="S19" s="20" t="s">
        <v>134</v>
      </c>
      <c r="T19" s="18" t="str">
        <f t="shared" si="0"/>
        <v>Private</v>
      </c>
      <c r="U19" t="str">
        <f>IF(ISNUMBER(SEARCH("FT",Table3[[#This Row],[Column name]])),"Full-Time",IF(ISNUMBER(SEARCH("PT",Table3[[#This Row],[Column name]])),"Part-Time","Total"))</f>
        <v>Total</v>
      </c>
    </row>
    <row r="20" spans="1:21" ht="15" thickBot="1" x14ac:dyDescent="0.35">
      <c r="A20">
        <v>2009</v>
      </c>
      <c r="B20" t="s">
        <v>59</v>
      </c>
      <c r="C20" t="s">
        <v>58</v>
      </c>
      <c r="D20" s="34">
        <f>ROUND(Table1[[#This Row],[Content.Column7]] * 1000, 0)</f>
        <v>15402</v>
      </c>
      <c r="E20" s="34">
        <f>ROUND(Table1[[#This Row],[Content.Column8]] * 1000, 0)</f>
        <v>5379</v>
      </c>
      <c r="F20" s="34">
        <f>ROUND(Table1[[#This Row],[Content.Column9]] * 1000, 0)</f>
        <v>20781</v>
      </c>
      <c r="G20" s="34">
        <f>ROUND(Table1[[#This Row],[Content.Column10]] * 1000, 0)</f>
        <v>20815</v>
      </c>
      <c r="H20" s="32">
        <f>ROUND(Table1[[#This Row],[Content.Column11]] * 1000, 0)</f>
        <v>123964</v>
      </c>
      <c r="I20" s="32">
        <f>ROUND(Table1[[#This Row],[Content.Column12]] * 1000, 0)</f>
        <v>38949</v>
      </c>
      <c r="J20" s="32">
        <f>ROUND(Table1[[#This Row],[Content.Column13]] * 1000, 0)</f>
        <v>162912</v>
      </c>
      <c r="K20" s="32">
        <f>ROUND(Table1[[#This Row],[Content.Column14]] * 1000, 0)</f>
        <v>165730</v>
      </c>
      <c r="L20" s="30">
        <f>ROUND(Table1[[#This Row],[Content.Column3]] * 1000, 0)</f>
        <v>139366</v>
      </c>
      <c r="M20" s="30">
        <f>ROUND(Table1[[#This Row],[Content.Column4]] * 1000, 0)</f>
        <v>44328</v>
      </c>
      <c r="N20" s="30">
        <f>ROUND(Table1[[#This Row],[Content.Column5]] * 1000, 0)</f>
        <v>183693</v>
      </c>
      <c r="O20" s="30">
        <f>ROUND(Table1[[#This Row],[Content.Column6]] * 1000, 0)</f>
        <v>186545</v>
      </c>
      <c r="P20" s="27"/>
      <c r="Q20" s="27"/>
      <c r="R20"/>
      <c r="S20" s="21" t="s">
        <v>122</v>
      </c>
      <c r="T20" s="18" t="str">
        <f t="shared" si="0"/>
        <v>Total</v>
      </c>
      <c r="U20" t="str">
        <f>IF(ISNUMBER(SEARCH("FT",Table3[[#This Row],[Column name]])),"Full-Time",IF(ISNUMBER(SEARCH("PT",Table3[[#This Row],[Column name]])),"Part-Time","Total"))</f>
        <v>Full-Time</v>
      </c>
    </row>
    <row r="21" spans="1:21" ht="15" thickBot="1" x14ac:dyDescent="0.35">
      <c r="A21">
        <v>2009</v>
      </c>
      <c r="B21" t="s">
        <v>61</v>
      </c>
      <c r="C21" t="s">
        <v>60</v>
      </c>
      <c r="D21" s="34">
        <f>ROUND(Table1[[#This Row],[Content.Column7]] * 1000, 0)</f>
        <v>12390</v>
      </c>
      <c r="E21" s="34">
        <f>ROUND(Table1[[#This Row],[Content.Column8]] * 1000, 0)</f>
        <v>5101</v>
      </c>
      <c r="F21" s="34">
        <f>ROUND(Table1[[#This Row],[Content.Column9]] * 1000, 0)</f>
        <v>17491</v>
      </c>
      <c r="G21" s="34">
        <f>ROUND(Table1[[#This Row],[Content.Column10]] * 1000, 0)</f>
        <v>17513</v>
      </c>
      <c r="H21" s="32">
        <f>ROUND(Table1[[#This Row],[Content.Column11]] * 1000, 0)</f>
        <v>79813</v>
      </c>
      <c r="I21" s="32">
        <f>ROUND(Table1[[#This Row],[Content.Column12]] * 1000, 0)</f>
        <v>24949</v>
      </c>
      <c r="J21" s="32">
        <f>ROUND(Table1[[#This Row],[Content.Column13]] * 1000, 0)</f>
        <v>104763</v>
      </c>
      <c r="K21" s="32">
        <f>ROUND(Table1[[#This Row],[Content.Column14]] * 1000, 0)</f>
        <v>107256</v>
      </c>
      <c r="L21" s="30">
        <f>ROUND(Table1[[#This Row],[Content.Column3]] * 1000, 0)</f>
        <v>92203</v>
      </c>
      <c r="M21" s="30">
        <f>ROUND(Table1[[#This Row],[Content.Column4]] * 1000, 0)</f>
        <v>30050</v>
      </c>
      <c r="N21" s="30">
        <f>ROUND(Table1[[#This Row],[Content.Column5]] * 1000, 0)</f>
        <v>122253</v>
      </c>
      <c r="O21" s="30">
        <f>ROUND(Table1[[#This Row],[Content.Column6]] * 1000, 0)</f>
        <v>124769</v>
      </c>
      <c r="P21" s="27"/>
      <c r="Q21" s="27"/>
      <c r="R21"/>
      <c r="S21" s="21" t="s">
        <v>123</v>
      </c>
      <c r="T21" s="18" t="str">
        <f t="shared" si="0"/>
        <v>Total</v>
      </c>
      <c r="U21" t="str">
        <f>IF(ISNUMBER(SEARCH("FT",Table3[[#This Row],[Column name]])),"Full-Time",IF(ISNUMBER(SEARCH("PT",Table3[[#This Row],[Column name]])),"Part-Time","Total"))</f>
        <v>Part-Time</v>
      </c>
    </row>
    <row r="22" spans="1:21" ht="15" thickBot="1" x14ac:dyDescent="0.35">
      <c r="A22">
        <v>2009</v>
      </c>
      <c r="B22" t="s">
        <v>63</v>
      </c>
      <c r="C22" t="s">
        <v>62</v>
      </c>
      <c r="D22" s="34">
        <f>ROUND(Table1[[#This Row],[Content.Column7]] * 1000, 0)</f>
        <v>26574</v>
      </c>
      <c r="E22" s="34">
        <f>ROUND(Table1[[#This Row],[Content.Column8]] * 1000, 0)</f>
        <v>7184</v>
      </c>
      <c r="F22" s="34">
        <f>ROUND(Table1[[#This Row],[Content.Column9]] * 1000, 0)</f>
        <v>33758</v>
      </c>
      <c r="G22" s="34">
        <f>ROUND(Table1[[#This Row],[Content.Column10]] * 1000, 0)</f>
        <v>33788</v>
      </c>
      <c r="H22" s="32">
        <f>ROUND(Table1[[#This Row],[Content.Column11]] * 1000, 0)</f>
        <v>115554</v>
      </c>
      <c r="I22" s="32">
        <f>ROUND(Table1[[#This Row],[Content.Column12]] * 1000, 0)</f>
        <v>33146</v>
      </c>
      <c r="J22" s="32">
        <f>ROUND(Table1[[#This Row],[Content.Column13]] * 1000, 0)</f>
        <v>148700</v>
      </c>
      <c r="K22" s="32">
        <f>ROUND(Table1[[#This Row],[Content.Column14]] * 1000, 0)</f>
        <v>154366</v>
      </c>
      <c r="L22" s="30">
        <f>ROUND(Table1[[#This Row],[Content.Column3]] * 1000, 0)</f>
        <v>142128</v>
      </c>
      <c r="M22" s="30">
        <f>ROUND(Table1[[#This Row],[Content.Column4]] * 1000, 0)</f>
        <v>40329</v>
      </c>
      <c r="N22" s="30">
        <f>ROUND(Table1[[#This Row],[Content.Column5]] * 1000, 0)</f>
        <v>182458</v>
      </c>
      <c r="O22" s="30">
        <f>ROUND(Table1[[#This Row],[Content.Column6]] * 1000, 0)</f>
        <v>188154</v>
      </c>
      <c r="P22" s="27"/>
      <c r="Q22" s="27"/>
      <c r="R22"/>
      <c r="S22" s="21" t="s">
        <v>135</v>
      </c>
      <c r="T22" s="18" t="str">
        <f t="shared" si="0"/>
        <v>Total</v>
      </c>
      <c r="U22" t="str">
        <f>IF(ISNUMBER(SEARCH("FT",Table3[[#This Row],[Column name]])),"Full-Time",IF(ISNUMBER(SEARCH("PT",Table3[[#This Row],[Column name]])),"Part-Time","Total"))</f>
        <v>Total</v>
      </c>
    </row>
    <row r="23" spans="1:21" ht="15" thickBot="1" x14ac:dyDescent="0.35">
      <c r="A23">
        <v>2009</v>
      </c>
      <c r="B23" t="s">
        <v>65</v>
      </c>
      <c r="C23" t="s">
        <v>64</v>
      </c>
      <c r="D23" s="34">
        <f>ROUND(Table1[[#This Row],[Content.Column7]] * 1000, 0)</f>
        <v>15991</v>
      </c>
      <c r="E23" s="34">
        <f>ROUND(Table1[[#This Row],[Content.Column8]] * 1000, 0)</f>
        <v>5305</v>
      </c>
      <c r="F23" s="34">
        <f>ROUND(Table1[[#This Row],[Content.Column9]] * 1000, 0)</f>
        <v>21297</v>
      </c>
      <c r="G23" s="34">
        <f>ROUND(Table1[[#This Row],[Content.Column10]] * 1000, 0)</f>
        <v>21432</v>
      </c>
      <c r="H23" s="32">
        <f>ROUND(Table1[[#This Row],[Content.Column11]] * 1000, 0)</f>
        <v>63368</v>
      </c>
      <c r="I23" s="32">
        <f>ROUND(Table1[[#This Row],[Content.Column12]] * 1000, 0)</f>
        <v>25973</v>
      </c>
      <c r="J23" s="32">
        <f>ROUND(Table1[[#This Row],[Content.Column13]] * 1000, 0)</f>
        <v>89341</v>
      </c>
      <c r="K23" s="32">
        <f>ROUND(Table1[[#This Row],[Content.Column14]] * 1000, 0)</f>
        <v>92133</v>
      </c>
      <c r="L23" s="30">
        <f>ROUND(Table1[[#This Row],[Content.Column3]] * 1000, 0)</f>
        <v>79359</v>
      </c>
      <c r="M23" s="30">
        <f>ROUND(Table1[[#This Row],[Content.Column4]] * 1000, 0)</f>
        <v>31279</v>
      </c>
      <c r="N23" s="30">
        <f>ROUND(Table1[[#This Row],[Content.Column5]] * 1000, 0)</f>
        <v>110638</v>
      </c>
      <c r="O23" s="30">
        <f>ROUND(Table1[[#This Row],[Content.Column6]] * 1000, 0)</f>
        <v>113566</v>
      </c>
      <c r="P23" s="27"/>
      <c r="Q23" s="27"/>
      <c r="R23"/>
      <c r="S23" s="21" t="s">
        <v>124</v>
      </c>
      <c r="T23" s="18" t="str">
        <f t="shared" si="0"/>
        <v>Total</v>
      </c>
      <c r="U23" t="str">
        <f>IF(ISNUMBER(SEARCH("FT",Table3[[#This Row],[Column name]])),"Full-Time",IF(ISNUMBER(SEARCH("PT",Table3[[#This Row],[Column name]])),"Part-Time","Total"))</f>
        <v>Total</v>
      </c>
    </row>
    <row r="24" spans="1:21" x14ac:dyDescent="0.3">
      <c r="A24">
        <v>2009</v>
      </c>
      <c r="B24" t="s">
        <v>67</v>
      </c>
      <c r="C24" t="s">
        <v>66</v>
      </c>
      <c r="D24" s="34">
        <f>ROUND(Table1[[#This Row],[Content.Column7]] * 1000, 0)</f>
        <v>8771</v>
      </c>
      <c r="E24" s="34">
        <f>ROUND(Table1[[#This Row],[Content.Column8]] * 1000, 0)</f>
        <v>6391</v>
      </c>
      <c r="F24" s="34">
        <f>ROUND(Table1[[#This Row],[Content.Column9]] * 1000, 0)</f>
        <v>15162</v>
      </c>
      <c r="G24" s="34">
        <f>ROUND(Table1[[#This Row],[Content.Column10]] * 1000, 0)</f>
        <v>15167</v>
      </c>
      <c r="H24" s="32">
        <f>ROUND(Table1[[#This Row],[Content.Column11]] * 1000, 0)</f>
        <v>40875</v>
      </c>
      <c r="I24" s="32">
        <f>ROUND(Table1[[#This Row],[Content.Column12]] * 1000, 0)</f>
        <v>19608</v>
      </c>
      <c r="J24" s="32">
        <f>ROUND(Table1[[#This Row],[Content.Column13]] * 1000, 0)</f>
        <v>60483</v>
      </c>
      <c r="K24" s="32">
        <f>ROUND(Table1[[#This Row],[Content.Column14]] * 1000, 0)</f>
        <v>62193</v>
      </c>
      <c r="L24" s="30">
        <f>ROUND(Table1[[#This Row],[Content.Column3]] * 1000, 0)</f>
        <v>49646</v>
      </c>
      <c r="M24" s="30">
        <f>ROUND(Table1[[#This Row],[Content.Column4]] * 1000, 0)</f>
        <v>25999</v>
      </c>
      <c r="N24" s="30">
        <f>ROUND(Table1[[#This Row],[Content.Column5]] * 1000, 0)</f>
        <v>75645</v>
      </c>
      <c r="O24" s="30">
        <f>ROUND(Table1[[#This Row],[Content.Column6]] * 1000, 0)</f>
        <v>77360</v>
      </c>
      <c r="P24" s="27"/>
      <c r="Q24" s="27"/>
      <c r="R24"/>
      <c r="S24"/>
    </row>
    <row r="25" spans="1:21" x14ac:dyDescent="0.3">
      <c r="A25">
        <v>2009</v>
      </c>
      <c r="B25" t="s">
        <v>69</v>
      </c>
      <c r="C25" t="s">
        <v>68</v>
      </c>
      <c r="D25" s="34">
        <f>ROUND(Table1[[#This Row],[Content.Column7]] * 1000, 0)</f>
        <v>27845</v>
      </c>
      <c r="E25" s="34">
        <f>ROUND(Table1[[#This Row],[Content.Column8]] * 1000, 0)</f>
        <v>6806</v>
      </c>
      <c r="F25" s="34">
        <f>ROUND(Table1[[#This Row],[Content.Column9]] * 1000, 0)</f>
        <v>34651</v>
      </c>
      <c r="G25" s="34">
        <f>ROUND(Table1[[#This Row],[Content.Column10]] * 1000, 0)</f>
        <v>34747</v>
      </c>
      <c r="H25" s="32">
        <f>ROUND(Table1[[#This Row],[Content.Column11]] * 1000, 0)</f>
        <v>63945</v>
      </c>
      <c r="I25" s="32">
        <f>ROUND(Table1[[#This Row],[Content.Column12]] * 1000, 0)</f>
        <v>27808</v>
      </c>
      <c r="J25" s="32">
        <f>ROUND(Table1[[#This Row],[Content.Column13]] * 1000, 0)</f>
        <v>91753</v>
      </c>
      <c r="K25" s="32">
        <f>ROUND(Table1[[#This Row],[Content.Column14]] * 1000, 0)</f>
        <v>95191</v>
      </c>
      <c r="L25" s="30">
        <f>ROUND(Table1[[#This Row],[Content.Column3]] * 1000, 0)</f>
        <v>91790</v>
      </c>
      <c r="M25" s="30">
        <f>ROUND(Table1[[#This Row],[Content.Column4]] * 1000, 0)</f>
        <v>34614</v>
      </c>
      <c r="N25" s="30">
        <f>ROUND(Table1[[#This Row],[Content.Column5]] * 1000, 0)</f>
        <v>126404</v>
      </c>
      <c r="O25" s="30">
        <f>ROUND(Table1[[#This Row],[Content.Column6]] * 1000, 0)</f>
        <v>129937</v>
      </c>
      <c r="P25" s="27"/>
      <c r="Q25" s="27"/>
      <c r="R25"/>
      <c r="S25"/>
    </row>
    <row r="26" spans="1:21" x14ac:dyDescent="0.3">
      <c r="A26">
        <v>2009</v>
      </c>
      <c r="B26" t="s">
        <v>71</v>
      </c>
      <c r="C26" t="s">
        <v>70</v>
      </c>
      <c r="D26" s="34">
        <f>ROUND(Table1[[#This Row],[Content.Column7]] * 1000, 0)</f>
        <v>9934</v>
      </c>
      <c r="E26" s="34">
        <f>ROUND(Table1[[#This Row],[Content.Column8]] * 1000, 0)</f>
        <v>7793</v>
      </c>
      <c r="F26" s="34">
        <f>ROUND(Table1[[#This Row],[Content.Column9]] * 1000, 0)</f>
        <v>17727</v>
      </c>
      <c r="G26" s="34">
        <f>ROUND(Table1[[#This Row],[Content.Column10]] * 1000, 0)</f>
        <v>17801</v>
      </c>
      <c r="H26" s="32">
        <f>ROUND(Table1[[#This Row],[Content.Column11]] * 1000, 0)</f>
        <v>26910</v>
      </c>
      <c r="I26" s="32">
        <f>ROUND(Table1[[#This Row],[Content.Column12]] * 1000, 0)</f>
        <v>13843</v>
      </c>
      <c r="J26" s="32">
        <f>ROUND(Table1[[#This Row],[Content.Column13]] * 1000, 0)</f>
        <v>40753</v>
      </c>
      <c r="K26" s="32">
        <f>ROUND(Table1[[#This Row],[Content.Column14]] * 1000, 0)</f>
        <v>42852</v>
      </c>
      <c r="L26" s="30">
        <f>ROUND(Table1[[#This Row],[Content.Column3]] * 1000, 0)</f>
        <v>36844</v>
      </c>
      <c r="M26" s="30">
        <f>ROUND(Table1[[#This Row],[Content.Column4]] * 1000, 0)</f>
        <v>21636</v>
      </c>
      <c r="N26" s="30">
        <f>ROUND(Table1[[#This Row],[Content.Column5]] * 1000, 0)</f>
        <v>58480</v>
      </c>
      <c r="O26" s="30">
        <f>ROUND(Table1[[#This Row],[Content.Column6]] * 1000, 0)</f>
        <v>60653</v>
      </c>
      <c r="P26" s="27"/>
      <c r="Q26" s="27"/>
      <c r="R26"/>
      <c r="S26"/>
    </row>
    <row r="27" spans="1:21" x14ac:dyDescent="0.3">
      <c r="A27">
        <v>2009</v>
      </c>
      <c r="B27" t="s">
        <v>73</v>
      </c>
      <c r="C27" t="s">
        <v>72</v>
      </c>
      <c r="D27" s="34">
        <f>ROUND(Table1[[#This Row],[Content.Column7]] * 1000, 0)</f>
        <v>6629</v>
      </c>
      <c r="E27" s="34">
        <f>ROUND(Table1[[#This Row],[Content.Column8]] * 1000, 0)</f>
        <v>3682</v>
      </c>
      <c r="F27" s="34">
        <f>ROUND(Table1[[#This Row],[Content.Column9]] * 1000, 0)</f>
        <v>10311</v>
      </c>
      <c r="G27" s="34">
        <f>ROUND(Table1[[#This Row],[Content.Column10]] * 1000, 0)</f>
        <v>10338</v>
      </c>
      <c r="H27" s="32">
        <f>ROUND(Table1[[#This Row],[Content.Column11]] * 1000, 0)</f>
        <v>38553</v>
      </c>
      <c r="I27" s="32">
        <f>ROUND(Table1[[#This Row],[Content.Column12]] * 1000, 0)</f>
        <v>16199</v>
      </c>
      <c r="J27" s="32">
        <f>ROUND(Table1[[#This Row],[Content.Column13]] * 1000, 0)</f>
        <v>54751</v>
      </c>
      <c r="K27" s="32">
        <f>ROUND(Table1[[#This Row],[Content.Column14]] * 1000, 0)</f>
        <v>56765</v>
      </c>
      <c r="L27" s="30">
        <f>ROUND(Table1[[#This Row],[Content.Column3]] * 1000, 0)</f>
        <v>45181</v>
      </c>
      <c r="M27" s="30">
        <f>ROUND(Table1[[#This Row],[Content.Column4]] * 1000, 0)</f>
        <v>19881</v>
      </c>
      <c r="N27" s="30">
        <f>ROUND(Table1[[#This Row],[Content.Column5]] * 1000, 0)</f>
        <v>65062</v>
      </c>
      <c r="O27" s="30">
        <f>ROUND(Table1[[#This Row],[Content.Column6]] * 1000, 0)</f>
        <v>67103</v>
      </c>
      <c r="P27" s="27"/>
      <c r="Q27" s="27"/>
      <c r="R27"/>
      <c r="S27"/>
    </row>
    <row r="28" spans="1:21" x14ac:dyDescent="0.3">
      <c r="A28">
        <v>2009</v>
      </c>
      <c r="B28" t="s">
        <v>75</v>
      </c>
      <c r="C28" t="s">
        <v>74</v>
      </c>
      <c r="D28" s="34">
        <f>ROUND(Table1[[#This Row],[Content.Column7]] * 1000, 0)</f>
        <v>17238</v>
      </c>
      <c r="E28" s="34">
        <f>ROUND(Table1[[#This Row],[Content.Column8]] * 1000, 0)</f>
        <v>6881</v>
      </c>
      <c r="F28" s="34">
        <f>ROUND(Table1[[#This Row],[Content.Column9]] * 1000, 0)</f>
        <v>24119</v>
      </c>
      <c r="G28" s="34">
        <f>ROUND(Table1[[#This Row],[Content.Column10]] * 1000, 0)</f>
        <v>24138</v>
      </c>
      <c r="H28" s="32">
        <f>ROUND(Table1[[#This Row],[Content.Column11]] * 1000, 0)</f>
        <v>32347</v>
      </c>
      <c r="I28" s="32">
        <f>ROUND(Table1[[#This Row],[Content.Column12]] * 1000, 0)</f>
        <v>16089</v>
      </c>
      <c r="J28" s="32">
        <f>ROUND(Table1[[#This Row],[Content.Column13]] * 1000, 0)</f>
        <v>48436</v>
      </c>
      <c r="K28" s="32">
        <f>ROUND(Table1[[#This Row],[Content.Column14]] * 1000, 0)</f>
        <v>50592</v>
      </c>
      <c r="L28" s="30">
        <f>ROUND(Table1[[#This Row],[Content.Column3]] * 1000, 0)</f>
        <v>49585</v>
      </c>
      <c r="M28" s="30">
        <f>ROUND(Table1[[#This Row],[Content.Column4]] * 1000, 0)</f>
        <v>22970</v>
      </c>
      <c r="N28" s="30">
        <f>ROUND(Table1[[#This Row],[Content.Column5]] * 1000, 0)</f>
        <v>72556</v>
      </c>
      <c r="O28" s="30">
        <f>ROUND(Table1[[#This Row],[Content.Column6]] * 1000, 0)</f>
        <v>74730</v>
      </c>
      <c r="P28" s="27"/>
      <c r="Q28" s="27"/>
      <c r="R28"/>
      <c r="S28"/>
    </row>
    <row r="29" spans="1:21" x14ac:dyDescent="0.3">
      <c r="A29">
        <v>2009</v>
      </c>
      <c r="B29" t="s">
        <v>77</v>
      </c>
      <c r="C29" t="s">
        <v>76</v>
      </c>
      <c r="D29" s="34">
        <f>ROUND(Table1[[#This Row],[Content.Column7]] * 1000, 0)</f>
        <v>10940</v>
      </c>
      <c r="E29" s="34">
        <f>ROUND(Table1[[#This Row],[Content.Column8]] * 1000, 0)</f>
        <v>7143</v>
      </c>
      <c r="F29" s="34">
        <f>ROUND(Table1[[#This Row],[Content.Column9]] * 1000, 0)</f>
        <v>18083</v>
      </c>
      <c r="G29" s="34">
        <f>ROUND(Table1[[#This Row],[Content.Column10]] * 1000, 0)</f>
        <v>18096</v>
      </c>
      <c r="H29" s="32">
        <f>ROUND(Table1[[#This Row],[Content.Column11]] * 1000, 0)</f>
        <v>30784</v>
      </c>
      <c r="I29" s="32">
        <f>ROUND(Table1[[#This Row],[Content.Column12]] * 1000, 0)</f>
        <v>16088</v>
      </c>
      <c r="J29" s="32">
        <f>ROUND(Table1[[#This Row],[Content.Column13]] * 1000, 0)</f>
        <v>46873</v>
      </c>
      <c r="K29" s="32">
        <f>ROUND(Table1[[#This Row],[Content.Column14]] * 1000, 0)</f>
        <v>48962</v>
      </c>
      <c r="L29" s="30">
        <f>ROUND(Table1[[#This Row],[Content.Column3]] * 1000, 0)</f>
        <v>41724</v>
      </c>
      <c r="M29" s="30">
        <f>ROUND(Table1[[#This Row],[Content.Column4]] * 1000, 0)</f>
        <v>23231</v>
      </c>
      <c r="N29" s="30">
        <f>ROUND(Table1[[#This Row],[Content.Column5]] * 1000, 0)</f>
        <v>64955</v>
      </c>
      <c r="O29" s="30">
        <f>ROUND(Table1[[#This Row],[Content.Column6]] * 1000, 0)</f>
        <v>67059</v>
      </c>
      <c r="P29" s="27"/>
      <c r="Q29" s="27"/>
      <c r="R29"/>
      <c r="S29"/>
    </row>
    <row r="30" spans="1:21" x14ac:dyDescent="0.3">
      <c r="A30">
        <v>2009</v>
      </c>
      <c r="B30" t="s">
        <v>79</v>
      </c>
      <c r="C30" t="s">
        <v>78</v>
      </c>
      <c r="D30" s="34">
        <f>ROUND(Table1[[#This Row],[Content.Column7]] * 1000, 0)</f>
        <v>7083</v>
      </c>
      <c r="E30" s="34">
        <f>ROUND(Table1[[#This Row],[Content.Column8]] * 1000, 0)</f>
        <v>3510</v>
      </c>
      <c r="F30" s="34">
        <f>ROUND(Table1[[#This Row],[Content.Column9]] * 1000, 0)</f>
        <v>10593</v>
      </c>
      <c r="G30" s="34">
        <f>ROUND(Table1[[#This Row],[Content.Column10]] * 1000, 0)</f>
        <v>10611</v>
      </c>
      <c r="H30" s="32">
        <f>ROUND(Table1[[#This Row],[Content.Column11]] * 1000, 0)</f>
        <v>40896</v>
      </c>
      <c r="I30" s="32">
        <f>ROUND(Table1[[#This Row],[Content.Column12]] * 1000, 0)</f>
        <v>16902</v>
      </c>
      <c r="J30" s="32">
        <f>ROUND(Table1[[#This Row],[Content.Column13]] * 1000, 0)</f>
        <v>57798</v>
      </c>
      <c r="K30" s="32">
        <f>ROUND(Table1[[#This Row],[Content.Column14]] * 1000, 0)</f>
        <v>60621</v>
      </c>
      <c r="L30" s="30">
        <f>ROUND(Table1[[#This Row],[Content.Column3]] * 1000, 0)</f>
        <v>47979</v>
      </c>
      <c r="M30" s="30">
        <f>ROUND(Table1[[#This Row],[Content.Column4]] * 1000, 0)</f>
        <v>20412</v>
      </c>
      <c r="N30" s="30">
        <f>ROUND(Table1[[#This Row],[Content.Column5]] * 1000, 0)</f>
        <v>68391</v>
      </c>
      <c r="O30" s="30">
        <f>ROUND(Table1[[#This Row],[Content.Column6]] * 1000, 0)</f>
        <v>71232</v>
      </c>
      <c r="P30" s="27"/>
      <c r="Q30" s="27"/>
      <c r="R30"/>
      <c r="S30"/>
    </row>
    <row r="31" spans="1:21" x14ac:dyDescent="0.3">
      <c r="A31">
        <v>2009</v>
      </c>
      <c r="B31" t="s">
        <v>81</v>
      </c>
      <c r="C31" t="s">
        <v>80</v>
      </c>
      <c r="D31" s="34">
        <f>ROUND(Table1[[#This Row],[Content.Column7]] * 1000, 0)</f>
        <v>25697</v>
      </c>
      <c r="E31" s="34">
        <f>ROUND(Table1[[#This Row],[Content.Column8]] * 1000, 0)</f>
        <v>5918</v>
      </c>
      <c r="F31" s="34">
        <f>ROUND(Table1[[#This Row],[Content.Column9]] * 1000, 0)</f>
        <v>31615</v>
      </c>
      <c r="G31" s="34">
        <f>ROUND(Table1[[#This Row],[Content.Column10]] * 1000, 0)</f>
        <v>31668</v>
      </c>
      <c r="H31" s="32">
        <f>ROUND(Table1[[#This Row],[Content.Column11]] * 1000, 0)</f>
        <v>107204</v>
      </c>
      <c r="I31" s="32">
        <f>ROUND(Table1[[#This Row],[Content.Column12]] * 1000, 0)</f>
        <v>34102</v>
      </c>
      <c r="J31" s="32">
        <f>ROUND(Table1[[#This Row],[Content.Column13]] * 1000, 0)</f>
        <v>141306</v>
      </c>
      <c r="K31" s="32">
        <f>ROUND(Table1[[#This Row],[Content.Column14]] * 1000, 0)</f>
        <v>146281</v>
      </c>
      <c r="L31" s="30">
        <f>ROUND(Table1[[#This Row],[Content.Column3]] * 1000, 0)</f>
        <v>132901</v>
      </c>
      <c r="M31" s="30">
        <f>ROUND(Table1[[#This Row],[Content.Column4]] * 1000, 0)</f>
        <v>40020</v>
      </c>
      <c r="N31" s="30">
        <f>ROUND(Table1[[#This Row],[Content.Column5]] * 1000, 0)</f>
        <v>172922</v>
      </c>
      <c r="O31" s="30">
        <f>ROUND(Table1[[#This Row],[Content.Column6]] * 1000, 0)</f>
        <v>177949</v>
      </c>
      <c r="P31" s="27"/>
      <c r="Q31" s="27"/>
      <c r="R31"/>
      <c r="S31"/>
    </row>
    <row r="32" spans="1:21" x14ac:dyDescent="0.3">
      <c r="A32">
        <v>2009</v>
      </c>
      <c r="B32" t="s">
        <v>83</v>
      </c>
      <c r="C32" t="s">
        <v>82</v>
      </c>
      <c r="D32" s="34">
        <f>ROUND(Table1[[#This Row],[Content.Column7]] * 1000, 0)</f>
        <v>8815</v>
      </c>
      <c r="E32" s="34">
        <f>ROUND(Table1[[#This Row],[Content.Column8]] * 1000, 0)</f>
        <v>6273</v>
      </c>
      <c r="F32" s="34">
        <f>ROUND(Table1[[#This Row],[Content.Column9]] * 1000, 0)</f>
        <v>15088</v>
      </c>
      <c r="G32" s="34">
        <f>ROUND(Table1[[#This Row],[Content.Column10]] * 1000, 0)</f>
        <v>15197</v>
      </c>
      <c r="H32" s="32">
        <f>ROUND(Table1[[#This Row],[Content.Column11]] * 1000, 0)</f>
        <v>34256</v>
      </c>
      <c r="I32" s="32">
        <f>ROUND(Table1[[#This Row],[Content.Column12]] * 1000, 0)</f>
        <v>14109</v>
      </c>
      <c r="J32" s="32">
        <f>ROUND(Table1[[#This Row],[Content.Column13]] * 1000, 0)</f>
        <v>48365</v>
      </c>
      <c r="K32" s="32">
        <f>ROUND(Table1[[#This Row],[Content.Column14]] * 1000, 0)</f>
        <v>50490</v>
      </c>
      <c r="L32" s="30">
        <f>ROUND(Table1[[#This Row],[Content.Column3]] * 1000, 0)</f>
        <v>43071</v>
      </c>
      <c r="M32" s="30">
        <f>ROUND(Table1[[#This Row],[Content.Column4]] * 1000, 0)</f>
        <v>20382</v>
      </c>
      <c r="N32" s="30">
        <f>ROUND(Table1[[#This Row],[Content.Column5]] * 1000, 0)</f>
        <v>63454</v>
      </c>
      <c r="O32" s="30">
        <f>ROUND(Table1[[#This Row],[Content.Column6]] * 1000, 0)</f>
        <v>65686</v>
      </c>
      <c r="P32" s="27"/>
      <c r="Q32" s="27"/>
      <c r="R32"/>
      <c r="S32"/>
    </row>
    <row r="33" spans="1:19" x14ac:dyDescent="0.3">
      <c r="A33">
        <v>2009</v>
      </c>
      <c r="B33" t="s">
        <v>85</v>
      </c>
      <c r="C33" t="s">
        <v>84</v>
      </c>
      <c r="D33" s="34">
        <f>ROUND(Table1[[#This Row],[Content.Column7]] * 1000, 0)</f>
        <v>30945</v>
      </c>
      <c r="E33" s="34">
        <f>ROUND(Table1[[#This Row],[Content.Column8]] * 1000, 0)</f>
        <v>7613</v>
      </c>
      <c r="F33" s="34">
        <f>ROUND(Table1[[#This Row],[Content.Column9]] * 1000, 0)</f>
        <v>38558</v>
      </c>
      <c r="G33" s="34">
        <f>ROUND(Table1[[#This Row],[Content.Column10]] * 1000, 0)</f>
        <v>39299</v>
      </c>
      <c r="H33" s="32">
        <f>ROUND(Table1[[#This Row],[Content.Column11]] * 1000, 0)</f>
        <v>135646</v>
      </c>
      <c r="I33" s="32">
        <f>ROUND(Table1[[#This Row],[Content.Column12]] * 1000, 0)</f>
        <v>30167</v>
      </c>
      <c r="J33" s="32">
        <f>ROUND(Table1[[#This Row],[Content.Column13]] * 1000, 0)</f>
        <v>165813</v>
      </c>
      <c r="K33" s="32">
        <f>ROUND(Table1[[#This Row],[Content.Column14]] * 1000, 0)</f>
        <v>169555</v>
      </c>
      <c r="L33" s="30">
        <f>ROUND(Table1[[#This Row],[Content.Column3]] * 1000, 0)</f>
        <v>166592</v>
      </c>
      <c r="M33" s="30">
        <f>ROUND(Table1[[#This Row],[Content.Column4]] * 1000, 0)</f>
        <v>37780</v>
      </c>
      <c r="N33" s="30">
        <f>ROUND(Table1[[#This Row],[Content.Column5]] * 1000, 0)</f>
        <v>204372</v>
      </c>
      <c r="O33" s="30">
        <f>ROUND(Table1[[#This Row],[Content.Column6]] * 1000, 0)</f>
        <v>208854</v>
      </c>
      <c r="P33" s="27"/>
      <c r="Q33" s="27"/>
      <c r="R33"/>
      <c r="S33"/>
    </row>
    <row r="34" spans="1:19" x14ac:dyDescent="0.3">
      <c r="A34">
        <v>2009</v>
      </c>
      <c r="B34" t="s">
        <v>87</v>
      </c>
      <c r="C34" t="s">
        <v>86</v>
      </c>
      <c r="D34" s="34">
        <f>ROUND(Table1[[#This Row],[Content.Column7]] * 1000, 0)</f>
        <v>9137</v>
      </c>
      <c r="E34" s="34">
        <f>ROUND(Table1[[#This Row],[Content.Column8]] * 1000, 0)</f>
        <v>4978</v>
      </c>
      <c r="F34" s="34">
        <f>ROUND(Table1[[#This Row],[Content.Column9]] * 1000, 0)</f>
        <v>14115</v>
      </c>
      <c r="G34" s="34">
        <f>ROUND(Table1[[#This Row],[Content.Column10]] * 1000, 0)</f>
        <v>14141</v>
      </c>
      <c r="H34" s="32">
        <f>ROUND(Table1[[#This Row],[Content.Column11]] * 1000, 0)</f>
        <v>27208</v>
      </c>
      <c r="I34" s="32">
        <f>ROUND(Table1[[#This Row],[Content.Column12]] * 1000, 0)</f>
        <v>12575</v>
      </c>
      <c r="J34" s="32">
        <f>ROUND(Table1[[#This Row],[Content.Column13]] * 1000, 0)</f>
        <v>39783</v>
      </c>
      <c r="K34" s="32">
        <f>ROUND(Table1[[#This Row],[Content.Column14]] * 1000, 0)</f>
        <v>41440</v>
      </c>
      <c r="L34" s="30">
        <f>ROUND(Table1[[#This Row],[Content.Column3]] * 1000, 0)</f>
        <v>36345</v>
      </c>
      <c r="M34" s="30">
        <f>ROUND(Table1[[#This Row],[Content.Column4]] * 1000, 0)</f>
        <v>17553</v>
      </c>
      <c r="N34" s="30">
        <f>ROUND(Table1[[#This Row],[Content.Column5]] * 1000, 0)</f>
        <v>53898</v>
      </c>
      <c r="O34" s="30">
        <f>ROUND(Table1[[#This Row],[Content.Column6]] * 1000, 0)</f>
        <v>55580</v>
      </c>
      <c r="P34" s="27"/>
      <c r="Q34" s="27"/>
      <c r="R34"/>
      <c r="S34"/>
    </row>
    <row r="35" spans="1:19" x14ac:dyDescent="0.3">
      <c r="A35">
        <v>2009</v>
      </c>
      <c r="B35" t="s">
        <v>89</v>
      </c>
      <c r="C35" t="s">
        <v>88</v>
      </c>
      <c r="D35" s="34">
        <f>ROUND(Table1[[#This Row],[Content.Column7]] * 1000, 0)</f>
        <v>19573</v>
      </c>
      <c r="E35" s="34">
        <f>ROUND(Table1[[#This Row],[Content.Column8]] * 1000, 0)</f>
        <v>5736</v>
      </c>
      <c r="F35" s="34">
        <f>ROUND(Table1[[#This Row],[Content.Column9]] * 1000, 0)</f>
        <v>25309</v>
      </c>
      <c r="G35" s="34">
        <f>ROUND(Table1[[#This Row],[Content.Column10]] * 1000, 0)</f>
        <v>25330</v>
      </c>
      <c r="H35" s="32">
        <f>ROUND(Table1[[#This Row],[Content.Column11]] * 1000, 0)</f>
        <v>54619</v>
      </c>
      <c r="I35" s="32">
        <f>ROUND(Table1[[#This Row],[Content.Column12]] * 1000, 0)</f>
        <v>23317</v>
      </c>
      <c r="J35" s="32">
        <f>ROUND(Table1[[#This Row],[Content.Column13]] * 1000, 0)</f>
        <v>77936</v>
      </c>
      <c r="K35" s="32">
        <f>ROUND(Table1[[#This Row],[Content.Column14]] * 1000, 0)</f>
        <v>80926</v>
      </c>
      <c r="L35" s="30">
        <f>ROUND(Table1[[#This Row],[Content.Column3]] * 1000, 0)</f>
        <v>74192</v>
      </c>
      <c r="M35" s="30">
        <f>ROUND(Table1[[#This Row],[Content.Column4]] * 1000, 0)</f>
        <v>29053</v>
      </c>
      <c r="N35" s="30">
        <f>ROUND(Table1[[#This Row],[Content.Column5]] * 1000, 0)</f>
        <v>103246</v>
      </c>
      <c r="O35" s="30">
        <f>ROUND(Table1[[#This Row],[Content.Column6]] * 1000, 0)</f>
        <v>106256</v>
      </c>
      <c r="P35" s="27"/>
      <c r="Q35" s="27"/>
      <c r="R35"/>
      <c r="S35"/>
    </row>
    <row r="36" spans="1:19" x14ac:dyDescent="0.3">
      <c r="A36">
        <v>2009</v>
      </c>
      <c r="B36" t="s">
        <v>91</v>
      </c>
      <c r="C36" t="s">
        <v>90</v>
      </c>
      <c r="D36" s="34">
        <f>ROUND(Table1[[#This Row],[Content.Column7]] * 1000, 0)</f>
        <v>78116</v>
      </c>
      <c r="E36" s="34">
        <f>ROUND(Table1[[#This Row],[Content.Column8]] * 1000, 0)</f>
        <v>13050</v>
      </c>
      <c r="F36" s="34">
        <f>ROUND(Table1[[#This Row],[Content.Column9]] * 1000, 0)</f>
        <v>91166</v>
      </c>
      <c r="G36" s="34">
        <f>ROUND(Table1[[#This Row],[Content.Column10]] * 1000, 0)</f>
        <v>91909</v>
      </c>
      <c r="H36" s="32">
        <f>ROUND(Table1[[#This Row],[Content.Column11]] * 1000, 0)</f>
        <v>398802</v>
      </c>
      <c r="I36" s="32">
        <f>ROUND(Table1[[#This Row],[Content.Column12]] * 1000, 0)</f>
        <v>120676</v>
      </c>
      <c r="J36" s="32">
        <f>ROUND(Table1[[#This Row],[Content.Column13]] * 1000, 0)</f>
        <v>519478</v>
      </c>
      <c r="K36" s="32">
        <f>ROUND(Table1[[#This Row],[Content.Column14]] * 1000, 0)</f>
        <v>541053</v>
      </c>
      <c r="L36" s="30">
        <f>ROUND(Table1[[#This Row],[Content.Column3]] * 1000, 0)</f>
        <v>476918</v>
      </c>
      <c r="M36" s="30">
        <f>ROUND(Table1[[#This Row],[Content.Column4]] * 1000, 0)</f>
        <v>133727</v>
      </c>
      <c r="N36" s="30">
        <f>ROUND(Table1[[#This Row],[Content.Column5]] * 1000, 0)</f>
        <v>610645</v>
      </c>
      <c r="O36" s="30">
        <f>ROUND(Table1[[#This Row],[Content.Column6]] * 1000, 0)</f>
        <v>632963</v>
      </c>
      <c r="P36" s="27"/>
      <c r="Q36" s="27"/>
      <c r="R36"/>
      <c r="S36"/>
    </row>
    <row r="37" spans="1:19" x14ac:dyDescent="0.3">
      <c r="A37">
        <v>2009</v>
      </c>
      <c r="B37" t="s">
        <v>93</v>
      </c>
      <c r="C37" t="s">
        <v>92</v>
      </c>
      <c r="D37" s="34">
        <f>ROUND(Table1[[#This Row],[Content.Column7]] * 1000, 0)</f>
        <v>342671</v>
      </c>
      <c r="E37" s="34">
        <f>ROUND(Table1[[#This Row],[Content.Column8]] * 1000, 0)</f>
        <v>92976</v>
      </c>
      <c r="F37" s="34">
        <f>ROUND(Table1[[#This Row],[Content.Column9]] * 1000, 0)</f>
        <v>435647</v>
      </c>
      <c r="G37" s="34">
        <f>ROUND(Table1[[#This Row],[Content.Column10]] * 1000, 0)</f>
        <v>438373</v>
      </c>
      <c r="H37" s="32">
        <f>ROUND(Table1[[#This Row],[Content.Column11]] * 1000, 0)</f>
        <v>1593886</v>
      </c>
      <c r="I37" s="32">
        <f>ROUND(Table1[[#This Row],[Content.Column12]] * 1000, 0)</f>
        <v>477146</v>
      </c>
      <c r="J37" s="32">
        <f>ROUND(Table1[[#This Row],[Content.Column13]] * 1000, 0)</f>
        <v>2071031</v>
      </c>
      <c r="K37" s="32">
        <f>ROUND(Table1[[#This Row],[Content.Column14]] * 1000, 0)</f>
        <v>2148450</v>
      </c>
      <c r="L37" s="30">
        <f>ROUND(Table1[[#This Row],[Content.Column3]] * 1000, 0)</f>
        <v>1936557</v>
      </c>
      <c r="M37" s="30">
        <f>ROUND(Table1[[#This Row],[Content.Column4]] * 1000, 0)</f>
        <v>570121</v>
      </c>
      <c r="N37" s="30">
        <f>ROUND(Table1[[#This Row],[Content.Column5]] * 1000, 0)</f>
        <v>2506679</v>
      </c>
      <c r="O37" s="30">
        <f>ROUND(Table1[[#This Row],[Content.Column6]] * 1000, 0)</f>
        <v>2586823</v>
      </c>
      <c r="P37" s="27"/>
      <c r="Q37" s="27"/>
      <c r="R37"/>
      <c r="S37"/>
    </row>
    <row r="38" spans="1:19" x14ac:dyDescent="0.3">
      <c r="A38">
        <v>2009</v>
      </c>
      <c r="B38" t="s">
        <v>95</v>
      </c>
      <c r="C38" t="s">
        <v>94</v>
      </c>
      <c r="D38" s="34">
        <f>ROUND(Table1[[#This Row],[Content.Column7]] * 1000, 0)</f>
        <v>212384</v>
      </c>
      <c r="E38" s="34">
        <f>ROUND(Table1[[#This Row],[Content.Column8]] * 1000, 0)</f>
        <v>113965</v>
      </c>
      <c r="F38" s="34">
        <f>ROUND(Table1[[#This Row],[Content.Column9]] * 1000, 0)</f>
        <v>326349</v>
      </c>
      <c r="G38" s="34">
        <f>ROUND(Table1[[#This Row],[Content.Column10]] * 1000, 0)</f>
        <v>327129</v>
      </c>
      <c r="H38" s="32">
        <f>ROUND(Table1[[#This Row],[Content.Column11]] * 1000, 0)</f>
        <v>922349</v>
      </c>
      <c r="I38" s="32">
        <f>ROUND(Table1[[#This Row],[Content.Column12]] * 1000, 0)</f>
        <v>387644</v>
      </c>
      <c r="J38" s="32">
        <f>ROUND(Table1[[#This Row],[Content.Column13]] * 1000, 0)</f>
        <v>1309994</v>
      </c>
      <c r="K38" s="32">
        <f>ROUND(Table1[[#This Row],[Content.Column14]] * 1000, 0)</f>
        <v>1358000</v>
      </c>
      <c r="L38" s="30">
        <f>ROUND(Table1[[#This Row],[Content.Column3]] * 1000, 0)</f>
        <v>1134734</v>
      </c>
      <c r="M38" s="30">
        <f>ROUND(Table1[[#This Row],[Content.Column4]] * 1000, 0)</f>
        <v>501609</v>
      </c>
      <c r="N38" s="30">
        <f>ROUND(Table1[[#This Row],[Content.Column5]] * 1000, 0)</f>
        <v>1636343</v>
      </c>
      <c r="O38" s="30">
        <f>ROUND(Table1[[#This Row],[Content.Column6]] * 1000, 0)</f>
        <v>1685129</v>
      </c>
      <c r="P38" s="27"/>
      <c r="Q38" s="27"/>
      <c r="R38"/>
      <c r="S38"/>
    </row>
    <row r="39" spans="1:19" x14ac:dyDescent="0.3">
      <c r="A39">
        <v>2009</v>
      </c>
      <c r="B39" t="s">
        <v>97</v>
      </c>
      <c r="C39" t="s">
        <v>96</v>
      </c>
      <c r="D39" s="34">
        <f>ROUND(Table1[[#This Row],[Content.Column7]] * 1000, 0)</f>
        <v>177771</v>
      </c>
      <c r="E39" s="34">
        <f>ROUND(Table1[[#This Row],[Content.Column8]] * 1000, 0)</f>
        <v>99075</v>
      </c>
      <c r="F39" s="34">
        <f>ROUND(Table1[[#This Row],[Content.Column9]] * 1000, 0)</f>
        <v>276846</v>
      </c>
      <c r="G39" s="34">
        <f>ROUND(Table1[[#This Row],[Content.Column10]] * 1000, 0)</f>
        <v>284539</v>
      </c>
      <c r="H39" s="32">
        <f>ROUND(Table1[[#This Row],[Content.Column11]] * 1000, 0)</f>
        <v>500107</v>
      </c>
      <c r="I39" s="32">
        <f>ROUND(Table1[[#This Row],[Content.Column12]] * 1000, 0)</f>
        <v>234730</v>
      </c>
      <c r="J39" s="32">
        <f>ROUND(Table1[[#This Row],[Content.Column13]] * 1000, 0)</f>
        <v>734837</v>
      </c>
      <c r="K39" s="32">
        <f>ROUND(Table1[[#This Row],[Content.Column14]] * 1000, 0)</f>
        <v>765419</v>
      </c>
      <c r="L39" s="30">
        <f>ROUND(Table1[[#This Row],[Content.Column3]] * 1000, 0)</f>
        <v>677878</v>
      </c>
      <c r="M39" s="30">
        <f>ROUND(Table1[[#This Row],[Content.Column4]] * 1000, 0)</f>
        <v>333804</v>
      </c>
      <c r="N39" s="30">
        <f>ROUND(Table1[[#This Row],[Content.Column5]] * 1000, 0)</f>
        <v>1011682</v>
      </c>
      <c r="O39" s="30">
        <f>ROUND(Table1[[#This Row],[Content.Column6]] * 1000, 0)</f>
        <v>1049958</v>
      </c>
      <c r="P39" s="27"/>
      <c r="Q39" s="27"/>
      <c r="R39"/>
      <c r="S39"/>
    </row>
    <row r="40" spans="1:19" x14ac:dyDescent="0.3">
      <c r="A40">
        <v>2009</v>
      </c>
      <c r="B40" t="s">
        <v>99</v>
      </c>
      <c r="C40" t="s">
        <v>98</v>
      </c>
      <c r="D40" s="34">
        <f>ROUND(Table1[[#This Row],[Content.Column7]] * 1000, 0)</f>
        <v>438228</v>
      </c>
      <c r="E40" s="34">
        <f>ROUND(Table1[[#This Row],[Content.Column8]] * 1000, 0)</f>
        <v>253554</v>
      </c>
      <c r="F40" s="34">
        <f>ROUND(Table1[[#This Row],[Content.Column9]] * 1000, 0)</f>
        <v>691783</v>
      </c>
      <c r="G40" s="34">
        <f>ROUND(Table1[[#This Row],[Content.Column10]] * 1000, 0)</f>
        <v>715287</v>
      </c>
      <c r="H40" s="32">
        <f>ROUND(Table1[[#This Row],[Content.Column11]] * 1000, 0)</f>
        <v>1612103</v>
      </c>
      <c r="I40" s="32">
        <f>ROUND(Table1[[#This Row],[Content.Column12]] * 1000, 0)</f>
        <v>707807</v>
      </c>
      <c r="J40" s="32">
        <f>ROUND(Table1[[#This Row],[Content.Column13]] * 1000, 0)</f>
        <v>2319910</v>
      </c>
      <c r="K40" s="32">
        <f>ROUND(Table1[[#This Row],[Content.Column14]] * 1000, 0)</f>
        <v>2402965</v>
      </c>
      <c r="L40" s="30">
        <f>ROUND(Table1[[#This Row],[Content.Column3]] * 1000, 0)</f>
        <v>2050331</v>
      </c>
      <c r="M40" s="30">
        <f>ROUND(Table1[[#This Row],[Content.Column4]] * 1000, 0)</f>
        <v>961361</v>
      </c>
      <c r="N40" s="30">
        <f>ROUND(Table1[[#This Row],[Content.Column5]] * 1000, 0)</f>
        <v>3011692</v>
      </c>
      <c r="O40" s="30">
        <f>ROUND(Table1[[#This Row],[Content.Column6]] * 1000, 0)</f>
        <v>3118252</v>
      </c>
      <c r="P40" s="27"/>
      <c r="Q40" s="27"/>
      <c r="R40"/>
      <c r="S40"/>
    </row>
    <row r="41" spans="1:19" x14ac:dyDescent="0.3">
      <c r="A41">
        <v>2009</v>
      </c>
      <c r="B41" t="s">
        <v>101</v>
      </c>
      <c r="C41" t="s">
        <v>100</v>
      </c>
      <c r="D41" s="34">
        <f>ROUND(Table1[[#This Row],[Content.Column7]] * 1000, 0)</f>
        <v>333458</v>
      </c>
      <c r="E41" s="34">
        <f>ROUND(Table1[[#This Row],[Content.Column8]] * 1000, 0)</f>
        <v>198761</v>
      </c>
      <c r="F41" s="34">
        <f>ROUND(Table1[[#This Row],[Content.Column9]] * 1000, 0)</f>
        <v>532219</v>
      </c>
      <c r="G41" s="34">
        <f>ROUND(Table1[[#This Row],[Content.Column10]] * 1000, 0)</f>
        <v>554045</v>
      </c>
      <c r="H41" s="32">
        <f>ROUND(Table1[[#This Row],[Content.Column11]] * 1000, 0)</f>
        <v>1122332</v>
      </c>
      <c r="I41" s="32">
        <f>ROUND(Table1[[#This Row],[Content.Column12]] * 1000, 0)</f>
        <v>569863</v>
      </c>
      <c r="J41" s="32">
        <f>ROUND(Table1[[#This Row],[Content.Column13]] * 1000, 0)</f>
        <v>1692195</v>
      </c>
      <c r="K41" s="32">
        <f>ROUND(Table1[[#This Row],[Content.Column14]] * 1000, 0)</f>
        <v>1775076</v>
      </c>
      <c r="L41" s="30">
        <f>ROUND(Table1[[#This Row],[Content.Column3]] * 1000, 0)</f>
        <v>1455790</v>
      </c>
      <c r="M41" s="30">
        <f>ROUND(Table1[[#This Row],[Content.Column4]] * 1000, 0)</f>
        <v>768624</v>
      </c>
      <c r="N41" s="30">
        <f>ROUND(Table1[[#This Row],[Content.Column5]] * 1000, 0)</f>
        <v>2224415</v>
      </c>
      <c r="O41" s="30">
        <f>ROUND(Table1[[#This Row],[Content.Column6]] * 1000, 0)</f>
        <v>2329121</v>
      </c>
      <c r="P41" s="27"/>
      <c r="Q41" s="27"/>
      <c r="R41"/>
      <c r="S41"/>
    </row>
    <row r="42" spans="1:19" x14ac:dyDescent="0.3">
      <c r="A42">
        <v>2009</v>
      </c>
      <c r="B42" t="s">
        <v>103</v>
      </c>
      <c r="C42" t="s">
        <v>102</v>
      </c>
      <c r="D42" s="34">
        <f>ROUND(Table1[[#This Row],[Content.Column7]] * 1000, 0)</f>
        <v>221454</v>
      </c>
      <c r="E42" s="34">
        <f>ROUND(Table1[[#This Row],[Content.Column8]] * 1000, 0)</f>
        <v>177885</v>
      </c>
      <c r="F42" s="34">
        <f>ROUND(Table1[[#This Row],[Content.Column9]] * 1000, 0)</f>
        <v>399339</v>
      </c>
      <c r="G42" s="34">
        <f>ROUND(Table1[[#This Row],[Content.Column10]] * 1000, 0)</f>
        <v>419490</v>
      </c>
      <c r="H42" s="32">
        <f>ROUND(Table1[[#This Row],[Content.Column11]] * 1000, 0)</f>
        <v>1044387</v>
      </c>
      <c r="I42" s="32">
        <f>ROUND(Table1[[#This Row],[Content.Column12]] * 1000, 0)</f>
        <v>463257</v>
      </c>
      <c r="J42" s="32">
        <f>ROUND(Table1[[#This Row],[Content.Column13]] * 1000, 0)</f>
        <v>1507645</v>
      </c>
      <c r="K42" s="32">
        <f>ROUND(Table1[[#This Row],[Content.Column14]] * 1000, 0)</f>
        <v>1575296</v>
      </c>
      <c r="L42" s="30">
        <f>ROUND(Table1[[#This Row],[Content.Column3]] * 1000, 0)</f>
        <v>1265841</v>
      </c>
      <c r="M42" s="30">
        <f>ROUND(Table1[[#This Row],[Content.Column4]] * 1000, 0)</f>
        <v>641142</v>
      </c>
      <c r="N42" s="30">
        <f>ROUND(Table1[[#This Row],[Content.Column5]] * 1000, 0)</f>
        <v>1906984</v>
      </c>
      <c r="O42" s="30">
        <f>ROUND(Table1[[#This Row],[Content.Column6]] * 1000, 0)</f>
        <v>1994786</v>
      </c>
      <c r="P42" s="27"/>
      <c r="Q42" s="27"/>
      <c r="R42"/>
      <c r="S42"/>
    </row>
    <row r="43" spans="1:19" x14ac:dyDescent="0.3">
      <c r="A43">
        <v>2009</v>
      </c>
      <c r="B43" t="s">
        <v>105</v>
      </c>
      <c r="C43" t="s">
        <v>104</v>
      </c>
      <c r="D43" s="34">
        <f>ROUND(Table1[[#This Row],[Content.Column7]] * 1000, 0)</f>
        <v>303381</v>
      </c>
      <c r="E43" s="34">
        <f>ROUND(Table1[[#This Row],[Content.Column8]] * 1000, 0)</f>
        <v>207067</v>
      </c>
      <c r="F43" s="34">
        <f>ROUND(Table1[[#This Row],[Content.Column9]] * 1000, 0)</f>
        <v>510448</v>
      </c>
      <c r="G43" s="34">
        <f>ROUND(Table1[[#This Row],[Content.Column10]] * 1000, 0)</f>
        <v>534217</v>
      </c>
      <c r="H43" s="32">
        <f>ROUND(Table1[[#This Row],[Content.Column11]] * 1000, 0)</f>
        <v>1251838</v>
      </c>
      <c r="I43" s="32">
        <f>ROUND(Table1[[#This Row],[Content.Column12]] * 1000, 0)</f>
        <v>539989</v>
      </c>
      <c r="J43" s="32">
        <f>ROUND(Table1[[#This Row],[Content.Column13]] * 1000, 0)</f>
        <v>1791827</v>
      </c>
      <c r="K43" s="32">
        <f>ROUND(Table1[[#This Row],[Content.Column14]] * 1000, 0)</f>
        <v>1869272</v>
      </c>
      <c r="L43" s="30">
        <f>ROUND(Table1[[#This Row],[Content.Column3]] * 1000, 0)</f>
        <v>1555220</v>
      </c>
      <c r="M43" s="30">
        <f>ROUND(Table1[[#This Row],[Content.Column4]] * 1000, 0)</f>
        <v>747055</v>
      </c>
      <c r="N43" s="30">
        <f>ROUND(Table1[[#This Row],[Content.Column5]] * 1000, 0)</f>
        <v>2302275</v>
      </c>
      <c r="O43" s="30">
        <f>ROUND(Table1[[#This Row],[Content.Column6]] * 1000, 0)</f>
        <v>2403489</v>
      </c>
      <c r="P43" s="27"/>
      <c r="Q43" s="27"/>
      <c r="R43"/>
      <c r="S43"/>
    </row>
    <row r="44" spans="1:19" x14ac:dyDescent="0.3">
      <c r="A44">
        <v>2009</v>
      </c>
      <c r="B44" t="s">
        <v>107</v>
      </c>
      <c r="C44" t="s">
        <v>106</v>
      </c>
      <c r="D44" s="34">
        <f>ROUND(Table1[[#This Row],[Content.Column7]] * 1000, 0)</f>
        <v>287090</v>
      </c>
      <c r="E44" s="34">
        <f>ROUND(Table1[[#This Row],[Content.Column8]] * 1000, 0)</f>
        <v>198797</v>
      </c>
      <c r="F44" s="34">
        <f>ROUND(Table1[[#This Row],[Content.Column9]] * 1000, 0)</f>
        <v>485887</v>
      </c>
      <c r="G44" s="34">
        <f>ROUND(Table1[[#This Row],[Content.Column10]] * 1000, 0)</f>
        <v>506034</v>
      </c>
      <c r="H44" s="32">
        <f>ROUND(Table1[[#This Row],[Content.Column11]] * 1000, 0)</f>
        <v>1324936</v>
      </c>
      <c r="I44" s="32">
        <f>ROUND(Table1[[#This Row],[Content.Column12]] * 1000, 0)</f>
        <v>611719</v>
      </c>
      <c r="J44" s="32">
        <f>ROUND(Table1[[#This Row],[Content.Column13]] * 1000, 0)</f>
        <v>1936655</v>
      </c>
      <c r="K44" s="32">
        <f>ROUND(Table1[[#This Row],[Content.Column14]] * 1000, 0)</f>
        <v>2034001</v>
      </c>
      <c r="L44" s="30">
        <f>ROUND(Table1[[#This Row],[Content.Column3]] * 1000, 0)</f>
        <v>1612026</v>
      </c>
      <c r="M44" s="30">
        <f>ROUND(Table1[[#This Row],[Content.Column4]] * 1000, 0)</f>
        <v>810516</v>
      </c>
      <c r="N44" s="30">
        <f>ROUND(Table1[[#This Row],[Content.Column5]] * 1000, 0)</f>
        <v>2422542</v>
      </c>
      <c r="O44" s="30">
        <f>ROUND(Table1[[#This Row],[Content.Column6]] * 1000, 0)</f>
        <v>2540035</v>
      </c>
      <c r="P44" s="27"/>
      <c r="Q44" s="27"/>
      <c r="R44"/>
      <c r="S44"/>
    </row>
    <row r="45" spans="1:19" x14ac:dyDescent="0.3">
      <c r="A45">
        <v>2009</v>
      </c>
      <c r="B45" t="s">
        <v>109</v>
      </c>
      <c r="C45" t="s">
        <v>108</v>
      </c>
      <c r="D45" s="34">
        <f>ROUND(Table1[[#This Row],[Content.Column7]] * 1000, 0)</f>
        <v>555380</v>
      </c>
      <c r="E45" s="34">
        <f>ROUND(Table1[[#This Row],[Content.Column8]] * 1000, 0)</f>
        <v>207052</v>
      </c>
      <c r="F45" s="34">
        <f>ROUND(Table1[[#This Row],[Content.Column9]] * 1000, 0)</f>
        <v>762433</v>
      </c>
      <c r="G45" s="34">
        <f>ROUND(Table1[[#This Row],[Content.Column10]] * 1000, 0)</f>
        <v>766232</v>
      </c>
      <c r="H45" s="32">
        <f>ROUND(Table1[[#This Row],[Content.Column11]] * 1000, 0)</f>
        <v>2516235</v>
      </c>
      <c r="I45" s="32">
        <f>ROUND(Table1[[#This Row],[Content.Column12]] * 1000, 0)</f>
        <v>864790</v>
      </c>
      <c r="J45" s="32">
        <f>ROUND(Table1[[#This Row],[Content.Column13]] * 1000, 0)</f>
        <v>3381025</v>
      </c>
      <c r="K45" s="32">
        <f>ROUND(Table1[[#This Row],[Content.Column14]] * 1000, 0)</f>
        <v>3506450</v>
      </c>
      <c r="L45" s="30">
        <f>ROUND(Table1[[#This Row],[Content.Column3]] * 1000, 0)</f>
        <v>3071615</v>
      </c>
      <c r="M45" s="30">
        <f>ROUND(Table1[[#This Row],[Content.Column4]] * 1000, 0)</f>
        <v>1071842</v>
      </c>
      <c r="N45" s="30">
        <f>ROUND(Table1[[#This Row],[Content.Column5]] * 1000, 0)</f>
        <v>4143458</v>
      </c>
      <c r="O45" s="30">
        <f>ROUND(Table1[[#This Row],[Content.Column6]] * 1000, 0)</f>
        <v>4272682</v>
      </c>
      <c r="P45" s="27"/>
      <c r="Q45" s="27"/>
      <c r="R45"/>
      <c r="S45"/>
    </row>
    <row r="46" spans="1:19" x14ac:dyDescent="0.3">
      <c r="A46">
        <v>2009</v>
      </c>
      <c r="B46" t="s">
        <v>111</v>
      </c>
      <c r="C46" t="s">
        <v>110</v>
      </c>
      <c r="D46" s="34">
        <f>ROUND(Table1[[#This Row],[Content.Column7]] * 1000, 0)</f>
        <v>427039</v>
      </c>
      <c r="E46" s="34">
        <f>ROUND(Table1[[#This Row],[Content.Column8]] * 1000, 0)</f>
        <v>264610</v>
      </c>
      <c r="F46" s="34">
        <f>ROUND(Table1[[#This Row],[Content.Column9]] * 1000, 0)</f>
        <v>691649</v>
      </c>
      <c r="G46" s="34">
        <f>ROUND(Table1[[#This Row],[Content.Column10]] * 1000, 0)</f>
        <v>713428</v>
      </c>
      <c r="H46" s="32">
        <f>ROUND(Table1[[#This Row],[Content.Column11]] * 1000, 0)</f>
        <v>2109992</v>
      </c>
      <c r="I46" s="32">
        <f>ROUND(Table1[[#This Row],[Content.Column12]] * 1000, 0)</f>
        <v>925542</v>
      </c>
      <c r="J46" s="32">
        <f>ROUND(Table1[[#This Row],[Content.Column13]] * 1000, 0)</f>
        <v>3035534</v>
      </c>
      <c r="K46" s="32">
        <f>ROUND(Table1[[#This Row],[Content.Column14]] * 1000, 0)</f>
        <v>3177511</v>
      </c>
      <c r="L46" s="30">
        <f>ROUND(Table1[[#This Row],[Content.Column3]] * 1000, 0)</f>
        <v>2537030</v>
      </c>
      <c r="M46" s="30">
        <f>ROUND(Table1[[#This Row],[Content.Column4]] * 1000, 0)</f>
        <v>1190152</v>
      </c>
      <c r="N46" s="30">
        <f>ROUND(Table1[[#This Row],[Content.Column5]] * 1000, 0)</f>
        <v>3727183</v>
      </c>
      <c r="O46" s="30">
        <f>ROUND(Table1[[#This Row],[Content.Column6]] * 1000, 0)</f>
        <v>3890939</v>
      </c>
      <c r="P46" s="27"/>
      <c r="Q46" s="27"/>
      <c r="R46"/>
      <c r="S46"/>
    </row>
    <row r="47" spans="1:19" x14ac:dyDescent="0.3">
      <c r="A47">
        <v>2009</v>
      </c>
      <c r="B47" t="s">
        <v>113</v>
      </c>
      <c r="C47" t="s">
        <v>112</v>
      </c>
      <c r="D47" s="34">
        <f>ROUND(Table1[[#This Row],[Content.Column7]] * 1000, 0)</f>
        <v>287910</v>
      </c>
      <c r="E47" s="34">
        <f>ROUND(Table1[[#This Row],[Content.Column8]] * 1000, 0)</f>
        <v>213983</v>
      </c>
      <c r="F47" s="34">
        <f>ROUND(Table1[[#This Row],[Content.Column9]] * 1000, 0)</f>
        <v>501893</v>
      </c>
      <c r="G47" s="34">
        <f>ROUND(Table1[[#This Row],[Content.Column10]] * 1000, 0)</f>
        <v>546575</v>
      </c>
      <c r="H47" s="32">
        <f>ROUND(Table1[[#This Row],[Content.Column11]] * 1000, 0)</f>
        <v>1194994</v>
      </c>
      <c r="I47" s="32">
        <f>ROUND(Table1[[#This Row],[Content.Column12]] * 1000, 0)</f>
        <v>617556</v>
      </c>
      <c r="J47" s="32">
        <f>ROUND(Table1[[#This Row],[Content.Column13]] * 1000, 0)</f>
        <v>1812550</v>
      </c>
      <c r="K47" s="32">
        <f>ROUND(Table1[[#This Row],[Content.Column14]] * 1000, 0)</f>
        <v>1922261</v>
      </c>
      <c r="L47" s="30">
        <f>ROUND(Table1[[#This Row],[Content.Column3]] * 1000, 0)</f>
        <v>1482905</v>
      </c>
      <c r="M47" s="30">
        <f>ROUND(Table1[[#This Row],[Content.Column4]] * 1000, 0)</f>
        <v>831539</v>
      </c>
      <c r="N47" s="30">
        <f>ROUND(Table1[[#This Row],[Content.Column5]] * 1000, 0)</f>
        <v>2314443</v>
      </c>
      <c r="O47" s="30">
        <f>ROUND(Table1[[#This Row],[Content.Column6]] * 1000, 0)</f>
        <v>2468836</v>
      </c>
      <c r="P47" s="27"/>
      <c r="Q47" s="27"/>
      <c r="R47"/>
      <c r="S47"/>
    </row>
    <row r="48" spans="1:19" x14ac:dyDescent="0.3">
      <c r="A48">
        <v>2009</v>
      </c>
      <c r="B48" t="s">
        <v>115</v>
      </c>
      <c r="C48" t="s">
        <v>114</v>
      </c>
      <c r="D48" s="34">
        <f>ROUND(Table1[[#This Row],[Content.Column7]] * 1000, 0)</f>
        <v>212601</v>
      </c>
      <c r="E48" s="34">
        <f>ROUND(Table1[[#This Row],[Content.Column8]] * 1000, 0)</f>
        <v>129527</v>
      </c>
      <c r="F48" s="34">
        <f>ROUND(Table1[[#This Row],[Content.Column9]] * 1000, 0)</f>
        <v>342128</v>
      </c>
      <c r="G48" s="34">
        <f>ROUND(Table1[[#This Row],[Content.Column10]] * 1000, 0)</f>
        <v>388910</v>
      </c>
      <c r="H48" s="32">
        <f>ROUND(Table1[[#This Row],[Content.Column11]] * 1000, 0)</f>
        <v>553106</v>
      </c>
      <c r="I48" s="32">
        <f>ROUND(Table1[[#This Row],[Content.Column12]] * 1000, 0)</f>
        <v>275900</v>
      </c>
      <c r="J48" s="32">
        <f>ROUND(Table1[[#This Row],[Content.Column13]] * 1000, 0)</f>
        <v>829006</v>
      </c>
      <c r="K48" s="32">
        <f>ROUND(Table1[[#This Row],[Content.Column14]] * 1000, 0)</f>
        <v>878129</v>
      </c>
      <c r="L48" s="30">
        <f>ROUND(Table1[[#This Row],[Content.Column3]] * 1000, 0)</f>
        <v>765708</v>
      </c>
      <c r="M48" s="30">
        <f>ROUND(Table1[[#This Row],[Content.Column4]] * 1000, 0)</f>
        <v>405426</v>
      </c>
      <c r="N48" s="30">
        <f>ROUND(Table1[[#This Row],[Content.Column5]] * 1000, 0)</f>
        <v>1171134</v>
      </c>
      <c r="O48" s="30">
        <f>ROUND(Table1[[#This Row],[Content.Column6]] * 1000, 0)</f>
        <v>1267039</v>
      </c>
      <c r="P48" s="27"/>
      <c r="Q48" s="27"/>
      <c r="R48"/>
      <c r="S48"/>
    </row>
    <row r="49" spans="1:19" x14ac:dyDescent="0.3">
      <c r="A49">
        <v>2009</v>
      </c>
      <c r="B49" t="s">
        <v>117</v>
      </c>
      <c r="C49" t="s">
        <v>116</v>
      </c>
      <c r="D49" s="34">
        <f>ROUND(Table1[[#This Row],[Content.Column7]] * 1000, 0)</f>
        <v>423356</v>
      </c>
      <c r="E49" s="34">
        <f>ROUND(Table1[[#This Row],[Content.Column8]] * 1000, 0)</f>
        <v>243697</v>
      </c>
      <c r="F49" s="34">
        <f>ROUND(Table1[[#This Row],[Content.Column9]] * 1000, 0)</f>
        <v>667053</v>
      </c>
      <c r="G49" s="34">
        <f>ROUND(Table1[[#This Row],[Content.Column10]] * 1000, 0)</f>
        <v>710199</v>
      </c>
      <c r="H49" s="32">
        <f>ROUND(Table1[[#This Row],[Content.Column11]] * 1000, 0)</f>
        <v>1212528</v>
      </c>
      <c r="I49" s="32">
        <f>ROUND(Table1[[#This Row],[Content.Column12]] * 1000, 0)</f>
        <v>527202</v>
      </c>
      <c r="J49" s="32">
        <f>ROUND(Table1[[#This Row],[Content.Column13]] * 1000, 0)</f>
        <v>1739729</v>
      </c>
      <c r="K49" s="32">
        <f>ROUND(Table1[[#This Row],[Content.Column14]] * 1000, 0)</f>
        <v>1812854</v>
      </c>
      <c r="L49" s="30">
        <f>ROUND(Table1[[#This Row],[Content.Column3]] * 1000, 0)</f>
        <v>1635884</v>
      </c>
      <c r="M49" s="30">
        <f>ROUND(Table1[[#This Row],[Content.Column4]] * 1000, 0)</f>
        <v>770899</v>
      </c>
      <c r="N49" s="30">
        <f>ROUND(Table1[[#This Row],[Content.Column5]] * 1000, 0)</f>
        <v>2406782</v>
      </c>
      <c r="O49" s="30">
        <f>ROUND(Table1[[#This Row],[Content.Column6]] * 1000, 0)</f>
        <v>2523054</v>
      </c>
      <c r="P49" s="27"/>
      <c r="Q49" s="27"/>
      <c r="R49"/>
      <c r="S49"/>
    </row>
    <row r="50" spans="1:19" x14ac:dyDescent="0.3">
      <c r="A50">
        <v>2009</v>
      </c>
      <c r="B50" t="s">
        <v>119</v>
      </c>
      <c r="C50" t="s">
        <v>118</v>
      </c>
      <c r="D50" s="34">
        <f>ROUND(Table1[[#This Row],[Content.Column7]] * 1000, 0)</f>
        <v>3031712</v>
      </c>
      <c r="E50" s="34">
        <f>ROUND(Table1[[#This Row],[Content.Column8]] * 1000, 0)</f>
        <v>1820785</v>
      </c>
      <c r="F50" s="34">
        <f>ROUND(Table1[[#This Row],[Content.Column9]] * 1000, 0)</f>
        <v>4852497</v>
      </c>
      <c r="G50" s="34">
        <f>ROUND(Table1[[#This Row],[Content.Column10]] * 1000, 0)</f>
        <v>5039846</v>
      </c>
      <c r="H50" s="32">
        <f>ROUND(Table1[[#This Row],[Content.Column11]] * 1000, 0)</f>
        <v>12676924</v>
      </c>
      <c r="I50" s="32">
        <f>ROUND(Table1[[#This Row],[Content.Column12]] * 1000, 0)</f>
        <v>5535252</v>
      </c>
      <c r="J50" s="32">
        <f>ROUND(Table1[[#This Row],[Content.Column13]] * 1000, 0)</f>
        <v>18212177</v>
      </c>
      <c r="K50" s="32">
        <f>ROUND(Table1[[#This Row],[Content.Column14]] * 1000, 0)</f>
        <v>19028251</v>
      </c>
      <c r="L50" s="30">
        <f>ROUND(Table1[[#This Row],[Content.Column3]] * 1000, 0)</f>
        <v>15708636</v>
      </c>
      <c r="M50" s="30">
        <f>ROUND(Table1[[#This Row],[Content.Column4]] * 1000, 0)</f>
        <v>7356037</v>
      </c>
      <c r="N50" s="30">
        <f>ROUND(Table1[[#This Row],[Content.Column5]] * 1000, 0)</f>
        <v>23064674</v>
      </c>
      <c r="O50" s="30">
        <f>ROUND(Table1[[#This Row],[Content.Column6]] * 1000, 0)</f>
        <v>24068097</v>
      </c>
      <c r="P50" s="27"/>
      <c r="Q50" s="27"/>
      <c r="R50"/>
      <c r="S50"/>
    </row>
    <row r="51" spans="1:19" x14ac:dyDescent="0.3">
      <c r="A51">
        <v>2009</v>
      </c>
      <c r="B51" t="s">
        <v>121</v>
      </c>
      <c r="C51" t="s">
        <v>120</v>
      </c>
      <c r="D51" s="34">
        <f>ROUND(Table1[[#This Row],[Content.Column7]] * 1000, 0)</f>
        <v>3667669</v>
      </c>
      <c r="E51" s="34">
        <f>ROUND(Table1[[#This Row],[Content.Column8]] * 1000, 0)</f>
        <v>2194009</v>
      </c>
      <c r="F51" s="34">
        <f>ROUND(Table1[[#This Row],[Content.Column9]] * 1000, 0)</f>
        <v>5861678</v>
      </c>
      <c r="G51" s="34">
        <f>ROUND(Table1[[#This Row],[Content.Column10]] * 1000, 0)</f>
        <v>6138956</v>
      </c>
      <c r="H51" s="32">
        <f>ROUND(Table1[[#This Row],[Content.Column11]] * 1000, 0)</f>
        <v>14442558</v>
      </c>
      <c r="I51" s="32">
        <f>ROUND(Table1[[#This Row],[Content.Column12]] * 1000, 0)</f>
        <v>6338353</v>
      </c>
      <c r="J51" s="32">
        <f>ROUND(Table1[[#This Row],[Content.Column13]] * 1000, 0)</f>
        <v>20780913</v>
      </c>
      <c r="K51" s="32">
        <f>ROUND(Table1[[#This Row],[Content.Column14]] * 1000, 0)</f>
        <v>21719234</v>
      </c>
      <c r="L51" s="30">
        <f>ROUND(Table1[[#This Row],[Content.Column3]] * 1000, 0)</f>
        <v>18110227</v>
      </c>
      <c r="M51" s="30">
        <f>ROUND(Table1[[#This Row],[Content.Column4]] * 1000, 0)</f>
        <v>8532362</v>
      </c>
      <c r="N51" s="30">
        <f>ROUND(Table1[[#This Row],[Content.Column5]] * 1000, 0)</f>
        <v>26642590</v>
      </c>
      <c r="O51" s="30">
        <f>ROUND(Table1[[#This Row],[Content.Column6]] * 1000, 0)</f>
        <v>27858190</v>
      </c>
      <c r="P51" s="27"/>
      <c r="Q51" s="27"/>
      <c r="R51"/>
      <c r="S51"/>
    </row>
    <row r="52" spans="1:19" x14ac:dyDescent="0.3">
      <c r="A52">
        <v>2010</v>
      </c>
      <c r="B52" t="s">
        <v>27</v>
      </c>
      <c r="C52" t="s">
        <v>26</v>
      </c>
      <c r="D52" s="34">
        <f>ROUND(Table1[[#This Row],[Content.Column7]] * 1000, 0)</f>
        <v>17608</v>
      </c>
      <c r="E52" s="34">
        <f>ROUND(Table1[[#This Row],[Content.Column8]] * 1000, 0)</f>
        <v>1940</v>
      </c>
      <c r="F52" s="34">
        <f>ROUND(Table1[[#This Row],[Content.Column9]] * 1000, 0)</f>
        <v>19548</v>
      </c>
      <c r="G52" s="34">
        <f>ROUND(Table1[[#This Row],[Content.Column10]] * 1000, 0)</f>
        <v>19603</v>
      </c>
      <c r="H52" s="32">
        <f>ROUND(Table1[[#This Row],[Content.Column11]] * 1000, 0)</f>
        <v>285116</v>
      </c>
      <c r="I52" s="32">
        <f>ROUND(Table1[[#This Row],[Content.Column12]] * 1000, 0)</f>
        <v>40438</v>
      </c>
      <c r="J52" s="32">
        <f>ROUND(Table1[[#This Row],[Content.Column13]] * 1000, 0)</f>
        <v>325539</v>
      </c>
      <c r="K52" s="32">
        <f>ROUND(Table1[[#This Row],[Content.Column14]] * 1000, 0)</f>
        <v>337020</v>
      </c>
      <c r="L52" s="30">
        <f>ROUND(Table1[[#This Row],[Content.Column3]] * 1000, 0)</f>
        <v>302724</v>
      </c>
      <c r="M52" s="30">
        <f>ROUND(Table1[[#This Row],[Content.Column4]] * 1000, 0)</f>
        <v>42378</v>
      </c>
      <c r="N52" s="30">
        <f>ROUND(Table1[[#This Row],[Content.Column5]] * 1000, 0)</f>
        <v>345087</v>
      </c>
      <c r="O52" s="30">
        <f>ROUND(Table1[[#This Row],[Content.Column6]] * 1000, 0)</f>
        <v>356623</v>
      </c>
      <c r="P52" s="27"/>
      <c r="Q52" s="27"/>
      <c r="R52"/>
      <c r="S52"/>
    </row>
    <row r="53" spans="1:19" x14ac:dyDescent="0.3">
      <c r="A53">
        <v>2010</v>
      </c>
      <c r="B53" t="s">
        <v>29</v>
      </c>
      <c r="C53" t="s">
        <v>28</v>
      </c>
      <c r="D53" s="34">
        <f>ROUND(Table1[[#This Row],[Content.Column7]] * 1000, 0)</f>
        <v>6695</v>
      </c>
      <c r="E53" s="34">
        <f>ROUND(Table1[[#This Row],[Content.Column8]] * 1000, 0)</f>
        <v>5775</v>
      </c>
      <c r="F53" s="34">
        <f>ROUND(Table1[[#This Row],[Content.Column9]] * 1000, 0)</f>
        <v>12470</v>
      </c>
      <c r="G53" s="34">
        <f>ROUND(Table1[[#This Row],[Content.Column10]] * 1000, 0)</f>
        <v>12494</v>
      </c>
      <c r="H53" s="32">
        <f>ROUND(Table1[[#This Row],[Content.Column11]] * 1000, 0)</f>
        <v>26623</v>
      </c>
      <c r="I53" s="32">
        <f>ROUND(Table1[[#This Row],[Content.Column12]] * 1000, 0)</f>
        <v>8391</v>
      </c>
      <c r="J53" s="32">
        <f>ROUND(Table1[[#This Row],[Content.Column13]] * 1000, 0)</f>
        <v>35012</v>
      </c>
      <c r="K53" s="32">
        <f>ROUND(Table1[[#This Row],[Content.Column14]] * 1000, 0)</f>
        <v>35843</v>
      </c>
      <c r="L53" s="30">
        <f>ROUND(Table1[[#This Row],[Content.Column3]] * 1000, 0)</f>
        <v>33318</v>
      </c>
      <c r="M53" s="30">
        <f>ROUND(Table1[[#This Row],[Content.Column4]] * 1000, 0)</f>
        <v>14166</v>
      </c>
      <c r="N53" s="30">
        <f>ROUND(Table1[[#This Row],[Content.Column5]] * 1000, 0)</f>
        <v>47482</v>
      </c>
      <c r="O53" s="30">
        <f>ROUND(Table1[[#This Row],[Content.Column6]] * 1000, 0)</f>
        <v>48337</v>
      </c>
      <c r="P53" s="27"/>
      <c r="Q53" s="27"/>
      <c r="R53"/>
      <c r="S53"/>
    </row>
    <row r="54" spans="1:19" x14ac:dyDescent="0.3">
      <c r="A54">
        <v>2010</v>
      </c>
      <c r="B54" t="s">
        <v>31</v>
      </c>
      <c r="C54" t="s">
        <v>30</v>
      </c>
      <c r="D54" s="34">
        <f>ROUND(Table1[[#This Row],[Content.Column7]] * 1000, 0)</f>
        <v>15146</v>
      </c>
      <c r="E54" s="34">
        <f>ROUND(Table1[[#This Row],[Content.Column8]] * 1000, 0)</f>
        <v>10899</v>
      </c>
      <c r="F54" s="34">
        <f>ROUND(Table1[[#This Row],[Content.Column9]] * 1000, 0)</f>
        <v>26045</v>
      </c>
      <c r="G54" s="34">
        <f>ROUND(Table1[[#This Row],[Content.Column10]] * 1000, 0)</f>
        <v>26063</v>
      </c>
      <c r="H54" s="32">
        <f>ROUND(Table1[[#This Row],[Content.Column11]] * 1000, 0)</f>
        <v>57701</v>
      </c>
      <c r="I54" s="32">
        <f>ROUND(Table1[[#This Row],[Content.Column12]] * 1000, 0)</f>
        <v>28317</v>
      </c>
      <c r="J54" s="32">
        <f>ROUND(Table1[[#This Row],[Content.Column13]] * 1000, 0)</f>
        <v>86015</v>
      </c>
      <c r="K54" s="32">
        <f>ROUND(Table1[[#This Row],[Content.Column14]] * 1000, 0)</f>
        <v>89687</v>
      </c>
      <c r="L54" s="30">
        <f>ROUND(Table1[[#This Row],[Content.Column3]] * 1000, 0)</f>
        <v>72847</v>
      </c>
      <c r="M54" s="30">
        <f>ROUND(Table1[[#This Row],[Content.Column4]] * 1000, 0)</f>
        <v>39216</v>
      </c>
      <c r="N54" s="30">
        <f>ROUND(Table1[[#This Row],[Content.Column5]] * 1000, 0)</f>
        <v>112059</v>
      </c>
      <c r="O54" s="30">
        <f>ROUND(Table1[[#This Row],[Content.Column6]] * 1000, 0)</f>
        <v>115750</v>
      </c>
      <c r="P54" s="27"/>
      <c r="Q54" s="27"/>
      <c r="R54"/>
      <c r="S54"/>
    </row>
    <row r="55" spans="1:19" x14ac:dyDescent="0.3">
      <c r="A55">
        <v>2010</v>
      </c>
      <c r="B55" t="s">
        <v>33</v>
      </c>
      <c r="C55" t="s">
        <v>32</v>
      </c>
      <c r="D55" s="34">
        <f>ROUND(Table1[[#This Row],[Content.Column7]] * 1000, 0)</f>
        <v>7445</v>
      </c>
      <c r="E55" s="34">
        <f>ROUND(Table1[[#This Row],[Content.Column8]] * 1000, 0)</f>
        <v>5167</v>
      </c>
      <c r="F55" s="34">
        <f>ROUND(Table1[[#This Row],[Content.Column9]] * 1000, 0)</f>
        <v>12613</v>
      </c>
      <c r="G55" s="34">
        <f>ROUND(Table1[[#This Row],[Content.Column10]] * 1000, 0)</f>
        <v>12620</v>
      </c>
      <c r="H55" s="32">
        <f>ROUND(Table1[[#This Row],[Content.Column11]] * 1000, 0)</f>
        <v>34309</v>
      </c>
      <c r="I55" s="32">
        <f>ROUND(Table1[[#This Row],[Content.Column12]] * 1000, 0)</f>
        <v>17770</v>
      </c>
      <c r="J55" s="32">
        <f>ROUND(Table1[[#This Row],[Content.Column13]] * 1000, 0)</f>
        <v>52077</v>
      </c>
      <c r="K55" s="32">
        <f>ROUND(Table1[[#This Row],[Content.Column14]] * 1000, 0)</f>
        <v>54080</v>
      </c>
      <c r="L55" s="30">
        <f>ROUND(Table1[[#This Row],[Content.Column3]] * 1000, 0)</f>
        <v>41754</v>
      </c>
      <c r="M55" s="30">
        <f>ROUND(Table1[[#This Row],[Content.Column4]] * 1000, 0)</f>
        <v>22938</v>
      </c>
      <c r="N55" s="30">
        <f>ROUND(Table1[[#This Row],[Content.Column5]] * 1000, 0)</f>
        <v>64690</v>
      </c>
      <c r="O55" s="30">
        <f>ROUND(Table1[[#This Row],[Content.Column6]] * 1000, 0)</f>
        <v>66700</v>
      </c>
      <c r="P55" s="27"/>
      <c r="Q55" s="27"/>
      <c r="R55"/>
      <c r="S55"/>
    </row>
    <row r="56" spans="1:19" x14ac:dyDescent="0.3">
      <c r="A56">
        <v>2010</v>
      </c>
      <c r="B56" t="s">
        <v>35</v>
      </c>
      <c r="C56" t="s">
        <v>34</v>
      </c>
      <c r="D56" s="34">
        <f>ROUND(Table1[[#This Row],[Content.Column7]] * 1000, 0)</f>
        <v>14144</v>
      </c>
      <c r="E56" s="34">
        <f>ROUND(Table1[[#This Row],[Content.Column8]] * 1000, 0)</f>
        <v>6906</v>
      </c>
      <c r="F56" s="34">
        <f>ROUND(Table1[[#This Row],[Content.Column9]] * 1000, 0)</f>
        <v>21050</v>
      </c>
      <c r="G56" s="34">
        <f>ROUND(Table1[[#This Row],[Content.Column10]] * 1000, 0)</f>
        <v>21083</v>
      </c>
      <c r="H56" s="32">
        <f>ROUND(Table1[[#This Row],[Content.Column11]] * 1000, 0)</f>
        <v>54185</v>
      </c>
      <c r="I56" s="32">
        <f>ROUND(Table1[[#This Row],[Content.Column12]] * 1000, 0)</f>
        <v>21532</v>
      </c>
      <c r="J56" s="32">
        <f>ROUND(Table1[[#This Row],[Content.Column13]] * 1000, 0)</f>
        <v>75715</v>
      </c>
      <c r="K56" s="32">
        <f>ROUND(Table1[[#This Row],[Content.Column14]] * 1000, 0)</f>
        <v>77917</v>
      </c>
      <c r="L56" s="30">
        <f>ROUND(Table1[[#This Row],[Content.Column3]] * 1000, 0)</f>
        <v>68329</v>
      </c>
      <c r="M56" s="30">
        <f>ROUND(Table1[[#This Row],[Content.Column4]] * 1000, 0)</f>
        <v>28438</v>
      </c>
      <c r="N56" s="30">
        <f>ROUND(Table1[[#This Row],[Content.Column5]] * 1000, 0)</f>
        <v>96765</v>
      </c>
      <c r="O56" s="30">
        <f>ROUND(Table1[[#This Row],[Content.Column6]] * 1000, 0)</f>
        <v>99000</v>
      </c>
      <c r="P56" s="27"/>
      <c r="Q56" s="27"/>
      <c r="R56"/>
      <c r="S56"/>
    </row>
    <row r="57" spans="1:19" x14ac:dyDescent="0.3">
      <c r="A57">
        <v>2010</v>
      </c>
      <c r="B57" t="s">
        <v>37</v>
      </c>
      <c r="C57" t="s">
        <v>36</v>
      </c>
      <c r="D57" s="34">
        <f>ROUND(Table1[[#This Row],[Content.Column7]] * 1000, 0)</f>
        <v>12078</v>
      </c>
      <c r="E57" s="34">
        <f>ROUND(Table1[[#This Row],[Content.Column8]] * 1000, 0)</f>
        <v>9483</v>
      </c>
      <c r="F57" s="34">
        <f>ROUND(Table1[[#This Row],[Content.Column9]] * 1000, 0)</f>
        <v>21561</v>
      </c>
      <c r="G57" s="34">
        <f>ROUND(Table1[[#This Row],[Content.Column10]] * 1000, 0)</f>
        <v>21586</v>
      </c>
      <c r="H57" s="32">
        <f>ROUND(Table1[[#This Row],[Content.Column11]] * 1000, 0)</f>
        <v>50663</v>
      </c>
      <c r="I57" s="32">
        <f>ROUND(Table1[[#This Row],[Content.Column12]] * 1000, 0)</f>
        <v>28154</v>
      </c>
      <c r="J57" s="32">
        <f>ROUND(Table1[[#This Row],[Content.Column13]] * 1000, 0)</f>
        <v>78815</v>
      </c>
      <c r="K57" s="32">
        <f>ROUND(Table1[[#This Row],[Content.Column14]] * 1000, 0)</f>
        <v>81883</v>
      </c>
      <c r="L57" s="30">
        <f>ROUND(Table1[[#This Row],[Content.Column3]] * 1000, 0)</f>
        <v>62742</v>
      </c>
      <c r="M57" s="30">
        <f>ROUND(Table1[[#This Row],[Content.Column4]] * 1000, 0)</f>
        <v>37637</v>
      </c>
      <c r="N57" s="30">
        <f>ROUND(Table1[[#This Row],[Content.Column5]] * 1000, 0)</f>
        <v>100376</v>
      </c>
      <c r="O57" s="30">
        <f>ROUND(Table1[[#This Row],[Content.Column6]] * 1000, 0)</f>
        <v>103469</v>
      </c>
      <c r="P57" s="27"/>
      <c r="Q57" s="27"/>
      <c r="R57"/>
      <c r="S57"/>
    </row>
    <row r="58" spans="1:19" x14ac:dyDescent="0.3">
      <c r="A58">
        <v>2010</v>
      </c>
      <c r="B58" t="s">
        <v>39</v>
      </c>
      <c r="C58" t="s">
        <v>38</v>
      </c>
      <c r="D58" s="34">
        <f>ROUND(Table1[[#This Row],[Content.Column7]] * 1000, 0)</f>
        <v>34430</v>
      </c>
      <c r="E58" s="34">
        <f>ROUND(Table1[[#This Row],[Content.Column8]] * 1000, 0)</f>
        <v>9917</v>
      </c>
      <c r="F58" s="34">
        <f>ROUND(Table1[[#This Row],[Content.Column9]] * 1000, 0)</f>
        <v>44347</v>
      </c>
      <c r="G58" s="34">
        <f>ROUND(Table1[[#This Row],[Content.Column10]] * 1000, 0)</f>
        <v>44431</v>
      </c>
      <c r="H58" s="32">
        <f>ROUND(Table1[[#This Row],[Content.Column11]] * 1000, 0)</f>
        <v>182870</v>
      </c>
      <c r="I58" s="32">
        <f>ROUND(Table1[[#This Row],[Content.Column12]] * 1000, 0)</f>
        <v>52803</v>
      </c>
      <c r="J58" s="32">
        <f>ROUND(Table1[[#This Row],[Content.Column13]] * 1000, 0)</f>
        <v>235662</v>
      </c>
      <c r="K58" s="32">
        <f>ROUND(Table1[[#This Row],[Content.Column14]] * 1000, 0)</f>
        <v>244822</v>
      </c>
      <c r="L58" s="30">
        <f>ROUND(Table1[[#This Row],[Content.Column3]] * 1000, 0)</f>
        <v>217299</v>
      </c>
      <c r="M58" s="30">
        <f>ROUND(Table1[[#This Row],[Content.Column4]] * 1000, 0)</f>
        <v>62721</v>
      </c>
      <c r="N58" s="30">
        <f>ROUND(Table1[[#This Row],[Content.Column5]] * 1000, 0)</f>
        <v>280009</v>
      </c>
      <c r="O58" s="30">
        <f>ROUND(Table1[[#This Row],[Content.Column6]] * 1000, 0)</f>
        <v>289253</v>
      </c>
      <c r="P58" s="27"/>
      <c r="Q58" s="27"/>
      <c r="R58"/>
      <c r="S58"/>
    </row>
    <row r="59" spans="1:19" x14ac:dyDescent="0.3">
      <c r="A59">
        <v>2010</v>
      </c>
      <c r="B59" t="s">
        <v>41</v>
      </c>
      <c r="C59" t="s">
        <v>40</v>
      </c>
      <c r="D59" s="34">
        <f>ROUND(Table1[[#This Row],[Content.Column7]] * 1000, 0)</f>
        <v>20715</v>
      </c>
      <c r="E59" s="34">
        <f>ROUND(Table1[[#This Row],[Content.Column8]] * 1000, 0)</f>
        <v>8769</v>
      </c>
      <c r="F59" s="34">
        <f>ROUND(Table1[[#This Row],[Content.Column9]] * 1000, 0)</f>
        <v>29483</v>
      </c>
      <c r="G59" s="34">
        <f>ROUND(Table1[[#This Row],[Content.Column10]] * 1000, 0)</f>
        <v>29568</v>
      </c>
      <c r="H59" s="32">
        <f>ROUND(Table1[[#This Row],[Content.Column11]] * 1000, 0)</f>
        <v>60547</v>
      </c>
      <c r="I59" s="32">
        <f>ROUND(Table1[[#This Row],[Content.Column12]] * 1000, 0)</f>
        <v>29153</v>
      </c>
      <c r="J59" s="32">
        <f>ROUND(Table1[[#This Row],[Content.Column13]] * 1000, 0)</f>
        <v>89695</v>
      </c>
      <c r="K59" s="32">
        <f>ROUND(Table1[[#This Row],[Content.Column14]] * 1000, 0)</f>
        <v>92737</v>
      </c>
      <c r="L59" s="30">
        <f>ROUND(Table1[[#This Row],[Content.Column3]] * 1000, 0)</f>
        <v>81261</v>
      </c>
      <c r="M59" s="30">
        <f>ROUND(Table1[[#This Row],[Content.Column4]] * 1000, 0)</f>
        <v>37922</v>
      </c>
      <c r="N59" s="30">
        <f>ROUND(Table1[[#This Row],[Content.Column5]] * 1000, 0)</f>
        <v>119179</v>
      </c>
      <c r="O59" s="30">
        <f>ROUND(Table1[[#This Row],[Content.Column6]] * 1000, 0)</f>
        <v>122305</v>
      </c>
      <c r="P59" s="27"/>
      <c r="Q59" s="27"/>
      <c r="R59"/>
      <c r="S59"/>
    </row>
    <row r="60" spans="1:19" x14ac:dyDescent="0.3">
      <c r="A60">
        <v>2010</v>
      </c>
      <c r="B60" t="s">
        <v>43</v>
      </c>
      <c r="C60" t="s">
        <v>42</v>
      </c>
      <c r="D60" s="34">
        <f>ROUND(Table1[[#This Row],[Content.Column7]] * 1000, 0)</f>
        <v>12759</v>
      </c>
      <c r="E60" s="34">
        <f>ROUND(Table1[[#This Row],[Content.Column8]] * 1000, 0)</f>
        <v>7239</v>
      </c>
      <c r="F60" s="34">
        <f>ROUND(Table1[[#This Row],[Content.Column9]] * 1000, 0)</f>
        <v>19998</v>
      </c>
      <c r="G60" s="34">
        <f>ROUND(Table1[[#This Row],[Content.Column10]] * 1000, 0)</f>
        <v>20057</v>
      </c>
      <c r="H60" s="32">
        <f>ROUND(Table1[[#This Row],[Content.Column11]] * 1000, 0)</f>
        <v>66016</v>
      </c>
      <c r="I60" s="32">
        <f>ROUND(Table1[[#This Row],[Content.Column12]] * 1000, 0)</f>
        <v>23406</v>
      </c>
      <c r="J60" s="32">
        <f>ROUND(Table1[[#This Row],[Content.Column13]] * 1000, 0)</f>
        <v>89419</v>
      </c>
      <c r="K60" s="32">
        <f>ROUND(Table1[[#This Row],[Content.Column14]] * 1000, 0)</f>
        <v>92064</v>
      </c>
      <c r="L60" s="30">
        <f>ROUND(Table1[[#This Row],[Content.Column3]] * 1000, 0)</f>
        <v>78775</v>
      </c>
      <c r="M60" s="30">
        <f>ROUND(Table1[[#This Row],[Content.Column4]] * 1000, 0)</f>
        <v>30645</v>
      </c>
      <c r="N60" s="30">
        <f>ROUND(Table1[[#This Row],[Content.Column5]] * 1000, 0)</f>
        <v>109417</v>
      </c>
      <c r="O60" s="30">
        <f>ROUND(Table1[[#This Row],[Content.Column6]] * 1000, 0)</f>
        <v>112121</v>
      </c>
      <c r="P60" s="27"/>
      <c r="Q60" s="27"/>
      <c r="R60"/>
      <c r="S60"/>
    </row>
    <row r="61" spans="1:19" x14ac:dyDescent="0.3">
      <c r="A61">
        <v>2010</v>
      </c>
      <c r="B61" t="s">
        <v>45</v>
      </c>
      <c r="C61" t="s">
        <v>44</v>
      </c>
      <c r="D61" s="34">
        <f>ROUND(Table1[[#This Row],[Content.Column7]] * 1000, 0)</f>
        <v>14581</v>
      </c>
      <c r="E61" s="34">
        <f>ROUND(Table1[[#This Row],[Content.Column8]] * 1000, 0)</f>
        <v>9720</v>
      </c>
      <c r="F61" s="34">
        <f>ROUND(Table1[[#This Row],[Content.Column9]] * 1000, 0)</f>
        <v>24301</v>
      </c>
      <c r="G61" s="34">
        <f>ROUND(Table1[[#This Row],[Content.Column10]] * 1000, 0)</f>
        <v>24467</v>
      </c>
      <c r="H61" s="32">
        <f>ROUND(Table1[[#This Row],[Content.Column11]] * 1000, 0)</f>
        <v>46409</v>
      </c>
      <c r="I61" s="32">
        <f>ROUND(Table1[[#This Row],[Content.Column12]] * 1000, 0)</f>
        <v>22934</v>
      </c>
      <c r="J61" s="32">
        <f>ROUND(Table1[[#This Row],[Content.Column13]] * 1000, 0)</f>
        <v>69342</v>
      </c>
      <c r="K61" s="32">
        <f>ROUND(Table1[[#This Row],[Content.Column14]] * 1000, 0)</f>
        <v>71296</v>
      </c>
      <c r="L61" s="30">
        <f>ROUND(Table1[[#This Row],[Content.Column3]] * 1000, 0)</f>
        <v>60990</v>
      </c>
      <c r="M61" s="30">
        <f>ROUND(Table1[[#This Row],[Content.Column4]] * 1000, 0)</f>
        <v>32655</v>
      </c>
      <c r="N61" s="30">
        <f>ROUND(Table1[[#This Row],[Content.Column5]] * 1000, 0)</f>
        <v>93643</v>
      </c>
      <c r="O61" s="30">
        <f>ROUND(Table1[[#This Row],[Content.Column6]] * 1000, 0)</f>
        <v>95763</v>
      </c>
      <c r="P61" s="27"/>
      <c r="Q61" s="27"/>
      <c r="R61"/>
      <c r="S61"/>
    </row>
    <row r="62" spans="1:19" x14ac:dyDescent="0.3">
      <c r="A62">
        <v>2010</v>
      </c>
      <c r="B62" t="s">
        <v>47</v>
      </c>
      <c r="C62" t="s">
        <v>46</v>
      </c>
      <c r="D62" s="34">
        <f>ROUND(Table1[[#This Row],[Content.Column7]] * 1000, 0)</f>
        <v>14498</v>
      </c>
      <c r="E62" s="34">
        <f>ROUND(Table1[[#This Row],[Content.Column8]] * 1000, 0)</f>
        <v>7120</v>
      </c>
      <c r="F62" s="34">
        <f>ROUND(Table1[[#This Row],[Content.Column9]] * 1000, 0)</f>
        <v>21619</v>
      </c>
      <c r="G62" s="34">
        <f>ROUND(Table1[[#This Row],[Content.Column10]] * 1000, 0)</f>
        <v>21701</v>
      </c>
      <c r="H62" s="32">
        <f>ROUND(Table1[[#This Row],[Content.Column11]] * 1000, 0)</f>
        <v>29414</v>
      </c>
      <c r="I62" s="32">
        <f>ROUND(Table1[[#This Row],[Content.Column12]] * 1000, 0)</f>
        <v>16873</v>
      </c>
      <c r="J62" s="32">
        <f>ROUND(Table1[[#This Row],[Content.Column13]] * 1000, 0)</f>
        <v>46285</v>
      </c>
      <c r="K62" s="32">
        <f>ROUND(Table1[[#This Row],[Content.Column14]] * 1000, 0)</f>
        <v>48000</v>
      </c>
      <c r="L62" s="30">
        <f>ROUND(Table1[[#This Row],[Content.Column3]] * 1000, 0)</f>
        <v>43912</v>
      </c>
      <c r="M62" s="30">
        <f>ROUND(Table1[[#This Row],[Content.Column4]] * 1000, 0)</f>
        <v>23994</v>
      </c>
      <c r="N62" s="30">
        <f>ROUND(Table1[[#This Row],[Content.Column5]] * 1000, 0)</f>
        <v>67904</v>
      </c>
      <c r="O62" s="30">
        <f>ROUND(Table1[[#This Row],[Content.Column6]] * 1000, 0)</f>
        <v>69701</v>
      </c>
      <c r="P62" s="27"/>
      <c r="Q62" s="27"/>
      <c r="R62"/>
      <c r="S62"/>
    </row>
    <row r="63" spans="1:19" x14ac:dyDescent="0.3">
      <c r="A63">
        <v>2010</v>
      </c>
      <c r="B63" t="s">
        <v>49</v>
      </c>
      <c r="C63" t="s">
        <v>48</v>
      </c>
      <c r="D63" s="34">
        <f>ROUND(Table1[[#This Row],[Content.Column7]] * 1000, 0)</f>
        <v>13660</v>
      </c>
      <c r="E63" s="34">
        <f>ROUND(Table1[[#This Row],[Content.Column8]] * 1000, 0)</f>
        <v>5245</v>
      </c>
      <c r="F63" s="34">
        <f>ROUND(Table1[[#This Row],[Content.Column9]] * 1000, 0)</f>
        <v>18905</v>
      </c>
      <c r="G63" s="34">
        <f>ROUND(Table1[[#This Row],[Content.Column10]] * 1000, 0)</f>
        <v>18954</v>
      </c>
      <c r="H63" s="32">
        <f>ROUND(Table1[[#This Row],[Content.Column11]] * 1000, 0)</f>
        <v>48539</v>
      </c>
      <c r="I63" s="32">
        <f>ROUND(Table1[[#This Row],[Content.Column12]] * 1000, 0)</f>
        <v>18103</v>
      </c>
      <c r="J63" s="32">
        <f>ROUND(Table1[[#This Row],[Content.Column13]] * 1000, 0)</f>
        <v>66640</v>
      </c>
      <c r="K63" s="32">
        <f>ROUND(Table1[[#This Row],[Content.Column14]] * 1000, 0)</f>
        <v>69532</v>
      </c>
      <c r="L63" s="30">
        <f>ROUND(Table1[[#This Row],[Content.Column3]] * 1000, 0)</f>
        <v>62199</v>
      </c>
      <c r="M63" s="30">
        <f>ROUND(Table1[[#This Row],[Content.Column4]] * 1000, 0)</f>
        <v>23348</v>
      </c>
      <c r="N63" s="30">
        <f>ROUND(Table1[[#This Row],[Content.Column5]] * 1000, 0)</f>
        <v>85545</v>
      </c>
      <c r="O63" s="30">
        <f>ROUND(Table1[[#This Row],[Content.Column6]] * 1000, 0)</f>
        <v>88486</v>
      </c>
      <c r="P63" s="27"/>
      <c r="Q63" s="27"/>
      <c r="R63"/>
      <c r="S63"/>
    </row>
    <row r="64" spans="1:19" x14ac:dyDescent="0.3">
      <c r="A64">
        <v>2010</v>
      </c>
      <c r="B64" t="s">
        <v>51</v>
      </c>
      <c r="C64" t="s">
        <v>50</v>
      </c>
      <c r="D64" s="34">
        <f>ROUND(Table1[[#This Row],[Content.Column7]] * 1000, 0)</f>
        <v>26035</v>
      </c>
      <c r="E64" s="34">
        <f>ROUND(Table1[[#This Row],[Content.Column8]] * 1000, 0)</f>
        <v>4354</v>
      </c>
      <c r="F64" s="34">
        <f>ROUND(Table1[[#This Row],[Content.Column9]] * 1000, 0)</f>
        <v>30389</v>
      </c>
      <c r="G64" s="34">
        <f>ROUND(Table1[[#This Row],[Content.Column10]] * 1000, 0)</f>
        <v>30433</v>
      </c>
      <c r="H64" s="32">
        <f>ROUND(Table1[[#This Row],[Content.Column11]] * 1000, 0)</f>
        <v>67176</v>
      </c>
      <c r="I64" s="32">
        <f>ROUND(Table1[[#This Row],[Content.Column12]] * 1000, 0)</f>
        <v>27970</v>
      </c>
      <c r="J64" s="32">
        <f>ROUND(Table1[[#This Row],[Content.Column13]] * 1000, 0)</f>
        <v>95141</v>
      </c>
      <c r="K64" s="32">
        <f>ROUND(Table1[[#This Row],[Content.Column14]] * 1000, 0)</f>
        <v>97605</v>
      </c>
      <c r="L64" s="30">
        <f>ROUND(Table1[[#This Row],[Content.Column3]] * 1000, 0)</f>
        <v>93211</v>
      </c>
      <c r="M64" s="30">
        <f>ROUND(Table1[[#This Row],[Content.Column4]] * 1000, 0)</f>
        <v>32324</v>
      </c>
      <c r="N64" s="30">
        <f>ROUND(Table1[[#This Row],[Content.Column5]] * 1000, 0)</f>
        <v>125530</v>
      </c>
      <c r="O64" s="30">
        <f>ROUND(Table1[[#This Row],[Content.Column6]] * 1000, 0)</f>
        <v>128039</v>
      </c>
      <c r="P64" s="27"/>
      <c r="Q64" s="27"/>
      <c r="R64"/>
      <c r="S64"/>
    </row>
    <row r="65" spans="1:19" x14ac:dyDescent="0.3">
      <c r="A65">
        <v>2010</v>
      </c>
      <c r="B65" t="s">
        <v>53</v>
      </c>
      <c r="C65" t="s">
        <v>52</v>
      </c>
      <c r="D65" s="34">
        <f>ROUND(Table1[[#This Row],[Content.Column7]] * 1000, 0)</f>
        <v>11173</v>
      </c>
      <c r="E65" s="34">
        <f>ROUND(Table1[[#This Row],[Content.Column8]] * 1000, 0)</f>
        <v>4880</v>
      </c>
      <c r="F65" s="34">
        <f>ROUND(Table1[[#This Row],[Content.Column9]] * 1000, 0)</f>
        <v>16053</v>
      </c>
      <c r="G65" s="34">
        <f>ROUND(Table1[[#This Row],[Content.Column10]] * 1000, 0)</f>
        <v>16068</v>
      </c>
      <c r="H65" s="32">
        <f>ROUND(Table1[[#This Row],[Content.Column11]] * 1000, 0)</f>
        <v>28290</v>
      </c>
      <c r="I65" s="32">
        <f>ROUND(Table1[[#This Row],[Content.Column12]] * 1000, 0)</f>
        <v>15562</v>
      </c>
      <c r="J65" s="32">
        <f>ROUND(Table1[[#This Row],[Content.Column13]] * 1000, 0)</f>
        <v>43851</v>
      </c>
      <c r="K65" s="32">
        <f>ROUND(Table1[[#This Row],[Content.Column14]] * 1000, 0)</f>
        <v>45877</v>
      </c>
      <c r="L65" s="30">
        <f>ROUND(Table1[[#This Row],[Content.Column3]] * 1000, 0)</f>
        <v>39463</v>
      </c>
      <c r="M65" s="30">
        <f>ROUND(Table1[[#This Row],[Content.Column4]] * 1000, 0)</f>
        <v>20442</v>
      </c>
      <c r="N65" s="30">
        <f>ROUND(Table1[[#This Row],[Content.Column5]] * 1000, 0)</f>
        <v>59904</v>
      </c>
      <c r="O65" s="30">
        <f>ROUND(Table1[[#This Row],[Content.Column6]] * 1000, 0)</f>
        <v>61945</v>
      </c>
      <c r="P65" s="27"/>
      <c r="Q65" s="27"/>
      <c r="R65"/>
      <c r="S65"/>
    </row>
    <row r="66" spans="1:19" x14ac:dyDescent="0.3">
      <c r="A66">
        <v>2010</v>
      </c>
      <c r="B66" t="s">
        <v>55</v>
      </c>
      <c r="C66" t="s">
        <v>54</v>
      </c>
      <c r="D66" s="34">
        <f>ROUND(Table1[[#This Row],[Content.Column7]] * 1000, 0)</f>
        <v>6694</v>
      </c>
      <c r="E66" s="34">
        <f>ROUND(Table1[[#This Row],[Content.Column8]] * 1000, 0)</f>
        <v>6405</v>
      </c>
      <c r="F66" s="34">
        <f>ROUND(Table1[[#This Row],[Content.Column9]] * 1000, 0)</f>
        <v>13099</v>
      </c>
      <c r="G66" s="34">
        <f>ROUND(Table1[[#This Row],[Content.Column10]] * 1000, 0)</f>
        <v>13104</v>
      </c>
      <c r="H66" s="32">
        <f>ROUND(Table1[[#This Row],[Content.Column11]] * 1000, 0)</f>
        <v>37475</v>
      </c>
      <c r="I66" s="32">
        <f>ROUND(Table1[[#This Row],[Content.Column12]] * 1000, 0)</f>
        <v>15071</v>
      </c>
      <c r="J66" s="32">
        <f>ROUND(Table1[[#This Row],[Content.Column13]] * 1000, 0)</f>
        <v>52545</v>
      </c>
      <c r="K66" s="32">
        <f>ROUND(Table1[[#This Row],[Content.Column14]] * 1000, 0)</f>
        <v>54633</v>
      </c>
      <c r="L66" s="30">
        <f>ROUND(Table1[[#This Row],[Content.Column3]] * 1000, 0)</f>
        <v>44169</v>
      </c>
      <c r="M66" s="30">
        <f>ROUND(Table1[[#This Row],[Content.Column4]] * 1000, 0)</f>
        <v>21476</v>
      </c>
      <c r="N66" s="30">
        <f>ROUND(Table1[[#This Row],[Content.Column5]] * 1000, 0)</f>
        <v>65644</v>
      </c>
      <c r="O66" s="30">
        <f>ROUND(Table1[[#This Row],[Content.Column6]] * 1000, 0)</f>
        <v>67737</v>
      </c>
      <c r="P66" s="27"/>
      <c r="Q66" s="27"/>
      <c r="R66"/>
      <c r="S66"/>
    </row>
    <row r="67" spans="1:19" x14ac:dyDescent="0.3">
      <c r="A67">
        <v>2010</v>
      </c>
      <c r="B67" t="s">
        <v>57</v>
      </c>
      <c r="C67" t="s">
        <v>56</v>
      </c>
      <c r="D67" s="34">
        <f>ROUND(Table1[[#This Row],[Content.Column7]] * 1000, 0)</f>
        <v>11240</v>
      </c>
      <c r="E67" s="34">
        <f>ROUND(Table1[[#This Row],[Content.Column8]] * 1000, 0)</f>
        <v>5689</v>
      </c>
      <c r="F67" s="34">
        <f>ROUND(Table1[[#This Row],[Content.Column9]] * 1000, 0)</f>
        <v>16929</v>
      </c>
      <c r="G67" s="34">
        <f>ROUND(Table1[[#This Row],[Content.Column10]] * 1000, 0)</f>
        <v>16929</v>
      </c>
      <c r="H67" s="32">
        <f>ROUND(Table1[[#This Row],[Content.Column11]] * 1000, 0)</f>
        <v>35035</v>
      </c>
      <c r="I67" s="32">
        <f>ROUND(Table1[[#This Row],[Content.Column12]] * 1000, 0)</f>
        <v>19191</v>
      </c>
      <c r="J67" s="32">
        <f>ROUND(Table1[[#This Row],[Content.Column13]] * 1000, 0)</f>
        <v>54224</v>
      </c>
      <c r="K67" s="32">
        <f>ROUND(Table1[[#This Row],[Content.Column14]] * 1000, 0)</f>
        <v>56244</v>
      </c>
      <c r="L67" s="30">
        <f>ROUND(Table1[[#This Row],[Content.Column3]] * 1000, 0)</f>
        <v>46275</v>
      </c>
      <c r="M67" s="30">
        <f>ROUND(Table1[[#This Row],[Content.Column4]] * 1000, 0)</f>
        <v>24880</v>
      </c>
      <c r="N67" s="30">
        <f>ROUND(Table1[[#This Row],[Content.Column5]] * 1000, 0)</f>
        <v>71153</v>
      </c>
      <c r="O67" s="30">
        <f>ROUND(Table1[[#This Row],[Content.Column6]] * 1000, 0)</f>
        <v>73173</v>
      </c>
      <c r="P67" s="27"/>
      <c r="Q67" s="27"/>
      <c r="R67"/>
      <c r="S67"/>
    </row>
    <row r="68" spans="1:19" x14ac:dyDescent="0.3">
      <c r="A68">
        <v>2010</v>
      </c>
      <c r="B68" t="s">
        <v>59</v>
      </c>
      <c r="C68" t="s">
        <v>58</v>
      </c>
      <c r="D68" s="34">
        <f>ROUND(Table1[[#This Row],[Content.Column7]] * 1000, 0)</f>
        <v>14812</v>
      </c>
      <c r="E68" s="34">
        <f>ROUND(Table1[[#This Row],[Content.Column8]] * 1000, 0)</f>
        <v>6485</v>
      </c>
      <c r="F68" s="34">
        <f>ROUND(Table1[[#This Row],[Content.Column9]] * 1000, 0)</f>
        <v>21297</v>
      </c>
      <c r="G68" s="34">
        <f>ROUND(Table1[[#This Row],[Content.Column10]] * 1000, 0)</f>
        <v>21404</v>
      </c>
      <c r="H68" s="32">
        <f>ROUND(Table1[[#This Row],[Content.Column11]] * 1000, 0)</f>
        <v>121930</v>
      </c>
      <c r="I68" s="32">
        <f>ROUND(Table1[[#This Row],[Content.Column12]] * 1000, 0)</f>
        <v>39184</v>
      </c>
      <c r="J68" s="32">
        <f>ROUND(Table1[[#This Row],[Content.Column13]] * 1000, 0)</f>
        <v>161111</v>
      </c>
      <c r="K68" s="32">
        <f>ROUND(Table1[[#This Row],[Content.Column14]] * 1000, 0)</f>
        <v>163375</v>
      </c>
      <c r="L68" s="30">
        <f>ROUND(Table1[[#This Row],[Content.Column3]] * 1000, 0)</f>
        <v>136742</v>
      </c>
      <c r="M68" s="30">
        <f>ROUND(Table1[[#This Row],[Content.Column4]] * 1000, 0)</f>
        <v>45669</v>
      </c>
      <c r="N68" s="30">
        <f>ROUND(Table1[[#This Row],[Content.Column5]] * 1000, 0)</f>
        <v>182408</v>
      </c>
      <c r="O68" s="30">
        <f>ROUND(Table1[[#This Row],[Content.Column6]] * 1000, 0)</f>
        <v>184779</v>
      </c>
      <c r="P68" s="27"/>
      <c r="Q68" s="27"/>
      <c r="R68"/>
      <c r="S68"/>
    </row>
    <row r="69" spans="1:19" x14ac:dyDescent="0.3">
      <c r="A69">
        <v>2010</v>
      </c>
      <c r="B69" t="s">
        <v>61</v>
      </c>
      <c r="C69" t="s">
        <v>60</v>
      </c>
      <c r="D69" s="34">
        <f>ROUND(Table1[[#This Row],[Content.Column7]] * 1000, 0)</f>
        <v>19398</v>
      </c>
      <c r="E69" s="34">
        <f>ROUND(Table1[[#This Row],[Content.Column8]] * 1000, 0)</f>
        <v>5429</v>
      </c>
      <c r="F69" s="34">
        <f>ROUND(Table1[[#This Row],[Content.Column9]] * 1000, 0)</f>
        <v>24827</v>
      </c>
      <c r="G69" s="34">
        <f>ROUND(Table1[[#This Row],[Content.Column10]] * 1000, 0)</f>
        <v>24842</v>
      </c>
      <c r="H69" s="32">
        <f>ROUND(Table1[[#This Row],[Content.Column11]] * 1000, 0)</f>
        <v>74273</v>
      </c>
      <c r="I69" s="32">
        <f>ROUND(Table1[[#This Row],[Content.Column12]] * 1000, 0)</f>
        <v>26303</v>
      </c>
      <c r="J69" s="32">
        <f>ROUND(Table1[[#This Row],[Content.Column13]] * 1000, 0)</f>
        <v>100574</v>
      </c>
      <c r="K69" s="32">
        <f>ROUND(Table1[[#This Row],[Content.Column14]] * 1000, 0)</f>
        <v>102759</v>
      </c>
      <c r="L69" s="30">
        <f>ROUND(Table1[[#This Row],[Content.Column3]] * 1000, 0)</f>
        <v>93672</v>
      </c>
      <c r="M69" s="30">
        <f>ROUND(Table1[[#This Row],[Content.Column4]] * 1000, 0)</f>
        <v>31732</v>
      </c>
      <c r="N69" s="30">
        <f>ROUND(Table1[[#This Row],[Content.Column5]] * 1000, 0)</f>
        <v>125401</v>
      </c>
      <c r="O69" s="30">
        <f>ROUND(Table1[[#This Row],[Content.Column6]] * 1000, 0)</f>
        <v>127601</v>
      </c>
      <c r="P69" s="27"/>
      <c r="Q69" s="27"/>
      <c r="R69"/>
      <c r="S69"/>
    </row>
    <row r="70" spans="1:19" x14ac:dyDescent="0.3">
      <c r="A70">
        <v>2010</v>
      </c>
      <c r="B70" t="s">
        <v>63</v>
      </c>
      <c r="C70" t="s">
        <v>62</v>
      </c>
      <c r="D70" s="34">
        <f>ROUND(Table1[[#This Row],[Content.Column7]] * 1000, 0)</f>
        <v>28632</v>
      </c>
      <c r="E70" s="34">
        <f>ROUND(Table1[[#This Row],[Content.Column8]] * 1000, 0)</f>
        <v>5643</v>
      </c>
      <c r="F70" s="34">
        <f>ROUND(Table1[[#This Row],[Content.Column9]] * 1000, 0)</f>
        <v>34275</v>
      </c>
      <c r="G70" s="34">
        <f>ROUND(Table1[[#This Row],[Content.Column10]] * 1000, 0)</f>
        <v>34306</v>
      </c>
      <c r="H70" s="32">
        <f>ROUND(Table1[[#This Row],[Content.Column11]] * 1000, 0)</f>
        <v>118196</v>
      </c>
      <c r="I70" s="32">
        <f>ROUND(Table1[[#This Row],[Content.Column12]] * 1000, 0)</f>
        <v>31387</v>
      </c>
      <c r="J70" s="32">
        <f>ROUND(Table1[[#This Row],[Content.Column13]] * 1000, 0)</f>
        <v>149575</v>
      </c>
      <c r="K70" s="32">
        <f>ROUND(Table1[[#This Row],[Content.Column14]] * 1000, 0)</f>
        <v>154951</v>
      </c>
      <c r="L70" s="30">
        <f>ROUND(Table1[[#This Row],[Content.Column3]] * 1000, 0)</f>
        <v>146828</v>
      </c>
      <c r="M70" s="30">
        <f>ROUND(Table1[[#This Row],[Content.Column4]] * 1000, 0)</f>
        <v>37030</v>
      </c>
      <c r="N70" s="30">
        <f>ROUND(Table1[[#This Row],[Content.Column5]] * 1000, 0)</f>
        <v>183850</v>
      </c>
      <c r="O70" s="30">
        <f>ROUND(Table1[[#This Row],[Content.Column6]] * 1000, 0)</f>
        <v>189258</v>
      </c>
      <c r="P70" s="27"/>
      <c r="Q70" s="27"/>
      <c r="R70"/>
      <c r="S70"/>
    </row>
    <row r="71" spans="1:19" x14ac:dyDescent="0.3">
      <c r="A71">
        <v>2010</v>
      </c>
      <c r="B71" t="s">
        <v>65</v>
      </c>
      <c r="C71" t="s">
        <v>64</v>
      </c>
      <c r="D71" s="34">
        <f>ROUND(Table1[[#This Row],[Content.Column7]] * 1000, 0)</f>
        <v>16417</v>
      </c>
      <c r="E71" s="34">
        <f>ROUND(Table1[[#This Row],[Content.Column8]] * 1000, 0)</f>
        <v>6356</v>
      </c>
      <c r="F71" s="34">
        <f>ROUND(Table1[[#This Row],[Content.Column9]] * 1000, 0)</f>
        <v>22774</v>
      </c>
      <c r="G71" s="34">
        <f>ROUND(Table1[[#This Row],[Content.Column10]] * 1000, 0)</f>
        <v>22881</v>
      </c>
      <c r="H71" s="32">
        <f>ROUND(Table1[[#This Row],[Content.Column11]] * 1000, 0)</f>
        <v>64684</v>
      </c>
      <c r="I71" s="32">
        <f>ROUND(Table1[[#This Row],[Content.Column12]] * 1000, 0)</f>
        <v>26050</v>
      </c>
      <c r="J71" s="32">
        <f>ROUND(Table1[[#This Row],[Content.Column13]] * 1000, 0)</f>
        <v>90732</v>
      </c>
      <c r="K71" s="32">
        <f>ROUND(Table1[[#This Row],[Content.Column14]] * 1000, 0)</f>
        <v>93862</v>
      </c>
      <c r="L71" s="30">
        <f>ROUND(Table1[[#This Row],[Content.Column3]] * 1000, 0)</f>
        <v>81101</v>
      </c>
      <c r="M71" s="30">
        <f>ROUND(Table1[[#This Row],[Content.Column4]] * 1000, 0)</f>
        <v>32406</v>
      </c>
      <c r="N71" s="30">
        <f>ROUND(Table1[[#This Row],[Content.Column5]] * 1000, 0)</f>
        <v>113506</v>
      </c>
      <c r="O71" s="30">
        <f>ROUND(Table1[[#This Row],[Content.Column6]] * 1000, 0)</f>
        <v>116744</v>
      </c>
      <c r="P71" s="27"/>
      <c r="Q71" s="27"/>
      <c r="R71"/>
      <c r="S71"/>
    </row>
    <row r="72" spans="1:19" x14ac:dyDescent="0.3">
      <c r="A72">
        <v>2010</v>
      </c>
      <c r="B72" t="s">
        <v>67</v>
      </c>
      <c r="C72" t="s">
        <v>66</v>
      </c>
      <c r="D72" s="34">
        <f>ROUND(Table1[[#This Row],[Content.Column7]] * 1000, 0)</f>
        <v>9103</v>
      </c>
      <c r="E72" s="34">
        <f>ROUND(Table1[[#This Row],[Content.Column8]] * 1000, 0)</f>
        <v>5522</v>
      </c>
      <c r="F72" s="34">
        <f>ROUND(Table1[[#This Row],[Content.Column9]] * 1000, 0)</f>
        <v>14625</v>
      </c>
      <c r="G72" s="34">
        <f>ROUND(Table1[[#This Row],[Content.Column10]] * 1000, 0)</f>
        <v>14640</v>
      </c>
      <c r="H72" s="32">
        <f>ROUND(Table1[[#This Row],[Content.Column11]] * 1000, 0)</f>
        <v>41240</v>
      </c>
      <c r="I72" s="32">
        <f>ROUND(Table1[[#This Row],[Content.Column12]] * 1000, 0)</f>
        <v>20066</v>
      </c>
      <c r="J72" s="32">
        <f>ROUND(Table1[[#This Row],[Content.Column13]] * 1000, 0)</f>
        <v>61306</v>
      </c>
      <c r="K72" s="32">
        <f>ROUND(Table1[[#This Row],[Content.Column14]] * 1000, 0)</f>
        <v>62709</v>
      </c>
      <c r="L72" s="30">
        <f>ROUND(Table1[[#This Row],[Content.Column3]] * 1000, 0)</f>
        <v>50344</v>
      </c>
      <c r="M72" s="30">
        <f>ROUND(Table1[[#This Row],[Content.Column4]] * 1000, 0)</f>
        <v>25588</v>
      </c>
      <c r="N72" s="30">
        <f>ROUND(Table1[[#This Row],[Content.Column5]] * 1000, 0)</f>
        <v>75931</v>
      </c>
      <c r="O72" s="30">
        <f>ROUND(Table1[[#This Row],[Content.Column6]] * 1000, 0)</f>
        <v>77350</v>
      </c>
      <c r="P72" s="27"/>
      <c r="Q72" s="27"/>
      <c r="R72"/>
      <c r="S72"/>
    </row>
    <row r="73" spans="1:19" x14ac:dyDescent="0.3">
      <c r="A73">
        <v>2010</v>
      </c>
      <c r="B73" t="s">
        <v>69</v>
      </c>
      <c r="C73" t="s">
        <v>68</v>
      </c>
      <c r="D73" s="34">
        <f>ROUND(Table1[[#This Row],[Content.Column7]] * 1000, 0)</f>
        <v>29086</v>
      </c>
      <c r="E73" s="34">
        <f>ROUND(Table1[[#This Row],[Content.Column8]] * 1000, 0)</f>
        <v>7256</v>
      </c>
      <c r="F73" s="34">
        <f>ROUND(Table1[[#This Row],[Content.Column9]] * 1000, 0)</f>
        <v>36342</v>
      </c>
      <c r="G73" s="34">
        <f>ROUND(Table1[[#This Row],[Content.Column10]] * 1000, 0)</f>
        <v>36462</v>
      </c>
      <c r="H73" s="32">
        <f>ROUND(Table1[[#This Row],[Content.Column11]] * 1000, 0)</f>
        <v>60571</v>
      </c>
      <c r="I73" s="32">
        <f>ROUND(Table1[[#This Row],[Content.Column12]] * 1000, 0)</f>
        <v>26665</v>
      </c>
      <c r="J73" s="32">
        <f>ROUND(Table1[[#This Row],[Content.Column13]] * 1000, 0)</f>
        <v>87234</v>
      </c>
      <c r="K73" s="32">
        <f>ROUND(Table1[[#This Row],[Content.Column14]] * 1000, 0)</f>
        <v>89871</v>
      </c>
      <c r="L73" s="30">
        <f>ROUND(Table1[[#This Row],[Content.Column3]] * 1000, 0)</f>
        <v>89656</v>
      </c>
      <c r="M73" s="30">
        <f>ROUND(Table1[[#This Row],[Content.Column4]] * 1000, 0)</f>
        <v>33921</v>
      </c>
      <c r="N73" s="30">
        <f>ROUND(Table1[[#This Row],[Content.Column5]] * 1000, 0)</f>
        <v>123575</v>
      </c>
      <c r="O73" s="30">
        <f>ROUND(Table1[[#This Row],[Content.Column6]] * 1000, 0)</f>
        <v>126333</v>
      </c>
      <c r="P73" s="27"/>
      <c r="Q73" s="27"/>
      <c r="R73"/>
      <c r="S73"/>
    </row>
    <row r="74" spans="1:19" x14ac:dyDescent="0.3">
      <c r="A74">
        <v>2010</v>
      </c>
      <c r="B74" t="s">
        <v>71</v>
      </c>
      <c r="C74" t="s">
        <v>70</v>
      </c>
      <c r="D74" s="34">
        <f>ROUND(Table1[[#This Row],[Content.Column7]] * 1000, 0)</f>
        <v>10817</v>
      </c>
      <c r="E74" s="34">
        <f>ROUND(Table1[[#This Row],[Content.Column8]] * 1000, 0)</f>
        <v>8079</v>
      </c>
      <c r="F74" s="34">
        <f>ROUND(Table1[[#This Row],[Content.Column9]] * 1000, 0)</f>
        <v>18896</v>
      </c>
      <c r="G74" s="34">
        <f>ROUND(Table1[[#This Row],[Content.Column10]] * 1000, 0)</f>
        <v>18984</v>
      </c>
      <c r="H74" s="32">
        <f>ROUND(Table1[[#This Row],[Content.Column11]] * 1000, 0)</f>
        <v>25588</v>
      </c>
      <c r="I74" s="32">
        <f>ROUND(Table1[[#This Row],[Content.Column12]] * 1000, 0)</f>
        <v>14453</v>
      </c>
      <c r="J74" s="32">
        <f>ROUND(Table1[[#This Row],[Content.Column13]] * 1000, 0)</f>
        <v>40040</v>
      </c>
      <c r="K74" s="32">
        <f>ROUND(Table1[[#This Row],[Content.Column14]] * 1000, 0)</f>
        <v>41777</v>
      </c>
      <c r="L74" s="30">
        <f>ROUND(Table1[[#This Row],[Content.Column3]] * 1000, 0)</f>
        <v>36405</v>
      </c>
      <c r="M74" s="30">
        <f>ROUND(Table1[[#This Row],[Content.Column4]] * 1000, 0)</f>
        <v>22532</v>
      </c>
      <c r="N74" s="30">
        <f>ROUND(Table1[[#This Row],[Content.Column5]] * 1000, 0)</f>
        <v>58936</v>
      </c>
      <c r="O74" s="30">
        <f>ROUND(Table1[[#This Row],[Content.Column6]] * 1000, 0)</f>
        <v>60761</v>
      </c>
      <c r="P74" s="27"/>
      <c r="Q74" s="27"/>
      <c r="R74"/>
      <c r="S74"/>
    </row>
    <row r="75" spans="1:19" x14ac:dyDescent="0.3">
      <c r="A75">
        <v>2010</v>
      </c>
      <c r="B75" t="s">
        <v>73</v>
      </c>
      <c r="C75" t="s">
        <v>72</v>
      </c>
      <c r="D75" s="34">
        <f>ROUND(Table1[[#This Row],[Content.Column7]] * 1000, 0)</f>
        <v>6920</v>
      </c>
      <c r="E75" s="34">
        <f>ROUND(Table1[[#This Row],[Content.Column8]] * 1000, 0)</f>
        <v>3337</v>
      </c>
      <c r="F75" s="34">
        <f>ROUND(Table1[[#This Row],[Content.Column9]] * 1000, 0)</f>
        <v>10257</v>
      </c>
      <c r="G75" s="34">
        <f>ROUND(Table1[[#This Row],[Content.Column10]] * 1000, 0)</f>
        <v>10257</v>
      </c>
      <c r="H75" s="32">
        <f>ROUND(Table1[[#This Row],[Content.Column11]] * 1000, 0)</f>
        <v>38985</v>
      </c>
      <c r="I75" s="32">
        <f>ROUND(Table1[[#This Row],[Content.Column12]] * 1000, 0)</f>
        <v>18013</v>
      </c>
      <c r="J75" s="32">
        <f>ROUND(Table1[[#This Row],[Content.Column13]] * 1000, 0)</f>
        <v>56995</v>
      </c>
      <c r="K75" s="32">
        <f>ROUND(Table1[[#This Row],[Content.Column14]] * 1000, 0)</f>
        <v>58764</v>
      </c>
      <c r="L75" s="30">
        <f>ROUND(Table1[[#This Row],[Content.Column3]] * 1000, 0)</f>
        <v>45905</v>
      </c>
      <c r="M75" s="30">
        <f>ROUND(Table1[[#This Row],[Content.Column4]] * 1000, 0)</f>
        <v>21349</v>
      </c>
      <c r="N75" s="30">
        <f>ROUND(Table1[[#This Row],[Content.Column5]] * 1000, 0)</f>
        <v>67251</v>
      </c>
      <c r="O75" s="30">
        <f>ROUND(Table1[[#This Row],[Content.Column6]] * 1000, 0)</f>
        <v>69021</v>
      </c>
      <c r="P75" s="27"/>
      <c r="Q75" s="27"/>
      <c r="R75"/>
      <c r="S75"/>
    </row>
    <row r="76" spans="1:19" x14ac:dyDescent="0.3">
      <c r="A76">
        <v>2010</v>
      </c>
      <c r="B76" t="s">
        <v>75</v>
      </c>
      <c r="C76" t="s">
        <v>74</v>
      </c>
      <c r="D76" s="34">
        <f>ROUND(Table1[[#This Row],[Content.Column7]] * 1000, 0)</f>
        <v>16126</v>
      </c>
      <c r="E76" s="34">
        <f>ROUND(Table1[[#This Row],[Content.Column8]] * 1000, 0)</f>
        <v>8205</v>
      </c>
      <c r="F76" s="34">
        <f>ROUND(Table1[[#This Row],[Content.Column9]] * 1000, 0)</f>
        <v>24331</v>
      </c>
      <c r="G76" s="34">
        <f>ROUND(Table1[[#This Row],[Content.Column10]] * 1000, 0)</f>
        <v>24690</v>
      </c>
      <c r="H76" s="32">
        <f>ROUND(Table1[[#This Row],[Content.Column11]] * 1000, 0)</f>
        <v>32235</v>
      </c>
      <c r="I76" s="32">
        <f>ROUND(Table1[[#This Row],[Content.Column12]] * 1000, 0)</f>
        <v>16504</v>
      </c>
      <c r="J76" s="32">
        <f>ROUND(Table1[[#This Row],[Content.Column13]] * 1000, 0)</f>
        <v>48738</v>
      </c>
      <c r="K76" s="32">
        <f>ROUND(Table1[[#This Row],[Content.Column14]] * 1000, 0)</f>
        <v>50372</v>
      </c>
      <c r="L76" s="30">
        <f>ROUND(Table1[[#This Row],[Content.Column3]] * 1000, 0)</f>
        <v>48361</v>
      </c>
      <c r="M76" s="30">
        <f>ROUND(Table1[[#This Row],[Content.Column4]] * 1000, 0)</f>
        <v>24709</v>
      </c>
      <c r="N76" s="30">
        <f>ROUND(Table1[[#This Row],[Content.Column5]] * 1000, 0)</f>
        <v>73069</v>
      </c>
      <c r="O76" s="30">
        <f>ROUND(Table1[[#This Row],[Content.Column6]] * 1000, 0)</f>
        <v>75061</v>
      </c>
      <c r="P76" s="27"/>
      <c r="Q76" s="27"/>
      <c r="R76"/>
      <c r="S76"/>
    </row>
    <row r="77" spans="1:19" x14ac:dyDescent="0.3">
      <c r="A77">
        <v>2010</v>
      </c>
      <c r="B77" t="s">
        <v>77</v>
      </c>
      <c r="C77" t="s">
        <v>76</v>
      </c>
      <c r="D77" s="34">
        <f>ROUND(Table1[[#This Row],[Content.Column7]] * 1000, 0)</f>
        <v>11778</v>
      </c>
      <c r="E77" s="34">
        <f>ROUND(Table1[[#This Row],[Content.Column8]] * 1000, 0)</f>
        <v>6993</v>
      </c>
      <c r="F77" s="34">
        <f>ROUND(Table1[[#This Row],[Content.Column9]] * 1000, 0)</f>
        <v>18771</v>
      </c>
      <c r="G77" s="34">
        <f>ROUND(Table1[[#This Row],[Content.Column10]] * 1000, 0)</f>
        <v>18775</v>
      </c>
      <c r="H77" s="32">
        <f>ROUND(Table1[[#This Row],[Content.Column11]] * 1000, 0)</f>
        <v>30406</v>
      </c>
      <c r="I77" s="32">
        <f>ROUND(Table1[[#This Row],[Content.Column12]] * 1000, 0)</f>
        <v>15449</v>
      </c>
      <c r="J77" s="32">
        <f>ROUND(Table1[[#This Row],[Content.Column13]] * 1000, 0)</f>
        <v>45852</v>
      </c>
      <c r="K77" s="32">
        <f>ROUND(Table1[[#This Row],[Content.Column14]] * 1000, 0)</f>
        <v>47470</v>
      </c>
      <c r="L77" s="30">
        <f>ROUND(Table1[[#This Row],[Content.Column3]] * 1000, 0)</f>
        <v>42185</v>
      </c>
      <c r="M77" s="30">
        <f>ROUND(Table1[[#This Row],[Content.Column4]] * 1000, 0)</f>
        <v>22442</v>
      </c>
      <c r="N77" s="30">
        <f>ROUND(Table1[[#This Row],[Content.Column5]] * 1000, 0)</f>
        <v>64623</v>
      </c>
      <c r="O77" s="30">
        <f>ROUND(Table1[[#This Row],[Content.Column6]] * 1000, 0)</f>
        <v>66246</v>
      </c>
      <c r="P77" s="27"/>
      <c r="Q77" s="27"/>
      <c r="R77"/>
      <c r="S77"/>
    </row>
    <row r="78" spans="1:19" x14ac:dyDescent="0.3">
      <c r="A78">
        <v>2010</v>
      </c>
      <c r="B78" t="s">
        <v>79</v>
      </c>
      <c r="C78" t="s">
        <v>78</v>
      </c>
      <c r="D78" s="34">
        <f>ROUND(Table1[[#This Row],[Content.Column7]] * 1000, 0)</f>
        <v>7229</v>
      </c>
      <c r="E78" s="34">
        <f>ROUND(Table1[[#This Row],[Content.Column8]] * 1000, 0)</f>
        <v>4258</v>
      </c>
      <c r="F78" s="34">
        <f>ROUND(Table1[[#This Row],[Content.Column9]] * 1000, 0)</f>
        <v>11486</v>
      </c>
      <c r="G78" s="34">
        <f>ROUND(Table1[[#This Row],[Content.Column10]] * 1000, 0)</f>
        <v>11494</v>
      </c>
      <c r="H78" s="32">
        <f>ROUND(Table1[[#This Row],[Content.Column11]] * 1000, 0)</f>
        <v>41608</v>
      </c>
      <c r="I78" s="32">
        <f>ROUND(Table1[[#This Row],[Content.Column12]] * 1000, 0)</f>
        <v>17507</v>
      </c>
      <c r="J78" s="32">
        <f>ROUND(Table1[[#This Row],[Content.Column13]] * 1000, 0)</f>
        <v>59112</v>
      </c>
      <c r="K78" s="32">
        <f>ROUND(Table1[[#This Row],[Content.Column14]] * 1000, 0)</f>
        <v>61595</v>
      </c>
      <c r="L78" s="30">
        <f>ROUND(Table1[[#This Row],[Content.Column3]] * 1000, 0)</f>
        <v>48837</v>
      </c>
      <c r="M78" s="30">
        <f>ROUND(Table1[[#This Row],[Content.Column4]] * 1000, 0)</f>
        <v>21764</v>
      </c>
      <c r="N78" s="30">
        <f>ROUND(Table1[[#This Row],[Content.Column5]] * 1000, 0)</f>
        <v>70599</v>
      </c>
      <c r="O78" s="30">
        <f>ROUND(Table1[[#This Row],[Content.Column6]] * 1000, 0)</f>
        <v>73088</v>
      </c>
      <c r="P78" s="27"/>
      <c r="Q78" s="27"/>
      <c r="R78"/>
      <c r="S78"/>
    </row>
    <row r="79" spans="1:19" x14ac:dyDescent="0.3">
      <c r="A79">
        <v>2010</v>
      </c>
      <c r="B79" t="s">
        <v>81</v>
      </c>
      <c r="C79" t="s">
        <v>80</v>
      </c>
      <c r="D79" s="34">
        <f>ROUND(Table1[[#This Row],[Content.Column7]] * 1000, 0)</f>
        <v>24890</v>
      </c>
      <c r="E79" s="34">
        <f>ROUND(Table1[[#This Row],[Content.Column8]] * 1000, 0)</f>
        <v>5331</v>
      </c>
      <c r="F79" s="34">
        <f>ROUND(Table1[[#This Row],[Content.Column9]] * 1000, 0)</f>
        <v>30222</v>
      </c>
      <c r="G79" s="34">
        <f>ROUND(Table1[[#This Row],[Content.Column10]] * 1000, 0)</f>
        <v>30251</v>
      </c>
      <c r="H79" s="32">
        <f>ROUND(Table1[[#This Row],[Content.Column11]] * 1000, 0)</f>
        <v>113434</v>
      </c>
      <c r="I79" s="32">
        <f>ROUND(Table1[[#This Row],[Content.Column12]] * 1000, 0)</f>
        <v>36735</v>
      </c>
      <c r="J79" s="32">
        <f>ROUND(Table1[[#This Row],[Content.Column13]] * 1000, 0)</f>
        <v>150163</v>
      </c>
      <c r="K79" s="32">
        <f>ROUND(Table1[[#This Row],[Content.Column14]] * 1000, 0)</f>
        <v>154869</v>
      </c>
      <c r="L79" s="30">
        <f>ROUND(Table1[[#This Row],[Content.Column3]] * 1000, 0)</f>
        <v>138324</v>
      </c>
      <c r="M79" s="30">
        <f>ROUND(Table1[[#This Row],[Content.Column4]] * 1000, 0)</f>
        <v>42066</v>
      </c>
      <c r="N79" s="30">
        <f>ROUND(Table1[[#This Row],[Content.Column5]] * 1000, 0)</f>
        <v>180385</v>
      </c>
      <c r="O79" s="30">
        <f>ROUND(Table1[[#This Row],[Content.Column6]] * 1000, 0)</f>
        <v>185120</v>
      </c>
      <c r="P79" s="27"/>
      <c r="Q79" s="27"/>
      <c r="R79"/>
      <c r="S79"/>
    </row>
    <row r="80" spans="1:19" x14ac:dyDescent="0.3">
      <c r="A80">
        <v>2010</v>
      </c>
      <c r="B80" t="s">
        <v>83</v>
      </c>
      <c r="C80" t="s">
        <v>82</v>
      </c>
      <c r="D80" s="34">
        <f>ROUND(Table1[[#This Row],[Content.Column7]] * 1000, 0)</f>
        <v>9433</v>
      </c>
      <c r="E80" s="34">
        <f>ROUND(Table1[[#This Row],[Content.Column8]] * 1000, 0)</f>
        <v>6301</v>
      </c>
      <c r="F80" s="34">
        <f>ROUND(Table1[[#This Row],[Content.Column9]] * 1000, 0)</f>
        <v>15734</v>
      </c>
      <c r="G80" s="34">
        <f>ROUND(Table1[[#This Row],[Content.Column10]] * 1000, 0)</f>
        <v>15808</v>
      </c>
      <c r="H80" s="32">
        <f>ROUND(Table1[[#This Row],[Content.Column11]] * 1000, 0)</f>
        <v>35414</v>
      </c>
      <c r="I80" s="32">
        <f>ROUND(Table1[[#This Row],[Content.Column12]] * 1000, 0)</f>
        <v>14626</v>
      </c>
      <c r="J80" s="32">
        <f>ROUND(Table1[[#This Row],[Content.Column13]] * 1000, 0)</f>
        <v>50039</v>
      </c>
      <c r="K80" s="32">
        <f>ROUND(Table1[[#This Row],[Content.Column14]] * 1000, 0)</f>
        <v>51719</v>
      </c>
      <c r="L80" s="30">
        <f>ROUND(Table1[[#This Row],[Content.Column3]] * 1000, 0)</f>
        <v>44847</v>
      </c>
      <c r="M80" s="30">
        <f>ROUND(Table1[[#This Row],[Content.Column4]] * 1000, 0)</f>
        <v>20927</v>
      </c>
      <c r="N80" s="30">
        <f>ROUND(Table1[[#This Row],[Content.Column5]] * 1000, 0)</f>
        <v>65773</v>
      </c>
      <c r="O80" s="30">
        <f>ROUND(Table1[[#This Row],[Content.Column6]] * 1000, 0)</f>
        <v>67527</v>
      </c>
      <c r="P80" s="27"/>
      <c r="Q80" s="27"/>
      <c r="R80"/>
      <c r="S80"/>
    </row>
    <row r="81" spans="1:19" x14ac:dyDescent="0.3">
      <c r="A81">
        <v>2010</v>
      </c>
      <c r="B81" t="s">
        <v>85</v>
      </c>
      <c r="C81" t="s">
        <v>84</v>
      </c>
      <c r="D81" s="34">
        <f>ROUND(Table1[[#This Row],[Content.Column7]] * 1000, 0)</f>
        <v>32715</v>
      </c>
      <c r="E81" s="34">
        <f>ROUND(Table1[[#This Row],[Content.Column8]] * 1000, 0)</f>
        <v>8673</v>
      </c>
      <c r="F81" s="34">
        <f>ROUND(Table1[[#This Row],[Content.Column9]] * 1000, 0)</f>
        <v>41388</v>
      </c>
      <c r="G81" s="34">
        <f>ROUND(Table1[[#This Row],[Content.Column10]] * 1000, 0)</f>
        <v>41604</v>
      </c>
      <c r="H81" s="32">
        <f>ROUND(Table1[[#This Row],[Content.Column11]] * 1000, 0)</f>
        <v>133973</v>
      </c>
      <c r="I81" s="32">
        <f>ROUND(Table1[[#This Row],[Content.Column12]] * 1000, 0)</f>
        <v>33099</v>
      </c>
      <c r="J81" s="32">
        <f>ROUND(Table1[[#This Row],[Content.Column13]] * 1000, 0)</f>
        <v>167069</v>
      </c>
      <c r="K81" s="32">
        <f>ROUND(Table1[[#This Row],[Content.Column14]] * 1000, 0)</f>
        <v>170516</v>
      </c>
      <c r="L81" s="30">
        <f>ROUND(Table1[[#This Row],[Content.Column3]] * 1000, 0)</f>
        <v>166689</v>
      </c>
      <c r="M81" s="30">
        <f>ROUND(Table1[[#This Row],[Content.Column4]] * 1000, 0)</f>
        <v>41771</v>
      </c>
      <c r="N81" s="30">
        <f>ROUND(Table1[[#This Row],[Content.Column5]] * 1000, 0)</f>
        <v>208457</v>
      </c>
      <c r="O81" s="30">
        <f>ROUND(Table1[[#This Row],[Content.Column6]] * 1000, 0)</f>
        <v>212121</v>
      </c>
      <c r="P81" s="27"/>
      <c r="Q81" s="27"/>
      <c r="R81"/>
      <c r="S81"/>
    </row>
    <row r="82" spans="1:19" x14ac:dyDescent="0.3">
      <c r="A82">
        <v>2010</v>
      </c>
      <c r="B82" t="s">
        <v>87</v>
      </c>
      <c r="C82" t="s">
        <v>86</v>
      </c>
      <c r="D82" s="34">
        <f>ROUND(Table1[[#This Row],[Content.Column7]] * 1000, 0)</f>
        <v>10558</v>
      </c>
      <c r="E82" s="34">
        <f>ROUND(Table1[[#This Row],[Content.Column8]] * 1000, 0)</f>
        <v>5053</v>
      </c>
      <c r="F82" s="34">
        <f>ROUND(Table1[[#This Row],[Content.Column9]] * 1000, 0)</f>
        <v>15611</v>
      </c>
      <c r="G82" s="34">
        <f>ROUND(Table1[[#This Row],[Content.Column10]] * 1000, 0)</f>
        <v>15623</v>
      </c>
      <c r="H82" s="32">
        <f>ROUND(Table1[[#This Row],[Content.Column11]] * 1000, 0)</f>
        <v>27184</v>
      </c>
      <c r="I82" s="32">
        <f>ROUND(Table1[[#This Row],[Content.Column12]] * 1000, 0)</f>
        <v>12253</v>
      </c>
      <c r="J82" s="32">
        <f>ROUND(Table1[[#This Row],[Content.Column13]] * 1000, 0)</f>
        <v>39434</v>
      </c>
      <c r="K82" s="32">
        <f>ROUND(Table1[[#This Row],[Content.Column14]] * 1000, 0)</f>
        <v>40929</v>
      </c>
      <c r="L82" s="30">
        <f>ROUND(Table1[[#This Row],[Content.Column3]] * 1000, 0)</f>
        <v>37742</v>
      </c>
      <c r="M82" s="30">
        <f>ROUND(Table1[[#This Row],[Content.Column4]] * 1000, 0)</f>
        <v>17306</v>
      </c>
      <c r="N82" s="30">
        <f>ROUND(Table1[[#This Row],[Content.Column5]] * 1000, 0)</f>
        <v>55045</v>
      </c>
      <c r="O82" s="30">
        <f>ROUND(Table1[[#This Row],[Content.Column6]] * 1000, 0)</f>
        <v>56553</v>
      </c>
      <c r="P82" s="27"/>
      <c r="Q82" s="27"/>
      <c r="R82"/>
      <c r="S82"/>
    </row>
    <row r="83" spans="1:19" x14ac:dyDescent="0.3">
      <c r="A83">
        <v>2010</v>
      </c>
      <c r="B83" t="s">
        <v>89</v>
      </c>
      <c r="C83" t="s">
        <v>88</v>
      </c>
      <c r="D83" s="34">
        <f>ROUND(Table1[[#This Row],[Content.Column7]] * 1000, 0)</f>
        <v>20383</v>
      </c>
      <c r="E83" s="34">
        <f>ROUND(Table1[[#This Row],[Content.Column8]] * 1000, 0)</f>
        <v>5644</v>
      </c>
      <c r="F83" s="34">
        <f>ROUND(Table1[[#This Row],[Content.Column9]] * 1000, 0)</f>
        <v>26027</v>
      </c>
      <c r="G83" s="34">
        <f>ROUND(Table1[[#This Row],[Content.Column10]] * 1000, 0)</f>
        <v>26033</v>
      </c>
      <c r="H83" s="32">
        <f>ROUND(Table1[[#This Row],[Content.Column11]] * 1000, 0)</f>
        <v>53803</v>
      </c>
      <c r="I83" s="32">
        <f>ROUND(Table1[[#This Row],[Content.Column12]] * 1000, 0)</f>
        <v>22867</v>
      </c>
      <c r="J83" s="32">
        <f>ROUND(Table1[[#This Row],[Content.Column13]] * 1000, 0)</f>
        <v>76669</v>
      </c>
      <c r="K83" s="32">
        <f>ROUND(Table1[[#This Row],[Content.Column14]] * 1000, 0)</f>
        <v>79365</v>
      </c>
      <c r="L83" s="30">
        <f>ROUND(Table1[[#This Row],[Content.Column3]] * 1000, 0)</f>
        <v>74186</v>
      </c>
      <c r="M83" s="30">
        <f>ROUND(Table1[[#This Row],[Content.Column4]] * 1000, 0)</f>
        <v>28510</v>
      </c>
      <c r="N83" s="30">
        <f>ROUND(Table1[[#This Row],[Content.Column5]] * 1000, 0)</f>
        <v>102695</v>
      </c>
      <c r="O83" s="30">
        <f>ROUND(Table1[[#This Row],[Content.Column6]] * 1000, 0)</f>
        <v>105399</v>
      </c>
      <c r="P83" s="27"/>
      <c r="Q83" s="27"/>
      <c r="R83"/>
      <c r="S83"/>
    </row>
    <row r="84" spans="1:19" x14ac:dyDescent="0.3">
      <c r="A84">
        <v>2010</v>
      </c>
      <c r="B84" t="s">
        <v>91</v>
      </c>
      <c r="C84" t="s">
        <v>90</v>
      </c>
      <c r="D84" s="34">
        <f>ROUND(Table1[[#This Row],[Content.Column7]] * 1000, 0)</f>
        <v>83681</v>
      </c>
      <c r="E84" s="34">
        <f>ROUND(Table1[[#This Row],[Content.Column8]] * 1000, 0)</f>
        <v>12745</v>
      </c>
      <c r="F84" s="34">
        <f>ROUND(Table1[[#This Row],[Content.Column9]] * 1000, 0)</f>
        <v>96427</v>
      </c>
      <c r="G84" s="34">
        <f>ROUND(Table1[[#This Row],[Content.Column10]] * 1000, 0)</f>
        <v>97557</v>
      </c>
      <c r="H84" s="32">
        <f>ROUND(Table1[[#This Row],[Content.Column11]] * 1000, 0)</f>
        <v>398114</v>
      </c>
      <c r="I84" s="32">
        <f>ROUND(Table1[[#This Row],[Content.Column12]] * 1000, 0)</f>
        <v>115617</v>
      </c>
      <c r="J84" s="32">
        <f>ROUND(Table1[[#This Row],[Content.Column13]] * 1000, 0)</f>
        <v>513712</v>
      </c>
      <c r="K84" s="32">
        <f>ROUND(Table1[[#This Row],[Content.Column14]] * 1000, 0)</f>
        <v>533887</v>
      </c>
      <c r="L84" s="30">
        <f>ROUND(Table1[[#This Row],[Content.Column3]] * 1000, 0)</f>
        <v>481795</v>
      </c>
      <c r="M84" s="30">
        <f>ROUND(Table1[[#This Row],[Content.Column4]] * 1000, 0)</f>
        <v>128362</v>
      </c>
      <c r="N84" s="30">
        <f>ROUND(Table1[[#This Row],[Content.Column5]] * 1000, 0)</f>
        <v>610139</v>
      </c>
      <c r="O84" s="30">
        <f>ROUND(Table1[[#This Row],[Content.Column6]] * 1000, 0)</f>
        <v>631444</v>
      </c>
      <c r="P84" s="27"/>
      <c r="Q84" s="27"/>
      <c r="R84"/>
      <c r="S84"/>
    </row>
    <row r="85" spans="1:19" x14ac:dyDescent="0.3">
      <c r="A85">
        <v>2010</v>
      </c>
      <c r="B85" t="s">
        <v>93</v>
      </c>
      <c r="C85" t="s">
        <v>92</v>
      </c>
      <c r="D85" s="34">
        <f>ROUND(Table1[[#This Row],[Content.Column7]] * 1000, 0)</f>
        <v>365654</v>
      </c>
      <c r="E85" s="34">
        <f>ROUND(Table1[[#This Row],[Content.Column8]] * 1000, 0)</f>
        <v>94268</v>
      </c>
      <c r="F85" s="34">
        <f>ROUND(Table1[[#This Row],[Content.Column9]] * 1000, 0)</f>
        <v>459922</v>
      </c>
      <c r="G85" s="34">
        <f>ROUND(Table1[[#This Row],[Content.Column10]] * 1000, 0)</f>
        <v>462260</v>
      </c>
      <c r="H85" s="32">
        <f>ROUND(Table1[[#This Row],[Content.Column11]] * 1000, 0)</f>
        <v>1612588</v>
      </c>
      <c r="I85" s="32">
        <f>ROUND(Table1[[#This Row],[Content.Column12]] * 1000, 0)</f>
        <v>478253</v>
      </c>
      <c r="J85" s="32">
        <f>ROUND(Table1[[#This Row],[Content.Column13]] * 1000, 0)</f>
        <v>2090766</v>
      </c>
      <c r="K85" s="32">
        <f>ROUND(Table1[[#This Row],[Content.Column14]] * 1000, 0)</f>
        <v>2164327</v>
      </c>
      <c r="L85" s="30">
        <f>ROUND(Table1[[#This Row],[Content.Column3]] * 1000, 0)</f>
        <v>1978242</v>
      </c>
      <c r="M85" s="30">
        <f>ROUND(Table1[[#This Row],[Content.Column4]] * 1000, 0)</f>
        <v>572522</v>
      </c>
      <c r="N85" s="30">
        <f>ROUND(Table1[[#This Row],[Content.Column5]] * 1000, 0)</f>
        <v>2550688</v>
      </c>
      <c r="O85" s="30">
        <f>ROUND(Table1[[#This Row],[Content.Column6]] * 1000, 0)</f>
        <v>2626587</v>
      </c>
      <c r="P85" s="27"/>
      <c r="Q85" s="27"/>
      <c r="R85"/>
      <c r="S85"/>
    </row>
    <row r="86" spans="1:19" x14ac:dyDescent="0.3">
      <c r="A86">
        <v>2010</v>
      </c>
      <c r="B86" t="s">
        <v>95</v>
      </c>
      <c r="C86" t="s">
        <v>94</v>
      </c>
      <c r="D86" s="34">
        <f>ROUND(Table1[[#This Row],[Content.Column7]] * 1000, 0)</f>
        <v>225227</v>
      </c>
      <c r="E86" s="34">
        <f>ROUND(Table1[[#This Row],[Content.Column8]] * 1000, 0)</f>
        <v>126549</v>
      </c>
      <c r="F86" s="34">
        <f>ROUND(Table1[[#This Row],[Content.Column9]] * 1000, 0)</f>
        <v>351776</v>
      </c>
      <c r="G86" s="34">
        <f>ROUND(Table1[[#This Row],[Content.Column10]] * 1000, 0)</f>
        <v>352516</v>
      </c>
      <c r="H86" s="32">
        <f>ROUND(Table1[[#This Row],[Content.Column11]] * 1000, 0)</f>
        <v>909417</v>
      </c>
      <c r="I86" s="32">
        <f>ROUND(Table1[[#This Row],[Content.Column12]] * 1000, 0)</f>
        <v>394192</v>
      </c>
      <c r="J86" s="32">
        <f>ROUND(Table1[[#This Row],[Content.Column13]] * 1000, 0)</f>
        <v>1303568</v>
      </c>
      <c r="K86" s="32">
        <f>ROUND(Table1[[#This Row],[Content.Column14]] * 1000, 0)</f>
        <v>1343703</v>
      </c>
      <c r="L86" s="30">
        <f>ROUND(Table1[[#This Row],[Content.Column3]] * 1000, 0)</f>
        <v>1134644</v>
      </c>
      <c r="M86" s="30">
        <f>ROUND(Table1[[#This Row],[Content.Column4]] * 1000, 0)</f>
        <v>520742</v>
      </c>
      <c r="N86" s="30">
        <f>ROUND(Table1[[#This Row],[Content.Column5]] * 1000, 0)</f>
        <v>1655344</v>
      </c>
      <c r="O86" s="30">
        <f>ROUND(Table1[[#This Row],[Content.Column6]] * 1000, 0)</f>
        <v>1696219</v>
      </c>
      <c r="P86" s="27"/>
      <c r="Q86" s="27"/>
      <c r="R86"/>
      <c r="S86"/>
    </row>
    <row r="87" spans="1:19" x14ac:dyDescent="0.3">
      <c r="A87">
        <v>2010</v>
      </c>
      <c r="B87" t="s">
        <v>97</v>
      </c>
      <c r="C87" t="s">
        <v>96</v>
      </c>
      <c r="D87" s="34">
        <f>ROUND(Table1[[#This Row],[Content.Column7]] * 1000, 0)</f>
        <v>180744</v>
      </c>
      <c r="E87" s="34">
        <f>ROUND(Table1[[#This Row],[Content.Column8]] * 1000, 0)</f>
        <v>107079</v>
      </c>
      <c r="F87" s="34">
        <f>ROUND(Table1[[#This Row],[Content.Column9]] * 1000, 0)</f>
        <v>287823</v>
      </c>
      <c r="G87" s="34">
        <f>ROUND(Table1[[#This Row],[Content.Column10]] * 1000, 0)</f>
        <v>295257</v>
      </c>
      <c r="H87" s="32">
        <f>ROUND(Table1[[#This Row],[Content.Column11]] * 1000, 0)</f>
        <v>493475</v>
      </c>
      <c r="I87" s="32">
        <f>ROUND(Table1[[#This Row],[Content.Column12]] * 1000, 0)</f>
        <v>229711</v>
      </c>
      <c r="J87" s="32">
        <f>ROUND(Table1[[#This Row],[Content.Column13]] * 1000, 0)</f>
        <v>723186</v>
      </c>
      <c r="K87" s="32">
        <f>ROUND(Table1[[#This Row],[Content.Column14]] * 1000, 0)</f>
        <v>748823</v>
      </c>
      <c r="L87" s="30">
        <f>ROUND(Table1[[#This Row],[Content.Column3]] * 1000, 0)</f>
        <v>674219</v>
      </c>
      <c r="M87" s="30">
        <f>ROUND(Table1[[#This Row],[Content.Column4]] * 1000, 0)</f>
        <v>336790</v>
      </c>
      <c r="N87" s="30">
        <f>ROUND(Table1[[#This Row],[Content.Column5]] * 1000, 0)</f>
        <v>1011009</v>
      </c>
      <c r="O87" s="30">
        <f>ROUND(Table1[[#This Row],[Content.Column6]] * 1000, 0)</f>
        <v>1044080</v>
      </c>
      <c r="P87" s="27"/>
      <c r="Q87" s="27"/>
      <c r="R87"/>
      <c r="S87"/>
    </row>
    <row r="88" spans="1:19" x14ac:dyDescent="0.3">
      <c r="A88">
        <v>2010</v>
      </c>
      <c r="B88" t="s">
        <v>99</v>
      </c>
      <c r="C88" t="s">
        <v>98</v>
      </c>
      <c r="D88" s="34">
        <f>ROUND(Table1[[#This Row],[Content.Column7]] * 1000, 0)</f>
        <v>453620</v>
      </c>
      <c r="E88" s="34">
        <f>ROUND(Table1[[#This Row],[Content.Column8]] * 1000, 0)</f>
        <v>268005</v>
      </c>
      <c r="F88" s="34">
        <f>ROUND(Table1[[#This Row],[Content.Column9]] * 1000, 0)</f>
        <v>721625</v>
      </c>
      <c r="G88" s="34">
        <f>ROUND(Table1[[#This Row],[Content.Column10]] * 1000, 0)</f>
        <v>745554</v>
      </c>
      <c r="H88" s="32">
        <f>ROUND(Table1[[#This Row],[Content.Column11]] * 1000, 0)</f>
        <v>1561338</v>
      </c>
      <c r="I88" s="32">
        <f>ROUND(Table1[[#This Row],[Content.Column12]] * 1000, 0)</f>
        <v>697241</v>
      </c>
      <c r="J88" s="32">
        <f>ROUND(Table1[[#This Row],[Content.Column13]] * 1000, 0)</f>
        <v>2258579</v>
      </c>
      <c r="K88" s="32">
        <f>ROUND(Table1[[#This Row],[Content.Column14]] * 1000, 0)</f>
        <v>2337684</v>
      </c>
      <c r="L88" s="30">
        <f>ROUND(Table1[[#This Row],[Content.Column3]] * 1000, 0)</f>
        <v>2014958</v>
      </c>
      <c r="M88" s="30">
        <f>ROUND(Table1[[#This Row],[Content.Column4]] * 1000, 0)</f>
        <v>965246</v>
      </c>
      <c r="N88" s="30">
        <f>ROUND(Table1[[#This Row],[Content.Column5]] * 1000, 0)</f>
        <v>2980203</v>
      </c>
      <c r="O88" s="30">
        <f>ROUND(Table1[[#This Row],[Content.Column6]] * 1000, 0)</f>
        <v>3083238</v>
      </c>
      <c r="P88" s="27"/>
      <c r="Q88" s="27"/>
      <c r="R88"/>
      <c r="S88"/>
    </row>
    <row r="89" spans="1:19" x14ac:dyDescent="0.3">
      <c r="A89">
        <v>2010</v>
      </c>
      <c r="B89" t="s">
        <v>101</v>
      </c>
      <c r="C89" t="s">
        <v>100</v>
      </c>
      <c r="D89" s="34">
        <f>ROUND(Table1[[#This Row],[Content.Column7]] * 1000, 0)</f>
        <v>340788</v>
      </c>
      <c r="E89" s="34">
        <f>ROUND(Table1[[#This Row],[Content.Column8]] * 1000, 0)</f>
        <v>218866</v>
      </c>
      <c r="F89" s="34">
        <f>ROUND(Table1[[#This Row],[Content.Column9]] * 1000, 0)</f>
        <v>559654</v>
      </c>
      <c r="G89" s="34">
        <f>ROUND(Table1[[#This Row],[Content.Column10]] * 1000, 0)</f>
        <v>581756</v>
      </c>
      <c r="H89" s="32">
        <f>ROUND(Table1[[#This Row],[Content.Column11]] * 1000, 0)</f>
        <v>1125919</v>
      </c>
      <c r="I89" s="32">
        <f>ROUND(Table1[[#This Row],[Content.Column12]] * 1000, 0)</f>
        <v>516723</v>
      </c>
      <c r="J89" s="32">
        <f>ROUND(Table1[[#This Row],[Content.Column13]] * 1000, 0)</f>
        <v>1642642</v>
      </c>
      <c r="K89" s="32">
        <f>ROUND(Table1[[#This Row],[Content.Column14]] * 1000, 0)</f>
        <v>1707233</v>
      </c>
      <c r="L89" s="30">
        <f>ROUND(Table1[[#This Row],[Content.Column3]] * 1000, 0)</f>
        <v>1466707</v>
      </c>
      <c r="M89" s="30">
        <f>ROUND(Table1[[#This Row],[Content.Column4]] * 1000, 0)</f>
        <v>735588</v>
      </c>
      <c r="N89" s="30">
        <f>ROUND(Table1[[#This Row],[Content.Column5]] * 1000, 0)</f>
        <v>2202296</v>
      </c>
      <c r="O89" s="30">
        <f>ROUND(Table1[[#This Row],[Content.Column6]] * 1000, 0)</f>
        <v>2288989</v>
      </c>
      <c r="P89" s="27"/>
      <c r="Q89" s="27"/>
      <c r="R89"/>
      <c r="S89"/>
    </row>
    <row r="90" spans="1:19" x14ac:dyDescent="0.3">
      <c r="A90">
        <v>2010</v>
      </c>
      <c r="B90" t="s">
        <v>103</v>
      </c>
      <c r="C90" t="s">
        <v>102</v>
      </c>
      <c r="D90" s="34">
        <f>ROUND(Table1[[#This Row],[Content.Column7]] * 1000, 0)</f>
        <v>238176</v>
      </c>
      <c r="E90" s="34">
        <f>ROUND(Table1[[#This Row],[Content.Column8]] * 1000, 0)</f>
        <v>185469</v>
      </c>
      <c r="F90" s="34">
        <f>ROUND(Table1[[#This Row],[Content.Column9]] * 1000, 0)</f>
        <v>423644</v>
      </c>
      <c r="G90" s="34">
        <f>ROUND(Table1[[#This Row],[Content.Column10]] * 1000, 0)</f>
        <v>444189</v>
      </c>
      <c r="H90" s="32">
        <f>ROUND(Table1[[#This Row],[Content.Column11]] * 1000, 0)</f>
        <v>1047792</v>
      </c>
      <c r="I90" s="32">
        <f>ROUND(Table1[[#This Row],[Content.Column12]] * 1000, 0)</f>
        <v>434464</v>
      </c>
      <c r="J90" s="32">
        <f>ROUND(Table1[[#This Row],[Content.Column13]] * 1000, 0)</f>
        <v>1482256</v>
      </c>
      <c r="K90" s="32">
        <f>ROUND(Table1[[#This Row],[Content.Column14]] * 1000, 0)</f>
        <v>1542175</v>
      </c>
      <c r="L90" s="30">
        <f>ROUND(Table1[[#This Row],[Content.Column3]] * 1000, 0)</f>
        <v>1285968</v>
      </c>
      <c r="M90" s="30">
        <f>ROUND(Table1[[#This Row],[Content.Column4]] * 1000, 0)</f>
        <v>619933</v>
      </c>
      <c r="N90" s="30">
        <f>ROUND(Table1[[#This Row],[Content.Column5]] * 1000, 0)</f>
        <v>1905901</v>
      </c>
      <c r="O90" s="30">
        <f>ROUND(Table1[[#This Row],[Content.Column6]] * 1000, 0)</f>
        <v>1986364</v>
      </c>
      <c r="P90" s="27"/>
      <c r="Q90" s="27"/>
      <c r="R90"/>
      <c r="S90"/>
    </row>
    <row r="91" spans="1:19" x14ac:dyDescent="0.3">
      <c r="A91">
        <v>2010</v>
      </c>
      <c r="B91" t="s">
        <v>105</v>
      </c>
      <c r="C91" t="s">
        <v>104</v>
      </c>
      <c r="D91" s="34">
        <f>ROUND(Table1[[#This Row],[Content.Column7]] * 1000, 0)</f>
        <v>321549</v>
      </c>
      <c r="E91" s="34">
        <f>ROUND(Table1[[#This Row],[Content.Column8]] * 1000, 0)</f>
        <v>218925</v>
      </c>
      <c r="F91" s="34">
        <f>ROUND(Table1[[#This Row],[Content.Column9]] * 1000, 0)</f>
        <v>540474</v>
      </c>
      <c r="G91" s="34">
        <f>ROUND(Table1[[#This Row],[Content.Column10]] * 1000, 0)</f>
        <v>564997</v>
      </c>
      <c r="H91" s="32">
        <f>ROUND(Table1[[#This Row],[Content.Column11]] * 1000, 0)</f>
        <v>1227123</v>
      </c>
      <c r="I91" s="32">
        <f>ROUND(Table1[[#This Row],[Content.Column12]] * 1000, 0)</f>
        <v>544133</v>
      </c>
      <c r="J91" s="32">
        <f>ROUND(Table1[[#This Row],[Content.Column13]] * 1000, 0)</f>
        <v>1771257</v>
      </c>
      <c r="K91" s="32">
        <f>ROUND(Table1[[#This Row],[Content.Column14]] * 1000, 0)</f>
        <v>1835589</v>
      </c>
      <c r="L91" s="30">
        <f>ROUND(Table1[[#This Row],[Content.Column3]] * 1000, 0)</f>
        <v>1548672</v>
      </c>
      <c r="M91" s="30">
        <f>ROUND(Table1[[#This Row],[Content.Column4]] * 1000, 0)</f>
        <v>763058</v>
      </c>
      <c r="N91" s="30">
        <f>ROUND(Table1[[#This Row],[Content.Column5]] * 1000, 0)</f>
        <v>2311731</v>
      </c>
      <c r="O91" s="30">
        <f>ROUND(Table1[[#This Row],[Content.Column6]] * 1000, 0)</f>
        <v>2400586</v>
      </c>
      <c r="P91" s="27"/>
      <c r="Q91" s="27"/>
      <c r="R91"/>
      <c r="S91"/>
    </row>
    <row r="92" spans="1:19" x14ac:dyDescent="0.3">
      <c r="A92">
        <v>2010</v>
      </c>
      <c r="B92" t="s">
        <v>107</v>
      </c>
      <c r="C92" t="s">
        <v>106</v>
      </c>
      <c r="D92" s="34">
        <f>ROUND(Table1[[#This Row],[Content.Column7]] * 1000, 0)</f>
        <v>293820</v>
      </c>
      <c r="E92" s="34">
        <f>ROUND(Table1[[#This Row],[Content.Column8]] * 1000, 0)</f>
        <v>210836</v>
      </c>
      <c r="F92" s="34">
        <f>ROUND(Table1[[#This Row],[Content.Column9]] * 1000, 0)</f>
        <v>504655</v>
      </c>
      <c r="G92" s="34">
        <f>ROUND(Table1[[#This Row],[Content.Column10]] * 1000, 0)</f>
        <v>525009</v>
      </c>
      <c r="H92" s="32">
        <f>ROUND(Table1[[#This Row],[Content.Column11]] * 1000, 0)</f>
        <v>1278923</v>
      </c>
      <c r="I92" s="32">
        <f>ROUND(Table1[[#This Row],[Content.Column12]] * 1000, 0)</f>
        <v>616496</v>
      </c>
      <c r="J92" s="32">
        <f>ROUND(Table1[[#This Row],[Content.Column13]] * 1000, 0)</f>
        <v>1895418</v>
      </c>
      <c r="K92" s="32">
        <f>ROUND(Table1[[#This Row],[Content.Column14]] * 1000, 0)</f>
        <v>1972041</v>
      </c>
      <c r="L92" s="30">
        <f>ROUND(Table1[[#This Row],[Content.Column3]] * 1000, 0)</f>
        <v>1572742</v>
      </c>
      <c r="M92" s="30">
        <f>ROUND(Table1[[#This Row],[Content.Column4]] * 1000, 0)</f>
        <v>827332</v>
      </c>
      <c r="N92" s="30">
        <f>ROUND(Table1[[#This Row],[Content.Column5]] * 1000, 0)</f>
        <v>2400073</v>
      </c>
      <c r="O92" s="30">
        <f>ROUND(Table1[[#This Row],[Content.Column6]] * 1000, 0)</f>
        <v>2497050</v>
      </c>
      <c r="P92" s="27"/>
      <c r="Q92" s="27"/>
      <c r="R92"/>
      <c r="S92"/>
    </row>
    <row r="93" spans="1:19" x14ac:dyDescent="0.3">
      <c r="A93">
        <v>2010</v>
      </c>
      <c r="B93" t="s">
        <v>109</v>
      </c>
      <c r="C93" t="s">
        <v>108</v>
      </c>
      <c r="D93" s="34">
        <f>ROUND(Table1[[#This Row],[Content.Column7]] * 1000, 0)</f>
        <v>591202</v>
      </c>
      <c r="E93" s="34">
        <f>ROUND(Table1[[#This Row],[Content.Column8]] * 1000, 0)</f>
        <v>220919</v>
      </c>
      <c r="F93" s="34">
        <f>ROUND(Table1[[#This Row],[Content.Column9]] * 1000, 0)</f>
        <v>812121</v>
      </c>
      <c r="G93" s="34">
        <f>ROUND(Table1[[#This Row],[Content.Column10]] * 1000, 0)</f>
        <v>815531</v>
      </c>
      <c r="H93" s="32">
        <f>ROUND(Table1[[#This Row],[Content.Column11]] * 1000, 0)</f>
        <v>2522005</v>
      </c>
      <c r="I93" s="32">
        <f>ROUND(Table1[[#This Row],[Content.Column12]] * 1000, 0)</f>
        <v>872446</v>
      </c>
      <c r="J93" s="32">
        <f>ROUND(Table1[[#This Row],[Content.Column13]] * 1000, 0)</f>
        <v>3394334</v>
      </c>
      <c r="K93" s="32">
        <f>ROUND(Table1[[#This Row],[Content.Column14]] * 1000, 0)</f>
        <v>3508030</v>
      </c>
      <c r="L93" s="30">
        <f>ROUND(Table1[[#This Row],[Content.Column3]] * 1000, 0)</f>
        <v>3113207</v>
      </c>
      <c r="M93" s="30">
        <f>ROUND(Table1[[#This Row],[Content.Column4]] * 1000, 0)</f>
        <v>1093365</v>
      </c>
      <c r="N93" s="30">
        <f>ROUND(Table1[[#This Row],[Content.Column5]] * 1000, 0)</f>
        <v>4206454</v>
      </c>
      <c r="O93" s="30">
        <f>ROUND(Table1[[#This Row],[Content.Column6]] * 1000, 0)</f>
        <v>4323562</v>
      </c>
      <c r="P93" s="27"/>
      <c r="Q93" s="27"/>
      <c r="R93"/>
      <c r="S93"/>
    </row>
    <row r="94" spans="1:19" x14ac:dyDescent="0.3">
      <c r="A94">
        <v>2010</v>
      </c>
      <c r="B94" t="s">
        <v>111</v>
      </c>
      <c r="C94" t="s">
        <v>110</v>
      </c>
      <c r="D94" s="34">
        <f>ROUND(Table1[[#This Row],[Content.Column7]] * 1000, 0)</f>
        <v>445124</v>
      </c>
      <c r="E94" s="34">
        <f>ROUND(Table1[[#This Row],[Content.Column8]] * 1000, 0)</f>
        <v>283946</v>
      </c>
      <c r="F94" s="34">
        <f>ROUND(Table1[[#This Row],[Content.Column9]] * 1000, 0)</f>
        <v>729070</v>
      </c>
      <c r="G94" s="34">
        <f>ROUND(Table1[[#This Row],[Content.Column10]] * 1000, 0)</f>
        <v>751789</v>
      </c>
      <c r="H94" s="32">
        <f>ROUND(Table1[[#This Row],[Content.Column11]] * 1000, 0)</f>
        <v>2106839</v>
      </c>
      <c r="I94" s="32">
        <f>ROUND(Table1[[#This Row],[Content.Column12]] * 1000, 0)</f>
        <v>947488</v>
      </c>
      <c r="J94" s="32">
        <f>ROUND(Table1[[#This Row],[Content.Column13]] * 1000, 0)</f>
        <v>3054324</v>
      </c>
      <c r="K94" s="32">
        <f>ROUND(Table1[[#This Row],[Content.Column14]] * 1000, 0)</f>
        <v>3182875</v>
      </c>
      <c r="L94" s="30">
        <f>ROUND(Table1[[#This Row],[Content.Column3]] * 1000, 0)</f>
        <v>2551963</v>
      </c>
      <c r="M94" s="30">
        <f>ROUND(Table1[[#This Row],[Content.Column4]] * 1000, 0)</f>
        <v>1231433</v>
      </c>
      <c r="N94" s="30">
        <f>ROUND(Table1[[#This Row],[Content.Column5]] * 1000, 0)</f>
        <v>3783394</v>
      </c>
      <c r="O94" s="30">
        <f>ROUND(Table1[[#This Row],[Content.Column6]] * 1000, 0)</f>
        <v>3934664</v>
      </c>
      <c r="P94" s="27"/>
      <c r="Q94" s="27"/>
      <c r="R94"/>
      <c r="S94"/>
    </row>
    <row r="95" spans="1:19" x14ac:dyDescent="0.3">
      <c r="A95">
        <v>2010</v>
      </c>
      <c r="B95" t="s">
        <v>113</v>
      </c>
      <c r="C95" t="s">
        <v>112</v>
      </c>
      <c r="D95" s="34">
        <f>ROUND(Table1[[#This Row],[Content.Column7]] * 1000, 0)</f>
        <v>308305</v>
      </c>
      <c r="E95" s="34">
        <f>ROUND(Table1[[#This Row],[Content.Column8]] * 1000, 0)</f>
        <v>215533</v>
      </c>
      <c r="F95" s="34">
        <f>ROUND(Table1[[#This Row],[Content.Column9]] * 1000, 0)</f>
        <v>523838</v>
      </c>
      <c r="G95" s="34">
        <f>ROUND(Table1[[#This Row],[Content.Column10]] * 1000, 0)</f>
        <v>568861</v>
      </c>
      <c r="H95" s="32">
        <f>ROUND(Table1[[#This Row],[Content.Column11]] * 1000, 0)</f>
        <v>1162518</v>
      </c>
      <c r="I95" s="32">
        <f>ROUND(Table1[[#This Row],[Content.Column12]] * 1000, 0)</f>
        <v>597931</v>
      </c>
      <c r="J95" s="32">
        <f>ROUND(Table1[[#This Row],[Content.Column13]] * 1000, 0)</f>
        <v>1760379</v>
      </c>
      <c r="K95" s="32">
        <f>ROUND(Table1[[#This Row],[Content.Column14]] * 1000, 0)</f>
        <v>1854603</v>
      </c>
      <c r="L95" s="30">
        <f>ROUND(Table1[[#This Row],[Content.Column3]] * 1000, 0)</f>
        <v>1470823</v>
      </c>
      <c r="M95" s="30">
        <f>ROUND(Table1[[#This Row],[Content.Column4]] * 1000, 0)</f>
        <v>813464</v>
      </c>
      <c r="N95" s="30">
        <f>ROUND(Table1[[#This Row],[Content.Column5]] * 1000, 0)</f>
        <v>2284218</v>
      </c>
      <c r="O95" s="30">
        <f>ROUND(Table1[[#This Row],[Content.Column6]] * 1000, 0)</f>
        <v>2423464</v>
      </c>
      <c r="P95" s="27"/>
      <c r="Q95" s="27"/>
      <c r="R95"/>
      <c r="S95"/>
    </row>
    <row r="96" spans="1:19" x14ac:dyDescent="0.3">
      <c r="A96">
        <v>2010</v>
      </c>
      <c r="B96" t="s">
        <v>115</v>
      </c>
      <c r="C96" t="s">
        <v>114</v>
      </c>
      <c r="D96" s="34">
        <f>ROUND(Table1[[#This Row],[Content.Column7]] * 1000, 0)</f>
        <v>211748</v>
      </c>
      <c r="E96" s="34">
        <f>ROUND(Table1[[#This Row],[Content.Column8]] * 1000, 0)</f>
        <v>138180</v>
      </c>
      <c r="F96" s="34">
        <f>ROUND(Table1[[#This Row],[Content.Column9]] * 1000, 0)</f>
        <v>349928</v>
      </c>
      <c r="G96" s="34">
        <f>ROUND(Table1[[#This Row],[Content.Column10]] * 1000, 0)</f>
        <v>396820</v>
      </c>
      <c r="H96" s="32">
        <f>ROUND(Table1[[#This Row],[Content.Column11]] * 1000, 0)</f>
        <v>538363</v>
      </c>
      <c r="I96" s="32">
        <f>ROUND(Table1[[#This Row],[Content.Column12]] * 1000, 0)</f>
        <v>277228</v>
      </c>
      <c r="J96" s="32">
        <f>ROUND(Table1[[#This Row],[Content.Column13]] * 1000, 0)</f>
        <v>815592</v>
      </c>
      <c r="K96" s="32">
        <f>ROUND(Table1[[#This Row],[Content.Column14]] * 1000, 0)</f>
        <v>857464</v>
      </c>
      <c r="L96" s="30">
        <f>ROUND(Table1[[#This Row],[Content.Column3]] * 1000, 0)</f>
        <v>750111</v>
      </c>
      <c r="M96" s="30">
        <f>ROUND(Table1[[#This Row],[Content.Column4]] * 1000, 0)</f>
        <v>415408</v>
      </c>
      <c r="N96" s="30">
        <f>ROUND(Table1[[#This Row],[Content.Column5]] * 1000, 0)</f>
        <v>1165520</v>
      </c>
      <c r="O96" s="30">
        <f>ROUND(Table1[[#This Row],[Content.Column6]] * 1000, 0)</f>
        <v>1254284</v>
      </c>
      <c r="P96" s="27"/>
      <c r="Q96" s="27"/>
      <c r="R96"/>
      <c r="S96"/>
    </row>
    <row r="97" spans="1:19" x14ac:dyDescent="0.3">
      <c r="A97">
        <v>2010</v>
      </c>
      <c r="B97" t="s">
        <v>117</v>
      </c>
      <c r="C97" t="s">
        <v>116</v>
      </c>
      <c r="D97" s="34">
        <f>ROUND(Table1[[#This Row],[Content.Column7]] * 1000, 0)</f>
        <v>427759</v>
      </c>
      <c r="E97" s="34">
        <f>ROUND(Table1[[#This Row],[Content.Column8]] * 1000, 0)</f>
        <v>238172</v>
      </c>
      <c r="F97" s="34">
        <f>ROUND(Table1[[#This Row],[Content.Column9]] * 1000, 0)</f>
        <v>665931</v>
      </c>
      <c r="G97" s="34">
        <f>ROUND(Table1[[#This Row],[Content.Column10]] * 1000, 0)</f>
        <v>709620</v>
      </c>
      <c r="H97" s="32">
        <f>ROUND(Table1[[#This Row],[Content.Column11]] * 1000, 0)</f>
        <v>1141827</v>
      </c>
      <c r="I97" s="32">
        <f>ROUND(Table1[[#This Row],[Content.Column12]] * 1000, 0)</f>
        <v>522754</v>
      </c>
      <c r="J97" s="32">
        <f>ROUND(Table1[[#This Row],[Content.Column13]] * 1000, 0)</f>
        <v>1664580</v>
      </c>
      <c r="K97" s="32">
        <f>ROUND(Table1[[#This Row],[Content.Column14]] * 1000, 0)</f>
        <v>1725694</v>
      </c>
      <c r="L97" s="30">
        <f>ROUND(Table1[[#This Row],[Content.Column3]] * 1000, 0)</f>
        <v>1569586</v>
      </c>
      <c r="M97" s="30">
        <f>ROUND(Table1[[#This Row],[Content.Column4]] * 1000, 0)</f>
        <v>760926</v>
      </c>
      <c r="N97" s="30">
        <f>ROUND(Table1[[#This Row],[Content.Column5]] * 1000, 0)</f>
        <v>2330512</v>
      </c>
      <c r="O97" s="30">
        <f>ROUND(Table1[[#This Row],[Content.Column6]] * 1000, 0)</f>
        <v>2435314</v>
      </c>
      <c r="P97" s="27"/>
      <c r="Q97" s="27"/>
      <c r="R97"/>
      <c r="S97"/>
    </row>
    <row r="98" spans="1:19" x14ac:dyDescent="0.3">
      <c r="A98">
        <v>2010</v>
      </c>
      <c r="B98" t="s">
        <v>119</v>
      </c>
      <c r="C98" t="s">
        <v>118</v>
      </c>
      <c r="D98" s="34">
        <f>ROUND(Table1[[#This Row],[Content.Column7]] * 1000, 0)</f>
        <v>3173328</v>
      </c>
      <c r="E98" s="34">
        <f>ROUND(Table1[[#This Row],[Content.Column8]] * 1000, 0)</f>
        <v>1929576</v>
      </c>
      <c r="F98" s="34">
        <f>ROUND(Table1[[#This Row],[Content.Column9]] * 1000, 0)</f>
        <v>5102904</v>
      </c>
      <c r="G98" s="34">
        <f>ROUND(Table1[[#This Row],[Content.Column10]] * 1000, 0)</f>
        <v>5292943</v>
      </c>
      <c r="H98" s="32">
        <f>ROUND(Table1[[#This Row],[Content.Column11]] * 1000, 0)</f>
        <v>12525932</v>
      </c>
      <c r="I98" s="32">
        <f>ROUND(Table1[[#This Row],[Content.Column12]] * 1000, 0)</f>
        <v>5456632</v>
      </c>
      <c r="J98" s="32">
        <f>ROUND(Table1[[#This Row],[Content.Column13]] * 1000, 0)</f>
        <v>17982375</v>
      </c>
      <c r="K98" s="32">
        <f>ROUND(Table1[[#This Row],[Content.Column14]] * 1000, 0)</f>
        <v>18689053</v>
      </c>
      <c r="L98" s="30">
        <f>ROUND(Table1[[#This Row],[Content.Column3]] * 1000, 0)</f>
        <v>15699261</v>
      </c>
      <c r="M98" s="30">
        <f>ROUND(Table1[[#This Row],[Content.Column4]] * 1000, 0)</f>
        <v>7386208</v>
      </c>
      <c r="N98" s="30">
        <f>ROUND(Table1[[#This Row],[Content.Column5]] * 1000, 0)</f>
        <v>23085279</v>
      </c>
      <c r="O98" s="30">
        <f>ROUND(Table1[[#This Row],[Content.Column6]] * 1000, 0)</f>
        <v>23981996</v>
      </c>
      <c r="P98" s="27"/>
      <c r="Q98" s="27"/>
      <c r="R98"/>
      <c r="S98"/>
    </row>
    <row r="99" spans="1:19" x14ac:dyDescent="0.3">
      <c r="A99">
        <v>2010</v>
      </c>
      <c r="B99" t="s">
        <v>121</v>
      </c>
      <c r="C99" t="s">
        <v>120</v>
      </c>
      <c r="D99" s="34">
        <f>ROUND(Table1[[#This Row],[Content.Column7]] * 1000, 0)</f>
        <v>3812835</v>
      </c>
      <c r="E99" s="34">
        <f>ROUND(Table1[[#This Row],[Content.Column8]] * 1000, 0)</f>
        <v>2305929</v>
      </c>
      <c r="F99" s="34">
        <f>ROUND(Table1[[#This Row],[Content.Column9]] * 1000, 0)</f>
        <v>6118764</v>
      </c>
      <c r="G99" s="34">
        <f>ROUND(Table1[[#This Row],[Content.Column10]] * 1000, 0)</f>
        <v>6399383</v>
      </c>
      <c r="H99" s="32">
        <f>ROUND(Table1[[#This Row],[Content.Column11]] * 1000, 0)</f>
        <v>14206122</v>
      </c>
      <c r="I99" s="32">
        <f>ROUND(Table1[[#This Row],[Content.Column12]] * 1000, 0)</f>
        <v>6256614</v>
      </c>
      <c r="J99" s="32">
        <f>ROUND(Table1[[#This Row],[Content.Column13]] * 1000, 0)</f>
        <v>20462547</v>
      </c>
      <c r="K99" s="32">
        <f>ROUND(Table1[[#This Row],[Content.Column14]] * 1000, 0)</f>
        <v>21272210</v>
      </c>
      <c r="L99" s="30">
        <f>ROUND(Table1[[#This Row],[Content.Column3]] * 1000, 0)</f>
        <v>18018957</v>
      </c>
      <c r="M99" s="30">
        <f>ROUND(Table1[[#This Row],[Content.Column4]] * 1000, 0)</f>
        <v>8562543</v>
      </c>
      <c r="N99" s="30">
        <f>ROUND(Table1[[#This Row],[Content.Column5]] * 1000, 0)</f>
        <v>26581311</v>
      </c>
      <c r="O99" s="30">
        <f>ROUND(Table1[[#This Row],[Content.Column6]] * 1000, 0)</f>
        <v>27671593</v>
      </c>
      <c r="P99" s="27"/>
      <c r="Q99" s="27"/>
      <c r="R99"/>
      <c r="S99"/>
    </row>
    <row r="100" spans="1:19" x14ac:dyDescent="0.3">
      <c r="A100">
        <v>2011</v>
      </c>
      <c r="B100" t="s">
        <v>27</v>
      </c>
      <c r="C100" t="s">
        <v>26</v>
      </c>
      <c r="D100" s="34">
        <f>ROUND(Table1[[#This Row],[Content.Column7]] * 1000, 0)</f>
        <v>17869</v>
      </c>
      <c r="E100" s="34">
        <f>ROUND(Table1[[#This Row],[Content.Column8]] * 1000, 0)</f>
        <v>2513</v>
      </c>
      <c r="F100" s="34">
        <f>ROUND(Table1[[#This Row],[Content.Column9]] * 1000, 0)</f>
        <v>20381</v>
      </c>
      <c r="G100" s="34">
        <f>ROUND(Table1[[#This Row],[Content.Column10]] * 1000, 0)</f>
        <v>20435</v>
      </c>
      <c r="H100" s="32">
        <f>ROUND(Table1[[#This Row],[Content.Column11]] * 1000, 0)</f>
        <v>309329</v>
      </c>
      <c r="I100" s="32">
        <f>ROUND(Table1[[#This Row],[Content.Column12]] * 1000, 0)</f>
        <v>44356</v>
      </c>
      <c r="J100" s="32">
        <f>ROUND(Table1[[#This Row],[Content.Column13]] * 1000, 0)</f>
        <v>353685</v>
      </c>
      <c r="K100" s="32">
        <f>ROUND(Table1[[#This Row],[Content.Column14]] * 1000, 0)</f>
        <v>368139</v>
      </c>
      <c r="L100" s="30">
        <f>ROUND(Table1[[#This Row],[Content.Column3]] * 1000, 0)</f>
        <v>327197</v>
      </c>
      <c r="M100" s="30">
        <f>ROUND(Table1[[#This Row],[Content.Column4]] * 1000, 0)</f>
        <v>46869</v>
      </c>
      <c r="N100" s="30">
        <f>ROUND(Table1[[#This Row],[Content.Column5]] * 1000, 0)</f>
        <v>374066</v>
      </c>
      <c r="O100" s="30">
        <f>ROUND(Table1[[#This Row],[Content.Column6]] * 1000, 0)</f>
        <v>388573</v>
      </c>
      <c r="P100" s="27"/>
      <c r="Q100" s="27"/>
      <c r="R100"/>
      <c r="S100"/>
    </row>
    <row r="101" spans="1:19" x14ac:dyDescent="0.3">
      <c r="A101">
        <v>2011</v>
      </c>
      <c r="B101" t="s">
        <v>29</v>
      </c>
      <c r="C101" t="s">
        <v>28</v>
      </c>
      <c r="D101" s="34">
        <f>ROUND(Table1[[#This Row],[Content.Column7]] * 1000, 0)</f>
        <v>5023</v>
      </c>
      <c r="E101" s="34">
        <f>ROUND(Table1[[#This Row],[Content.Column8]] * 1000, 0)</f>
        <v>5815</v>
      </c>
      <c r="F101" s="34">
        <f>ROUND(Table1[[#This Row],[Content.Column9]] * 1000, 0)</f>
        <v>10838</v>
      </c>
      <c r="G101" s="34">
        <f>ROUND(Table1[[#This Row],[Content.Column10]] * 1000, 0)</f>
        <v>10847</v>
      </c>
      <c r="H101" s="32">
        <f>ROUND(Table1[[#This Row],[Content.Column11]] * 1000, 0)</f>
        <v>27525</v>
      </c>
      <c r="I101" s="32">
        <f>ROUND(Table1[[#This Row],[Content.Column12]] * 1000, 0)</f>
        <v>9008</v>
      </c>
      <c r="J101" s="32">
        <f>ROUND(Table1[[#This Row],[Content.Column13]] * 1000, 0)</f>
        <v>36533</v>
      </c>
      <c r="K101" s="32">
        <f>ROUND(Table1[[#This Row],[Content.Column14]] * 1000, 0)</f>
        <v>37809</v>
      </c>
      <c r="L101" s="30">
        <f>ROUND(Table1[[#This Row],[Content.Column3]] * 1000, 0)</f>
        <v>32548</v>
      </c>
      <c r="M101" s="30">
        <f>ROUND(Table1[[#This Row],[Content.Column4]] * 1000, 0)</f>
        <v>14823</v>
      </c>
      <c r="N101" s="30">
        <f>ROUND(Table1[[#This Row],[Content.Column5]] * 1000, 0)</f>
        <v>47371</v>
      </c>
      <c r="O101" s="30">
        <f>ROUND(Table1[[#This Row],[Content.Column6]] * 1000, 0)</f>
        <v>48656</v>
      </c>
      <c r="P101" s="27"/>
      <c r="Q101" s="27"/>
      <c r="R101"/>
      <c r="S101"/>
    </row>
    <row r="102" spans="1:19" x14ac:dyDescent="0.3">
      <c r="A102">
        <v>2011</v>
      </c>
      <c r="B102" t="s">
        <v>31</v>
      </c>
      <c r="C102" t="s">
        <v>30</v>
      </c>
      <c r="D102" s="34">
        <f>ROUND(Table1[[#This Row],[Content.Column7]] * 1000, 0)</f>
        <v>16001</v>
      </c>
      <c r="E102" s="34">
        <f>ROUND(Table1[[#This Row],[Content.Column8]] * 1000, 0)</f>
        <v>8675</v>
      </c>
      <c r="F102" s="34">
        <f>ROUND(Table1[[#This Row],[Content.Column9]] * 1000, 0)</f>
        <v>24676</v>
      </c>
      <c r="G102" s="34">
        <f>ROUND(Table1[[#This Row],[Content.Column10]] * 1000, 0)</f>
        <v>24738</v>
      </c>
      <c r="H102" s="32">
        <f>ROUND(Table1[[#This Row],[Content.Column11]] * 1000, 0)</f>
        <v>58051</v>
      </c>
      <c r="I102" s="32">
        <f>ROUND(Table1[[#This Row],[Content.Column12]] * 1000, 0)</f>
        <v>30354</v>
      </c>
      <c r="J102" s="32">
        <f>ROUND(Table1[[#This Row],[Content.Column13]] * 1000, 0)</f>
        <v>88405</v>
      </c>
      <c r="K102" s="32">
        <f>ROUND(Table1[[#This Row],[Content.Column14]] * 1000, 0)</f>
        <v>93606</v>
      </c>
      <c r="L102" s="30">
        <f>ROUND(Table1[[#This Row],[Content.Column3]] * 1000, 0)</f>
        <v>74052</v>
      </c>
      <c r="M102" s="30">
        <f>ROUND(Table1[[#This Row],[Content.Column4]] * 1000, 0)</f>
        <v>39029</v>
      </c>
      <c r="N102" s="30">
        <f>ROUND(Table1[[#This Row],[Content.Column5]] * 1000, 0)</f>
        <v>113081</v>
      </c>
      <c r="O102" s="30">
        <f>ROUND(Table1[[#This Row],[Content.Column6]] * 1000, 0)</f>
        <v>118344</v>
      </c>
      <c r="P102" s="27"/>
      <c r="Q102" s="27"/>
      <c r="R102"/>
      <c r="S102"/>
    </row>
    <row r="103" spans="1:19" x14ac:dyDescent="0.3">
      <c r="A103">
        <v>2011</v>
      </c>
      <c r="B103" t="s">
        <v>33</v>
      </c>
      <c r="C103" t="s">
        <v>32</v>
      </c>
      <c r="D103" s="34">
        <f>ROUND(Table1[[#This Row],[Content.Column7]] * 1000, 0)</f>
        <v>6965</v>
      </c>
      <c r="E103" s="34">
        <f>ROUND(Table1[[#This Row],[Content.Column8]] * 1000, 0)</f>
        <v>5122</v>
      </c>
      <c r="F103" s="34">
        <f>ROUND(Table1[[#This Row],[Content.Column9]] * 1000, 0)</f>
        <v>12087</v>
      </c>
      <c r="G103" s="34">
        <f>ROUND(Table1[[#This Row],[Content.Column10]] * 1000, 0)</f>
        <v>12097</v>
      </c>
      <c r="H103" s="32">
        <f>ROUND(Table1[[#This Row],[Content.Column11]] * 1000, 0)</f>
        <v>32986</v>
      </c>
      <c r="I103" s="32">
        <f>ROUND(Table1[[#This Row],[Content.Column12]] * 1000, 0)</f>
        <v>18339</v>
      </c>
      <c r="J103" s="32">
        <f>ROUND(Table1[[#This Row],[Content.Column13]] * 1000, 0)</f>
        <v>51325</v>
      </c>
      <c r="K103" s="32">
        <f>ROUND(Table1[[#This Row],[Content.Column14]] * 1000, 0)</f>
        <v>53690</v>
      </c>
      <c r="L103" s="30">
        <f>ROUND(Table1[[#This Row],[Content.Column3]] * 1000, 0)</f>
        <v>39951</v>
      </c>
      <c r="M103" s="30">
        <f>ROUND(Table1[[#This Row],[Content.Column4]] * 1000, 0)</f>
        <v>23461</v>
      </c>
      <c r="N103" s="30">
        <f>ROUND(Table1[[#This Row],[Content.Column5]] * 1000, 0)</f>
        <v>63412</v>
      </c>
      <c r="O103" s="30">
        <f>ROUND(Table1[[#This Row],[Content.Column6]] * 1000, 0)</f>
        <v>65787</v>
      </c>
      <c r="P103" s="27"/>
      <c r="Q103" s="27"/>
      <c r="R103"/>
      <c r="S103"/>
    </row>
    <row r="104" spans="1:19" x14ac:dyDescent="0.3">
      <c r="A104">
        <v>2011</v>
      </c>
      <c r="B104" t="s">
        <v>35</v>
      </c>
      <c r="C104" t="s">
        <v>34</v>
      </c>
      <c r="D104" s="34">
        <f>ROUND(Table1[[#This Row],[Content.Column7]] * 1000, 0)</f>
        <v>14023</v>
      </c>
      <c r="E104" s="34">
        <f>ROUND(Table1[[#This Row],[Content.Column8]] * 1000, 0)</f>
        <v>7124</v>
      </c>
      <c r="F104" s="34">
        <f>ROUND(Table1[[#This Row],[Content.Column9]] * 1000, 0)</f>
        <v>21146</v>
      </c>
      <c r="G104" s="34">
        <f>ROUND(Table1[[#This Row],[Content.Column10]] * 1000, 0)</f>
        <v>21175</v>
      </c>
      <c r="H104" s="32">
        <f>ROUND(Table1[[#This Row],[Content.Column11]] * 1000, 0)</f>
        <v>54429</v>
      </c>
      <c r="I104" s="32">
        <f>ROUND(Table1[[#This Row],[Content.Column12]] * 1000, 0)</f>
        <v>22317</v>
      </c>
      <c r="J104" s="32">
        <f>ROUND(Table1[[#This Row],[Content.Column13]] * 1000, 0)</f>
        <v>76745</v>
      </c>
      <c r="K104" s="32">
        <f>ROUND(Table1[[#This Row],[Content.Column14]] * 1000, 0)</f>
        <v>79880</v>
      </c>
      <c r="L104" s="30">
        <f>ROUND(Table1[[#This Row],[Content.Column3]] * 1000, 0)</f>
        <v>68451</v>
      </c>
      <c r="M104" s="30">
        <f>ROUND(Table1[[#This Row],[Content.Column4]] * 1000, 0)</f>
        <v>29441</v>
      </c>
      <c r="N104" s="30">
        <f>ROUND(Table1[[#This Row],[Content.Column5]] * 1000, 0)</f>
        <v>97892</v>
      </c>
      <c r="O104" s="30">
        <f>ROUND(Table1[[#This Row],[Content.Column6]] * 1000, 0)</f>
        <v>101055</v>
      </c>
      <c r="P104" s="27"/>
      <c r="Q104" s="27"/>
      <c r="R104"/>
      <c r="S104"/>
    </row>
    <row r="105" spans="1:19" x14ac:dyDescent="0.3">
      <c r="A105">
        <v>2011</v>
      </c>
      <c r="B105" t="s">
        <v>37</v>
      </c>
      <c r="C105" t="s">
        <v>36</v>
      </c>
      <c r="D105" s="34">
        <f>ROUND(Table1[[#This Row],[Content.Column7]] * 1000, 0)</f>
        <v>12090</v>
      </c>
      <c r="E105" s="34">
        <f>ROUND(Table1[[#This Row],[Content.Column8]] * 1000, 0)</f>
        <v>8660</v>
      </c>
      <c r="F105" s="34">
        <f>ROUND(Table1[[#This Row],[Content.Column9]] * 1000, 0)</f>
        <v>20750</v>
      </c>
      <c r="G105" s="34">
        <f>ROUND(Table1[[#This Row],[Content.Column10]] * 1000, 0)</f>
        <v>20785</v>
      </c>
      <c r="H105" s="32">
        <f>ROUND(Table1[[#This Row],[Content.Column11]] * 1000, 0)</f>
        <v>47934</v>
      </c>
      <c r="I105" s="32">
        <f>ROUND(Table1[[#This Row],[Content.Column12]] * 1000, 0)</f>
        <v>27175</v>
      </c>
      <c r="J105" s="32">
        <f>ROUND(Table1[[#This Row],[Content.Column13]] * 1000, 0)</f>
        <v>75109</v>
      </c>
      <c r="K105" s="32">
        <f>ROUND(Table1[[#This Row],[Content.Column14]] * 1000, 0)</f>
        <v>78935</v>
      </c>
      <c r="L105" s="30">
        <f>ROUND(Table1[[#This Row],[Content.Column3]] * 1000, 0)</f>
        <v>60024</v>
      </c>
      <c r="M105" s="30">
        <f>ROUND(Table1[[#This Row],[Content.Column4]] * 1000, 0)</f>
        <v>35836</v>
      </c>
      <c r="N105" s="30">
        <f>ROUND(Table1[[#This Row],[Content.Column5]] * 1000, 0)</f>
        <v>95859</v>
      </c>
      <c r="O105" s="30">
        <f>ROUND(Table1[[#This Row],[Content.Column6]] * 1000, 0)</f>
        <v>99719</v>
      </c>
      <c r="P105" s="27"/>
      <c r="Q105" s="27"/>
      <c r="R105"/>
      <c r="S105"/>
    </row>
    <row r="106" spans="1:19" x14ac:dyDescent="0.3">
      <c r="A106">
        <v>2011</v>
      </c>
      <c r="B106" t="s">
        <v>39</v>
      </c>
      <c r="C106" t="s">
        <v>38</v>
      </c>
      <c r="D106" s="34">
        <f>ROUND(Table1[[#This Row],[Content.Column7]] * 1000, 0)</f>
        <v>36790</v>
      </c>
      <c r="E106" s="34">
        <f>ROUND(Table1[[#This Row],[Content.Column8]] * 1000, 0)</f>
        <v>8791</v>
      </c>
      <c r="F106" s="34">
        <f>ROUND(Table1[[#This Row],[Content.Column9]] * 1000, 0)</f>
        <v>45581</v>
      </c>
      <c r="G106" s="34">
        <f>ROUND(Table1[[#This Row],[Content.Column10]] * 1000, 0)</f>
        <v>45646</v>
      </c>
      <c r="H106" s="32">
        <f>ROUND(Table1[[#This Row],[Content.Column11]] * 1000, 0)</f>
        <v>189772</v>
      </c>
      <c r="I106" s="32">
        <f>ROUND(Table1[[#This Row],[Content.Column12]] * 1000, 0)</f>
        <v>62356</v>
      </c>
      <c r="J106" s="32">
        <f>ROUND(Table1[[#This Row],[Content.Column13]] * 1000, 0)</f>
        <v>252128</v>
      </c>
      <c r="K106" s="32">
        <f>ROUND(Table1[[#This Row],[Content.Column14]] * 1000, 0)</f>
        <v>264871</v>
      </c>
      <c r="L106" s="30">
        <f>ROUND(Table1[[#This Row],[Content.Column3]] * 1000, 0)</f>
        <v>226562</v>
      </c>
      <c r="M106" s="30">
        <f>ROUND(Table1[[#This Row],[Content.Column4]] * 1000, 0)</f>
        <v>71147</v>
      </c>
      <c r="N106" s="30">
        <f>ROUND(Table1[[#This Row],[Content.Column5]] * 1000, 0)</f>
        <v>297709</v>
      </c>
      <c r="O106" s="30">
        <f>ROUND(Table1[[#This Row],[Content.Column6]] * 1000, 0)</f>
        <v>310517</v>
      </c>
      <c r="P106" s="27"/>
      <c r="Q106" s="27"/>
      <c r="R106"/>
      <c r="S106"/>
    </row>
    <row r="107" spans="1:19" x14ac:dyDescent="0.3">
      <c r="A107">
        <v>2011</v>
      </c>
      <c r="B107" t="s">
        <v>41</v>
      </c>
      <c r="C107" t="s">
        <v>40</v>
      </c>
      <c r="D107" s="34">
        <f>ROUND(Table1[[#This Row],[Content.Column7]] * 1000, 0)</f>
        <v>15724</v>
      </c>
      <c r="E107" s="34">
        <f>ROUND(Table1[[#This Row],[Content.Column8]] * 1000, 0)</f>
        <v>12273</v>
      </c>
      <c r="F107" s="34">
        <f>ROUND(Table1[[#This Row],[Content.Column9]] * 1000, 0)</f>
        <v>27997</v>
      </c>
      <c r="G107" s="34">
        <f>ROUND(Table1[[#This Row],[Content.Column10]] * 1000, 0)</f>
        <v>28083</v>
      </c>
      <c r="H107" s="32">
        <f>ROUND(Table1[[#This Row],[Content.Column11]] * 1000, 0)</f>
        <v>57605</v>
      </c>
      <c r="I107" s="32">
        <f>ROUND(Table1[[#This Row],[Content.Column12]] * 1000, 0)</f>
        <v>28114</v>
      </c>
      <c r="J107" s="32">
        <f>ROUND(Table1[[#This Row],[Content.Column13]] * 1000, 0)</f>
        <v>85719</v>
      </c>
      <c r="K107" s="32">
        <f>ROUND(Table1[[#This Row],[Content.Column14]] * 1000, 0)</f>
        <v>89351</v>
      </c>
      <c r="L107" s="30">
        <f>ROUND(Table1[[#This Row],[Content.Column3]] * 1000, 0)</f>
        <v>73329</v>
      </c>
      <c r="M107" s="30">
        <f>ROUND(Table1[[#This Row],[Content.Column4]] * 1000, 0)</f>
        <v>40387</v>
      </c>
      <c r="N107" s="30">
        <f>ROUND(Table1[[#This Row],[Content.Column5]] * 1000, 0)</f>
        <v>113716</v>
      </c>
      <c r="O107" s="30">
        <f>ROUND(Table1[[#This Row],[Content.Column6]] * 1000, 0)</f>
        <v>117433</v>
      </c>
      <c r="P107" s="27"/>
      <c r="Q107" s="27"/>
      <c r="R107"/>
      <c r="S107"/>
    </row>
    <row r="108" spans="1:19" x14ac:dyDescent="0.3">
      <c r="A108">
        <v>2011</v>
      </c>
      <c r="B108" t="s">
        <v>43</v>
      </c>
      <c r="C108" t="s">
        <v>42</v>
      </c>
      <c r="D108" s="34">
        <f>ROUND(Table1[[#This Row],[Content.Column7]] * 1000, 0)</f>
        <v>14580</v>
      </c>
      <c r="E108" s="34">
        <f>ROUND(Table1[[#This Row],[Content.Column8]] * 1000, 0)</f>
        <v>6848</v>
      </c>
      <c r="F108" s="34">
        <f>ROUND(Table1[[#This Row],[Content.Column9]] * 1000, 0)</f>
        <v>21429</v>
      </c>
      <c r="G108" s="34">
        <f>ROUND(Table1[[#This Row],[Content.Column10]] * 1000, 0)</f>
        <v>21480</v>
      </c>
      <c r="H108" s="32">
        <f>ROUND(Table1[[#This Row],[Content.Column11]] * 1000, 0)</f>
        <v>70229</v>
      </c>
      <c r="I108" s="32">
        <f>ROUND(Table1[[#This Row],[Content.Column12]] * 1000, 0)</f>
        <v>26311</v>
      </c>
      <c r="J108" s="32">
        <f>ROUND(Table1[[#This Row],[Content.Column13]] * 1000, 0)</f>
        <v>96540</v>
      </c>
      <c r="K108" s="32">
        <f>ROUND(Table1[[#This Row],[Content.Column14]] * 1000, 0)</f>
        <v>99809</v>
      </c>
      <c r="L108" s="30">
        <f>ROUND(Table1[[#This Row],[Content.Column3]] * 1000, 0)</f>
        <v>84809</v>
      </c>
      <c r="M108" s="30">
        <f>ROUND(Table1[[#This Row],[Content.Column4]] * 1000, 0)</f>
        <v>33160</v>
      </c>
      <c r="N108" s="30">
        <f>ROUND(Table1[[#This Row],[Content.Column5]] * 1000, 0)</f>
        <v>117969</v>
      </c>
      <c r="O108" s="30">
        <f>ROUND(Table1[[#This Row],[Content.Column6]] * 1000, 0)</f>
        <v>121289</v>
      </c>
      <c r="P108" s="27"/>
      <c r="Q108" s="27"/>
      <c r="R108"/>
      <c r="S108"/>
    </row>
    <row r="109" spans="1:19" x14ac:dyDescent="0.3">
      <c r="A109">
        <v>2011</v>
      </c>
      <c r="B109" t="s">
        <v>45</v>
      </c>
      <c r="C109" t="s">
        <v>44</v>
      </c>
      <c r="D109" s="34">
        <f>ROUND(Table1[[#This Row],[Content.Column7]] * 1000, 0)</f>
        <v>15125</v>
      </c>
      <c r="E109" s="34">
        <f>ROUND(Table1[[#This Row],[Content.Column8]] * 1000, 0)</f>
        <v>7814</v>
      </c>
      <c r="F109" s="34">
        <f>ROUND(Table1[[#This Row],[Content.Column9]] * 1000, 0)</f>
        <v>22939</v>
      </c>
      <c r="G109" s="34">
        <f>ROUND(Table1[[#This Row],[Content.Column10]] * 1000, 0)</f>
        <v>22963</v>
      </c>
      <c r="H109" s="32">
        <f>ROUND(Table1[[#This Row],[Content.Column11]] * 1000, 0)</f>
        <v>46411</v>
      </c>
      <c r="I109" s="32">
        <f>ROUND(Table1[[#This Row],[Content.Column12]] * 1000, 0)</f>
        <v>23080</v>
      </c>
      <c r="J109" s="32">
        <f>ROUND(Table1[[#This Row],[Content.Column13]] * 1000, 0)</f>
        <v>69491</v>
      </c>
      <c r="K109" s="32">
        <f>ROUND(Table1[[#This Row],[Content.Column14]] * 1000, 0)</f>
        <v>72162</v>
      </c>
      <c r="L109" s="30">
        <f>ROUND(Table1[[#This Row],[Content.Column3]] * 1000, 0)</f>
        <v>61536</v>
      </c>
      <c r="M109" s="30">
        <f>ROUND(Table1[[#This Row],[Content.Column4]] * 1000, 0)</f>
        <v>30894</v>
      </c>
      <c r="N109" s="30">
        <f>ROUND(Table1[[#This Row],[Content.Column5]] * 1000, 0)</f>
        <v>92429</v>
      </c>
      <c r="O109" s="30">
        <f>ROUND(Table1[[#This Row],[Content.Column6]] * 1000, 0)</f>
        <v>95125</v>
      </c>
      <c r="P109" s="27"/>
      <c r="Q109" s="27"/>
      <c r="R109"/>
      <c r="S109"/>
    </row>
    <row r="110" spans="1:19" x14ac:dyDescent="0.3">
      <c r="A110">
        <v>2011</v>
      </c>
      <c r="B110" t="s">
        <v>47</v>
      </c>
      <c r="C110" t="s">
        <v>46</v>
      </c>
      <c r="D110" s="34">
        <f>ROUND(Table1[[#This Row],[Content.Column7]] * 1000, 0)</f>
        <v>14484</v>
      </c>
      <c r="E110" s="34">
        <f>ROUND(Table1[[#This Row],[Content.Column8]] * 1000, 0)</f>
        <v>8000</v>
      </c>
      <c r="F110" s="34">
        <f>ROUND(Table1[[#This Row],[Content.Column9]] * 1000, 0)</f>
        <v>22484</v>
      </c>
      <c r="G110" s="34">
        <f>ROUND(Table1[[#This Row],[Content.Column10]] * 1000, 0)</f>
        <v>22572</v>
      </c>
      <c r="H110" s="32">
        <f>ROUND(Table1[[#This Row],[Content.Column11]] * 1000, 0)</f>
        <v>29250</v>
      </c>
      <c r="I110" s="32">
        <f>ROUND(Table1[[#This Row],[Content.Column12]] * 1000, 0)</f>
        <v>17171</v>
      </c>
      <c r="J110" s="32">
        <f>ROUND(Table1[[#This Row],[Content.Column13]] * 1000, 0)</f>
        <v>46421</v>
      </c>
      <c r="K110" s="32">
        <f>ROUND(Table1[[#This Row],[Content.Column14]] * 1000, 0)</f>
        <v>48612</v>
      </c>
      <c r="L110" s="30">
        <f>ROUND(Table1[[#This Row],[Content.Column3]] * 1000, 0)</f>
        <v>43734</v>
      </c>
      <c r="M110" s="30">
        <f>ROUND(Table1[[#This Row],[Content.Column4]] * 1000, 0)</f>
        <v>25170</v>
      </c>
      <c r="N110" s="30">
        <f>ROUND(Table1[[#This Row],[Content.Column5]] * 1000, 0)</f>
        <v>68905</v>
      </c>
      <c r="O110" s="30">
        <f>ROUND(Table1[[#This Row],[Content.Column6]] * 1000, 0)</f>
        <v>71184</v>
      </c>
      <c r="P110" s="27"/>
      <c r="Q110" s="27"/>
      <c r="R110"/>
      <c r="S110"/>
    </row>
    <row r="111" spans="1:19" x14ac:dyDescent="0.3">
      <c r="A111">
        <v>2011</v>
      </c>
      <c r="B111" t="s">
        <v>49</v>
      </c>
      <c r="C111" t="s">
        <v>48</v>
      </c>
      <c r="D111" s="34">
        <f>ROUND(Table1[[#This Row],[Content.Column7]] * 1000, 0)</f>
        <v>13451</v>
      </c>
      <c r="E111" s="34">
        <f>ROUND(Table1[[#This Row],[Content.Column8]] * 1000, 0)</f>
        <v>5263</v>
      </c>
      <c r="F111" s="34">
        <f>ROUND(Table1[[#This Row],[Content.Column9]] * 1000, 0)</f>
        <v>18714</v>
      </c>
      <c r="G111" s="34">
        <f>ROUND(Table1[[#This Row],[Content.Column10]] * 1000, 0)</f>
        <v>18843</v>
      </c>
      <c r="H111" s="32">
        <f>ROUND(Table1[[#This Row],[Content.Column11]] * 1000, 0)</f>
        <v>50363</v>
      </c>
      <c r="I111" s="32">
        <f>ROUND(Table1[[#This Row],[Content.Column12]] * 1000, 0)</f>
        <v>20766</v>
      </c>
      <c r="J111" s="32">
        <f>ROUND(Table1[[#This Row],[Content.Column13]] * 1000, 0)</f>
        <v>71129</v>
      </c>
      <c r="K111" s="32">
        <f>ROUND(Table1[[#This Row],[Content.Column14]] * 1000, 0)</f>
        <v>74882</v>
      </c>
      <c r="L111" s="30">
        <f>ROUND(Table1[[#This Row],[Content.Column3]] * 1000, 0)</f>
        <v>63814</v>
      </c>
      <c r="M111" s="30">
        <f>ROUND(Table1[[#This Row],[Content.Column4]] * 1000, 0)</f>
        <v>26029</v>
      </c>
      <c r="N111" s="30">
        <f>ROUND(Table1[[#This Row],[Content.Column5]] * 1000, 0)</f>
        <v>89843</v>
      </c>
      <c r="O111" s="30">
        <f>ROUND(Table1[[#This Row],[Content.Column6]] * 1000, 0)</f>
        <v>93725</v>
      </c>
      <c r="P111" s="27"/>
      <c r="Q111" s="27"/>
      <c r="R111"/>
      <c r="S111"/>
    </row>
    <row r="112" spans="1:19" x14ac:dyDescent="0.3">
      <c r="A112">
        <v>2011</v>
      </c>
      <c r="B112" t="s">
        <v>51</v>
      </c>
      <c r="C112" t="s">
        <v>50</v>
      </c>
      <c r="D112" s="34">
        <f>ROUND(Table1[[#This Row],[Content.Column7]] * 1000, 0)</f>
        <v>23320</v>
      </c>
      <c r="E112" s="34">
        <f>ROUND(Table1[[#This Row],[Content.Column8]] * 1000, 0)</f>
        <v>3789</v>
      </c>
      <c r="F112" s="34">
        <f>ROUND(Table1[[#This Row],[Content.Column9]] * 1000, 0)</f>
        <v>27110</v>
      </c>
      <c r="G112" s="34">
        <f>ROUND(Table1[[#This Row],[Content.Column10]] * 1000, 0)</f>
        <v>27115</v>
      </c>
      <c r="H112" s="32">
        <f>ROUND(Table1[[#This Row],[Content.Column11]] * 1000, 0)</f>
        <v>67151</v>
      </c>
      <c r="I112" s="32">
        <f>ROUND(Table1[[#This Row],[Content.Column12]] * 1000, 0)</f>
        <v>28163</v>
      </c>
      <c r="J112" s="32">
        <f>ROUND(Table1[[#This Row],[Content.Column13]] * 1000, 0)</f>
        <v>95314</v>
      </c>
      <c r="K112" s="32">
        <f>ROUND(Table1[[#This Row],[Content.Column14]] * 1000, 0)</f>
        <v>98182</v>
      </c>
      <c r="L112" s="30">
        <f>ROUND(Table1[[#This Row],[Content.Column3]] * 1000, 0)</f>
        <v>90471</v>
      </c>
      <c r="M112" s="30">
        <f>ROUND(Table1[[#This Row],[Content.Column4]] * 1000, 0)</f>
        <v>31952</v>
      </c>
      <c r="N112" s="30">
        <f>ROUND(Table1[[#This Row],[Content.Column5]] * 1000, 0)</f>
        <v>122424</v>
      </c>
      <c r="O112" s="30">
        <f>ROUND(Table1[[#This Row],[Content.Column6]] * 1000, 0)</f>
        <v>125297</v>
      </c>
      <c r="P112" s="27"/>
      <c r="Q112" s="27"/>
      <c r="R112"/>
      <c r="S112"/>
    </row>
    <row r="113" spans="1:19" x14ac:dyDescent="0.3">
      <c r="A113">
        <v>2011</v>
      </c>
      <c r="B113" t="s">
        <v>53</v>
      </c>
      <c r="C113" t="s">
        <v>52</v>
      </c>
      <c r="D113" s="34">
        <f>ROUND(Table1[[#This Row],[Content.Column7]] * 1000, 0)</f>
        <v>9940</v>
      </c>
      <c r="E113" s="34">
        <f>ROUND(Table1[[#This Row],[Content.Column8]] * 1000, 0)</f>
        <v>4374</v>
      </c>
      <c r="F113" s="34">
        <f>ROUND(Table1[[#This Row],[Content.Column9]] * 1000, 0)</f>
        <v>14314</v>
      </c>
      <c r="G113" s="34">
        <f>ROUND(Table1[[#This Row],[Content.Column10]] * 1000, 0)</f>
        <v>14332</v>
      </c>
      <c r="H113" s="32">
        <f>ROUND(Table1[[#This Row],[Content.Column11]] * 1000, 0)</f>
        <v>29107</v>
      </c>
      <c r="I113" s="32">
        <f>ROUND(Table1[[#This Row],[Content.Column12]] * 1000, 0)</f>
        <v>15878</v>
      </c>
      <c r="J113" s="32">
        <f>ROUND(Table1[[#This Row],[Content.Column13]] * 1000, 0)</f>
        <v>44985</v>
      </c>
      <c r="K113" s="32">
        <f>ROUND(Table1[[#This Row],[Content.Column14]] * 1000, 0)</f>
        <v>47524</v>
      </c>
      <c r="L113" s="30">
        <f>ROUND(Table1[[#This Row],[Content.Column3]] * 1000, 0)</f>
        <v>39046</v>
      </c>
      <c r="M113" s="30">
        <f>ROUND(Table1[[#This Row],[Content.Column4]] * 1000, 0)</f>
        <v>20253</v>
      </c>
      <c r="N113" s="30">
        <f>ROUND(Table1[[#This Row],[Content.Column5]] * 1000, 0)</f>
        <v>59299</v>
      </c>
      <c r="O113" s="30">
        <f>ROUND(Table1[[#This Row],[Content.Column6]] * 1000, 0)</f>
        <v>61856</v>
      </c>
      <c r="P113" s="27"/>
      <c r="Q113" s="27"/>
      <c r="R113"/>
      <c r="S113"/>
    </row>
    <row r="114" spans="1:19" x14ac:dyDescent="0.3">
      <c r="A114">
        <v>2011</v>
      </c>
      <c r="B114" t="s">
        <v>55</v>
      </c>
      <c r="C114" t="s">
        <v>54</v>
      </c>
      <c r="D114" s="34">
        <f>ROUND(Table1[[#This Row],[Content.Column7]] * 1000, 0)</f>
        <v>5802</v>
      </c>
      <c r="E114" s="34">
        <f>ROUND(Table1[[#This Row],[Content.Column8]] * 1000, 0)</f>
        <v>7085</v>
      </c>
      <c r="F114" s="34">
        <f>ROUND(Table1[[#This Row],[Content.Column9]] * 1000, 0)</f>
        <v>12888</v>
      </c>
      <c r="G114" s="34">
        <f>ROUND(Table1[[#This Row],[Content.Column10]] * 1000, 0)</f>
        <v>12950</v>
      </c>
      <c r="H114" s="32">
        <f>ROUND(Table1[[#This Row],[Content.Column11]] * 1000, 0)</f>
        <v>34667</v>
      </c>
      <c r="I114" s="32">
        <f>ROUND(Table1[[#This Row],[Content.Column12]] * 1000, 0)</f>
        <v>16380</v>
      </c>
      <c r="J114" s="32">
        <f>ROUND(Table1[[#This Row],[Content.Column13]] * 1000, 0)</f>
        <v>51047</v>
      </c>
      <c r="K114" s="32">
        <f>ROUND(Table1[[#This Row],[Content.Column14]] * 1000, 0)</f>
        <v>53797</v>
      </c>
      <c r="L114" s="30">
        <f>ROUND(Table1[[#This Row],[Content.Column3]] * 1000, 0)</f>
        <v>40470</v>
      </c>
      <c r="M114" s="30">
        <f>ROUND(Table1[[#This Row],[Content.Column4]] * 1000, 0)</f>
        <v>23465</v>
      </c>
      <c r="N114" s="30">
        <f>ROUND(Table1[[#This Row],[Content.Column5]] * 1000, 0)</f>
        <v>63935</v>
      </c>
      <c r="O114" s="30">
        <f>ROUND(Table1[[#This Row],[Content.Column6]] * 1000, 0)</f>
        <v>66747</v>
      </c>
      <c r="P114" s="27"/>
      <c r="Q114" s="27"/>
      <c r="R114"/>
      <c r="S114"/>
    </row>
    <row r="115" spans="1:19" x14ac:dyDescent="0.3">
      <c r="A115">
        <v>2011</v>
      </c>
      <c r="B115" t="s">
        <v>57</v>
      </c>
      <c r="C115" t="s">
        <v>56</v>
      </c>
      <c r="D115" s="34">
        <f>ROUND(Table1[[#This Row],[Content.Column7]] * 1000, 0)</f>
        <v>10677</v>
      </c>
      <c r="E115" s="34">
        <f>ROUND(Table1[[#This Row],[Content.Column8]] * 1000, 0)</f>
        <v>6078</v>
      </c>
      <c r="F115" s="34">
        <f>ROUND(Table1[[#This Row],[Content.Column9]] * 1000, 0)</f>
        <v>16754</v>
      </c>
      <c r="G115" s="34">
        <f>ROUND(Table1[[#This Row],[Content.Column10]] * 1000, 0)</f>
        <v>16764</v>
      </c>
      <c r="H115" s="32">
        <f>ROUND(Table1[[#This Row],[Content.Column11]] * 1000, 0)</f>
        <v>34435</v>
      </c>
      <c r="I115" s="32">
        <f>ROUND(Table1[[#This Row],[Content.Column12]] * 1000, 0)</f>
        <v>18806</v>
      </c>
      <c r="J115" s="32">
        <f>ROUND(Table1[[#This Row],[Content.Column13]] * 1000, 0)</f>
        <v>53241</v>
      </c>
      <c r="K115" s="32">
        <f>ROUND(Table1[[#This Row],[Content.Column14]] * 1000, 0)</f>
        <v>55895</v>
      </c>
      <c r="L115" s="30">
        <f>ROUND(Table1[[#This Row],[Content.Column3]] * 1000, 0)</f>
        <v>45112</v>
      </c>
      <c r="M115" s="30">
        <f>ROUND(Table1[[#This Row],[Content.Column4]] * 1000, 0)</f>
        <v>24884</v>
      </c>
      <c r="N115" s="30">
        <f>ROUND(Table1[[#This Row],[Content.Column5]] * 1000, 0)</f>
        <v>69995</v>
      </c>
      <c r="O115" s="30">
        <f>ROUND(Table1[[#This Row],[Content.Column6]] * 1000, 0)</f>
        <v>72659</v>
      </c>
      <c r="P115" s="27"/>
      <c r="Q115" s="27"/>
      <c r="R115"/>
      <c r="S115"/>
    </row>
    <row r="116" spans="1:19" x14ac:dyDescent="0.3">
      <c r="A116">
        <v>2011</v>
      </c>
      <c r="B116" t="s">
        <v>59</v>
      </c>
      <c r="C116" t="s">
        <v>58</v>
      </c>
      <c r="D116" s="34">
        <f>ROUND(Table1[[#This Row],[Content.Column7]] * 1000, 0)</f>
        <v>12659</v>
      </c>
      <c r="E116" s="34">
        <f>ROUND(Table1[[#This Row],[Content.Column8]] * 1000, 0)</f>
        <v>8626</v>
      </c>
      <c r="F116" s="34">
        <f>ROUND(Table1[[#This Row],[Content.Column9]] * 1000, 0)</f>
        <v>21285</v>
      </c>
      <c r="G116" s="34">
        <f>ROUND(Table1[[#This Row],[Content.Column10]] * 1000, 0)</f>
        <v>21326</v>
      </c>
      <c r="H116" s="32">
        <f>ROUND(Table1[[#This Row],[Content.Column11]] * 1000, 0)</f>
        <v>121161</v>
      </c>
      <c r="I116" s="32">
        <f>ROUND(Table1[[#This Row],[Content.Column12]] * 1000, 0)</f>
        <v>41234</v>
      </c>
      <c r="J116" s="32">
        <f>ROUND(Table1[[#This Row],[Content.Column13]] * 1000, 0)</f>
        <v>162394</v>
      </c>
      <c r="K116" s="32">
        <f>ROUND(Table1[[#This Row],[Content.Column14]] * 1000, 0)</f>
        <v>165280</v>
      </c>
      <c r="L116" s="30">
        <f>ROUND(Table1[[#This Row],[Content.Column3]] * 1000, 0)</f>
        <v>133820</v>
      </c>
      <c r="M116" s="30">
        <f>ROUND(Table1[[#This Row],[Content.Column4]] * 1000, 0)</f>
        <v>49859</v>
      </c>
      <c r="N116" s="30">
        <f>ROUND(Table1[[#This Row],[Content.Column5]] * 1000, 0)</f>
        <v>183679</v>
      </c>
      <c r="O116" s="30">
        <f>ROUND(Table1[[#This Row],[Content.Column6]] * 1000, 0)</f>
        <v>186606</v>
      </c>
      <c r="P116" s="27"/>
      <c r="Q116" s="27"/>
      <c r="R116"/>
      <c r="S116"/>
    </row>
    <row r="117" spans="1:19" x14ac:dyDescent="0.3">
      <c r="A117">
        <v>2011</v>
      </c>
      <c r="B117" t="s">
        <v>61</v>
      </c>
      <c r="C117" t="s">
        <v>60</v>
      </c>
      <c r="D117" s="34">
        <f>ROUND(Table1[[#This Row],[Content.Column7]] * 1000, 0)</f>
        <v>11587</v>
      </c>
      <c r="E117" s="34">
        <f>ROUND(Table1[[#This Row],[Content.Column8]] * 1000, 0)</f>
        <v>6033</v>
      </c>
      <c r="F117" s="34">
        <f>ROUND(Table1[[#This Row],[Content.Column9]] * 1000, 0)</f>
        <v>17620</v>
      </c>
      <c r="G117" s="34">
        <f>ROUND(Table1[[#This Row],[Content.Column10]] * 1000, 0)</f>
        <v>17621</v>
      </c>
      <c r="H117" s="32">
        <f>ROUND(Table1[[#This Row],[Content.Column11]] * 1000, 0)</f>
        <v>82848</v>
      </c>
      <c r="I117" s="32">
        <f>ROUND(Table1[[#This Row],[Content.Column12]] * 1000, 0)</f>
        <v>25914</v>
      </c>
      <c r="J117" s="32">
        <f>ROUND(Table1[[#This Row],[Content.Column13]] * 1000, 0)</f>
        <v>108761</v>
      </c>
      <c r="K117" s="32">
        <f>ROUND(Table1[[#This Row],[Content.Column14]] * 1000, 0)</f>
        <v>111495</v>
      </c>
      <c r="L117" s="30">
        <f>ROUND(Table1[[#This Row],[Content.Column3]] * 1000, 0)</f>
        <v>94435</v>
      </c>
      <c r="M117" s="30">
        <f>ROUND(Table1[[#This Row],[Content.Column4]] * 1000, 0)</f>
        <v>31946</v>
      </c>
      <c r="N117" s="30">
        <f>ROUND(Table1[[#This Row],[Content.Column5]] * 1000, 0)</f>
        <v>126381</v>
      </c>
      <c r="O117" s="30">
        <f>ROUND(Table1[[#This Row],[Content.Column6]] * 1000, 0)</f>
        <v>129116</v>
      </c>
      <c r="P117" s="27"/>
      <c r="Q117" s="27"/>
      <c r="R117"/>
      <c r="S117"/>
    </row>
    <row r="118" spans="1:19" x14ac:dyDescent="0.3">
      <c r="A118">
        <v>2011</v>
      </c>
      <c r="B118" t="s">
        <v>63</v>
      </c>
      <c r="C118" t="s">
        <v>62</v>
      </c>
      <c r="D118" s="34">
        <f>ROUND(Table1[[#This Row],[Content.Column7]] * 1000, 0)</f>
        <v>24629</v>
      </c>
      <c r="E118" s="34">
        <f>ROUND(Table1[[#This Row],[Content.Column8]] * 1000, 0)</f>
        <v>6421</v>
      </c>
      <c r="F118" s="34">
        <f>ROUND(Table1[[#This Row],[Content.Column9]] * 1000, 0)</f>
        <v>31051</v>
      </c>
      <c r="G118" s="34">
        <f>ROUND(Table1[[#This Row],[Content.Column10]] * 1000, 0)</f>
        <v>31142</v>
      </c>
      <c r="H118" s="32">
        <f>ROUND(Table1[[#This Row],[Content.Column11]] * 1000, 0)</f>
        <v>119020</v>
      </c>
      <c r="I118" s="32">
        <f>ROUND(Table1[[#This Row],[Content.Column12]] * 1000, 0)</f>
        <v>30601</v>
      </c>
      <c r="J118" s="32">
        <f>ROUND(Table1[[#This Row],[Content.Column13]] * 1000, 0)</f>
        <v>149621</v>
      </c>
      <c r="K118" s="32">
        <f>ROUND(Table1[[#This Row],[Content.Column14]] * 1000, 0)</f>
        <v>156332</v>
      </c>
      <c r="L118" s="30">
        <f>ROUND(Table1[[#This Row],[Content.Column3]] * 1000, 0)</f>
        <v>143650</v>
      </c>
      <c r="M118" s="30">
        <f>ROUND(Table1[[#This Row],[Content.Column4]] * 1000, 0)</f>
        <v>37022</v>
      </c>
      <c r="N118" s="30">
        <f>ROUND(Table1[[#This Row],[Content.Column5]] * 1000, 0)</f>
        <v>180672</v>
      </c>
      <c r="O118" s="30">
        <f>ROUND(Table1[[#This Row],[Content.Column6]] * 1000, 0)</f>
        <v>187475</v>
      </c>
      <c r="P118" s="27"/>
      <c r="Q118" s="27"/>
      <c r="R118"/>
      <c r="S118"/>
    </row>
    <row r="119" spans="1:19" x14ac:dyDescent="0.3">
      <c r="A119">
        <v>2011</v>
      </c>
      <c r="B119" t="s">
        <v>65</v>
      </c>
      <c r="C119" t="s">
        <v>64</v>
      </c>
      <c r="D119" s="34">
        <f>ROUND(Table1[[#This Row],[Content.Column7]] * 1000, 0)</f>
        <v>16123</v>
      </c>
      <c r="E119" s="34">
        <f>ROUND(Table1[[#This Row],[Content.Column8]] * 1000, 0)</f>
        <v>3610</v>
      </c>
      <c r="F119" s="34">
        <f>ROUND(Table1[[#This Row],[Content.Column9]] * 1000, 0)</f>
        <v>19732</v>
      </c>
      <c r="G119" s="34">
        <f>ROUND(Table1[[#This Row],[Content.Column10]] * 1000, 0)</f>
        <v>19840</v>
      </c>
      <c r="H119" s="32">
        <f>ROUND(Table1[[#This Row],[Content.Column11]] * 1000, 0)</f>
        <v>66631</v>
      </c>
      <c r="I119" s="32">
        <f>ROUND(Table1[[#This Row],[Content.Column12]] * 1000, 0)</f>
        <v>28134</v>
      </c>
      <c r="J119" s="32">
        <f>ROUND(Table1[[#This Row],[Content.Column13]] * 1000, 0)</f>
        <v>94765</v>
      </c>
      <c r="K119" s="32">
        <f>ROUND(Table1[[#This Row],[Content.Column14]] * 1000, 0)</f>
        <v>98635</v>
      </c>
      <c r="L119" s="30">
        <f>ROUND(Table1[[#This Row],[Content.Column3]] * 1000, 0)</f>
        <v>82754</v>
      </c>
      <c r="M119" s="30">
        <f>ROUND(Table1[[#This Row],[Content.Column4]] * 1000, 0)</f>
        <v>31744</v>
      </c>
      <c r="N119" s="30">
        <f>ROUND(Table1[[#This Row],[Content.Column5]] * 1000, 0)</f>
        <v>114498</v>
      </c>
      <c r="O119" s="30">
        <f>ROUND(Table1[[#This Row],[Content.Column6]] * 1000, 0)</f>
        <v>118475</v>
      </c>
      <c r="P119" s="27"/>
      <c r="Q119" s="27"/>
      <c r="R119"/>
      <c r="S119"/>
    </row>
    <row r="120" spans="1:19" x14ac:dyDescent="0.3">
      <c r="A120">
        <v>2011</v>
      </c>
      <c r="B120" t="s">
        <v>67</v>
      </c>
      <c r="C120" t="s">
        <v>66</v>
      </c>
      <c r="D120" s="34">
        <f>ROUND(Table1[[#This Row],[Content.Column7]] * 1000, 0)</f>
        <v>8796</v>
      </c>
      <c r="E120" s="34">
        <f>ROUND(Table1[[#This Row],[Content.Column8]] * 1000, 0)</f>
        <v>5821</v>
      </c>
      <c r="F120" s="34">
        <f>ROUND(Table1[[#This Row],[Content.Column9]] * 1000, 0)</f>
        <v>14617</v>
      </c>
      <c r="G120" s="34">
        <f>ROUND(Table1[[#This Row],[Content.Column10]] * 1000, 0)</f>
        <v>14634</v>
      </c>
      <c r="H120" s="32">
        <f>ROUND(Table1[[#This Row],[Content.Column11]] * 1000, 0)</f>
        <v>37366</v>
      </c>
      <c r="I120" s="32">
        <f>ROUND(Table1[[#This Row],[Content.Column12]] * 1000, 0)</f>
        <v>19059</v>
      </c>
      <c r="J120" s="32">
        <f>ROUND(Table1[[#This Row],[Content.Column13]] * 1000, 0)</f>
        <v>56425</v>
      </c>
      <c r="K120" s="32">
        <f>ROUND(Table1[[#This Row],[Content.Column14]] * 1000, 0)</f>
        <v>58316</v>
      </c>
      <c r="L120" s="30">
        <f>ROUND(Table1[[#This Row],[Content.Column3]] * 1000, 0)</f>
        <v>46162</v>
      </c>
      <c r="M120" s="30">
        <f>ROUND(Table1[[#This Row],[Content.Column4]] * 1000, 0)</f>
        <v>24880</v>
      </c>
      <c r="N120" s="30">
        <f>ROUND(Table1[[#This Row],[Content.Column5]] * 1000, 0)</f>
        <v>71042</v>
      </c>
      <c r="O120" s="30">
        <f>ROUND(Table1[[#This Row],[Content.Column6]] * 1000, 0)</f>
        <v>72950</v>
      </c>
      <c r="P120" s="27"/>
      <c r="Q120" s="27"/>
      <c r="R120"/>
      <c r="S120"/>
    </row>
    <row r="121" spans="1:19" x14ac:dyDescent="0.3">
      <c r="A121">
        <v>2011</v>
      </c>
      <c r="B121" t="s">
        <v>69</v>
      </c>
      <c r="C121" t="s">
        <v>68</v>
      </c>
      <c r="D121" s="34">
        <f>ROUND(Table1[[#This Row],[Content.Column7]] * 1000, 0)</f>
        <v>26700</v>
      </c>
      <c r="E121" s="34">
        <f>ROUND(Table1[[#This Row],[Content.Column8]] * 1000, 0)</f>
        <v>6870</v>
      </c>
      <c r="F121" s="34">
        <f>ROUND(Table1[[#This Row],[Content.Column9]] * 1000, 0)</f>
        <v>33570</v>
      </c>
      <c r="G121" s="34">
        <f>ROUND(Table1[[#This Row],[Content.Column10]] * 1000, 0)</f>
        <v>33583</v>
      </c>
      <c r="H121" s="32">
        <f>ROUND(Table1[[#This Row],[Content.Column11]] * 1000, 0)</f>
        <v>65879</v>
      </c>
      <c r="I121" s="32">
        <f>ROUND(Table1[[#This Row],[Content.Column12]] * 1000, 0)</f>
        <v>28025</v>
      </c>
      <c r="J121" s="32">
        <f>ROUND(Table1[[#This Row],[Content.Column13]] * 1000, 0)</f>
        <v>93904</v>
      </c>
      <c r="K121" s="32">
        <f>ROUND(Table1[[#This Row],[Content.Column14]] * 1000, 0)</f>
        <v>97366</v>
      </c>
      <c r="L121" s="30">
        <f>ROUND(Table1[[#This Row],[Content.Column3]] * 1000, 0)</f>
        <v>92579</v>
      </c>
      <c r="M121" s="30">
        <f>ROUND(Table1[[#This Row],[Content.Column4]] * 1000, 0)</f>
        <v>34894</v>
      </c>
      <c r="N121" s="30">
        <f>ROUND(Table1[[#This Row],[Content.Column5]] * 1000, 0)</f>
        <v>127474</v>
      </c>
      <c r="O121" s="30">
        <f>ROUND(Table1[[#This Row],[Content.Column6]] * 1000, 0)</f>
        <v>130949</v>
      </c>
      <c r="P121" s="27"/>
      <c r="Q121" s="27"/>
      <c r="R121"/>
      <c r="S121"/>
    </row>
    <row r="122" spans="1:19" x14ac:dyDescent="0.3">
      <c r="A122">
        <v>2011</v>
      </c>
      <c r="B122" t="s">
        <v>71</v>
      </c>
      <c r="C122" t="s">
        <v>70</v>
      </c>
      <c r="D122" s="34">
        <f>ROUND(Table1[[#This Row],[Content.Column7]] * 1000, 0)</f>
        <v>12327</v>
      </c>
      <c r="E122" s="34">
        <f>ROUND(Table1[[#This Row],[Content.Column8]] * 1000, 0)</f>
        <v>4738</v>
      </c>
      <c r="F122" s="34">
        <f>ROUND(Table1[[#This Row],[Content.Column9]] * 1000, 0)</f>
        <v>17065</v>
      </c>
      <c r="G122" s="34">
        <f>ROUND(Table1[[#This Row],[Content.Column10]] * 1000, 0)</f>
        <v>17232</v>
      </c>
      <c r="H122" s="32">
        <f>ROUND(Table1[[#This Row],[Content.Column11]] * 1000, 0)</f>
        <v>26155</v>
      </c>
      <c r="I122" s="32">
        <f>ROUND(Table1[[#This Row],[Content.Column12]] * 1000, 0)</f>
        <v>15631</v>
      </c>
      <c r="J122" s="32">
        <f>ROUND(Table1[[#This Row],[Content.Column13]] * 1000, 0)</f>
        <v>41786</v>
      </c>
      <c r="K122" s="32">
        <f>ROUND(Table1[[#This Row],[Content.Column14]] * 1000, 0)</f>
        <v>43873</v>
      </c>
      <c r="L122" s="30">
        <f>ROUND(Table1[[#This Row],[Content.Column3]] * 1000, 0)</f>
        <v>38483</v>
      </c>
      <c r="M122" s="30">
        <f>ROUND(Table1[[#This Row],[Content.Column4]] * 1000, 0)</f>
        <v>20369</v>
      </c>
      <c r="N122" s="30">
        <f>ROUND(Table1[[#This Row],[Content.Column5]] * 1000, 0)</f>
        <v>58852</v>
      </c>
      <c r="O122" s="30">
        <f>ROUND(Table1[[#This Row],[Content.Column6]] * 1000, 0)</f>
        <v>61105</v>
      </c>
      <c r="P122" s="27"/>
      <c r="Q122" s="27"/>
      <c r="R122"/>
      <c r="S122"/>
    </row>
    <row r="123" spans="1:19" x14ac:dyDescent="0.3">
      <c r="A123">
        <v>2011</v>
      </c>
      <c r="B123" t="s">
        <v>73</v>
      </c>
      <c r="C123" t="s">
        <v>72</v>
      </c>
      <c r="D123" s="34">
        <f>ROUND(Table1[[#This Row],[Content.Column7]] * 1000, 0)</f>
        <v>6810</v>
      </c>
      <c r="E123" s="34">
        <f>ROUND(Table1[[#This Row],[Content.Column8]] * 1000, 0)</f>
        <v>3621</v>
      </c>
      <c r="F123" s="34">
        <f>ROUND(Table1[[#This Row],[Content.Column9]] * 1000, 0)</f>
        <v>10432</v>
      </c>
      <c r="G123" s="34">
        <f>ROUND(Table1[[#This Row],[Content.Column10]] * 1000, 0)</f>
        <v>10432</v>
      </c>
      <c r="H123" s="32">
        <f>ROUND(Table1[[#This Row],[Content.Column11]] * 1000, 0)</f>
        <v>40925</v>
      </c>
      <c r="I123" s="32">
        <f>ROUND(Table1[[#This Row],[Content.Column12]] * 1000, 0)</f>
        <v>18109</v>
      </c>
      <c r="J123" s="32">
        <f>ROUND(Table1[[#This Row],[Content.Column13]] * 1000, 0)</f>
        <v>59034</v>
      </c>
      <c r="K123" s="32">
        <f>ROUND(Table1[[#This Row],[Content.Column14]] * 1000, 0)</f>
        <v>61056</v>
      </c>
      <c r="L123" s="30">
        <f>ROUND(Table1[[#This Row],[Content.Column3]] * 1000, 0)</f>
        <v>47735</v>
      </c>
      <c r="M123" s="30">
        <f>ROUND(Table1[[#This Row],[Content.Column4]] * 1000, 0)</f>
        <v>21730</v>
      </c>
      <c r="N123" s="30">
        <f>ROUND(Table1[[#This Row],[Content.Column5]] * 1000, 0)</f>
        <v>69465</v>
      </c>
      <c r="O123" s="30">
        <f>ROUND(Table1[[#This Row],[Content.Column6]] * 1000, 0)</f>
        <v>71487</v>
      </c>
      <c r="P123" s="27"/>
      <c r="Q123" s="27"/>
      <c r="R123"/>
      <c r="S123"/>
    </row>
    <row r="124" spans="1:19" x14ac:dyDescent="0.3">
      <c r="A124">
        <v>2011</v>
      </c>
      <c r="B124" t="s">
        <v>75</v>
      </c>
      <c r="C124" t="s">
        <v>74</v>
      </c>
      <c r="D124" s="34">
        <f>ROUND(Table1[[#This Row],[Content.Column7]] * 1000, 0)</f>
        <v>18294</v>
      </c>
      <c r="E124" s="34">
        <f>ROUND(Table1[[#This Row],[Content.Column8]] * 1000, 0)</f>
        <v>4817</v>
      </c>
      <c r="F124" s="34">
        <f>ROUND(Table1[[#This Row],[Content.Column9]] * 1000, 0)</f>
        <v>23111</v>
      </c>
      <c r="G124" s="34">
        <f>ROUND(Table1[[#This Row],[Content.Column10]] * 1000, 0)</f>
        <v>23114</v>
      </c>
      <c r="H124" s="32">
        <f>ROUND(Table1[[#This Row],[Content.Column11]] * 1000, 0)</f>
        <v>34449</v>
      </c>
      <c r="I124" s="32">
        <f>ROUND(Table1[[#This Row],[Content.Column12]] * 1000, 0)</f>
        <v>17752</v>
      </c>
      <c r="J124" s="32">
        <f>ROUND(Table1[[#This Row],[Content.Column13]] * 1000, 0)</f>
        <v>52201</v>
      </c>
      <c r="K124" s="32">
        <f>ROUND(Table1[[#This Row],[Content.Column14]] * 1000, 0)</f>
        <v>54301</v>
      </c>
      <c r="L124" s="30">
        <f>ROUND(Table1[[#This Row],[Content.Column3]] * 1000, 0)</f>
        <v>52743</v>
      </c>
      <c r="M124" s="30">
        <f>ROUND(Table1[[#This Row],[Content.Column4]] * 1000, 0)</f>
        <v>22568</v>
      </c>
      <c r="N124" s="30">
        <f>ROUND(Table1[[#This Row],[Content.Column5]] * 1000, 0)</f>
        <v>75311</v>
      </c>
      <c r="O124" s="30">
        <f>ROUND(Table1[[#This Row],[Content.Column6]] * 1000, 0)</f>
        <v>77415</v>
      </c>
      <c r="P124" s="27"/>
      <c r="Q124" s="27"/>
      <c r="R124"/>
      <c r="S124"/>
    </row>
    <row r="125" spans="1:19" x14ac:dyDescent="0.3">
      <c r="A125">
        <v>2011</v>
      </c>
      <c r="B125" t="s">
        <v>77</v>
      </c>
      <c r="C125" t="s">
        <v>76</v>
      </c>
      <c r="D125" s="34">
        <f>ROUND(Table1[[#This Row],[Content.Column7]] * 1000, 0)</f>
        <v>11732</v>
      </c>
      <c r="E125" s="34">
        <f>ROUND(Table1[[#This Row],[Content.Column8]] * 1000, 0)</f>
        <v>6597</v>
      </c>
      <c r="F125" s="34">
        <f>ROUND(Table1[[#This Row],[Content.Column9]] * 1000, 0)</f>
        <v>18328</v>
      </c>
      <c r="G125" s="34">
        <f>ROUND(Table1[[#This Row],[Content.Column10]] * 1000, 0)</f>
        <v>18388</v>
      </c>
      <c r="H125" s="32">
        <f>ROUND(Table1[[#This Row],[Content.Column11]] * 1000, 0)</f>
        <v>31009</v>
      </c>
      <c r="I125" s="32">
        <f>ROUND(Table1[[#This Row],[Content.Column12]] * 1000, 0)</f>
        <v>16324</v>
      </c>
      <c r="J125" s="32">
        <f>ROUND(Table1[[#This Row],[Content.Column13]] * 1000, 0)</f>
        <v>47334</v>
      </c>
      <c r="K125" s="32">
        <f>ROUND(Table1[[#This Row],[Content.Column14]] * 1000, 0)</f>
        <v>49486</v>
      </c>
      <c r="L125" s="30">
        <f>ROUND(Table1[[#This Row],[Content.Column3]] * 1000, 0)</f>
        <v>42741</v>
      </c>
      <c r="M125" s="30">
        <f>ROUND(Table1[[#This Row],[Content.Column4]] * 1000, 0)</f>
        <v>22921</v>
      </c>
      <c r="N125" s="30">
        <f>ROUND(Table1[[#This Row],[Content.Column5]] * 1000, 0)</f>
        <v>65662</v>
      </c>
      <c r="O125" s="30">
        <f>ROUND(Table1[[#This Row],[Content.Column6]] * 1000, 0)</f>
        <v>67874</v>
      </c>
      <c r="P125" s="27"/>
      <c r="Q125" s="27"/>
      <c r="R125"/>
      <c r="S125"/>
    </row>
    <row r="126" spans="1:19" x14ac:dyDescent="0.3">
      <c r="A126">
        <v>2011</v>
      </c>
      <c r="B126" t="s">
        <v>79</v>
      </c>
      <c r="C126" t="s">
        <v>78</v>
      </c>
      <c r="D126" s="34">
        <f>ROUND(Table1[[#This Row],[Content.Column7]] * 1000, 0)</f>
        <v>6991</v>
      </c>
      <c r="E126" s="34">
        <f>ROUND(Table1[[#This Row],[Content.Column8]] * 1000, 0)</f>
        <v>4220</v>
      </c>
      <c r="F126" s="34">
        <f>ROUND(Table1[[#This Row],[Content.Column9]] * 1000, 0)</f>
        <v>11211</v>
      </c>
      <c r="G126" s="34">
        <f>ROUND(Table1[[#This Row],[Content.Column10]] * 1000, 0)</f>
        <v>11213</v>
      </c>
      <c r="H126" s="32">
        <f>ROUND(Table1[[#This Row],[Content.Column11]] * 1000, 0)</f>
        <v>42051</v>
      </c>
      <c r="I126" s="32">
        <f>ROUND(Table1[[#This Row],[Content.Column12]] * 1000, 0)</f>
        <v>18683</v>
      </c>
      <c r="J126" s="32">
        <f>ROUND(Table1[[#This Row],[Content.Column13]] * 1000, 0)</f>
        <v>60735</v>
      </c>
      <c r="K126" s="32">
        <f>ROUND(Table1[[#This Row],[Content.Column14]] * 1000, 0)</f>
        <v>63943</v>
      </c>
      <c r="L126" s="30">
        <f>ROUND(Table1[[#This Row],[Content.Column3]] * 1000, 0)</f>
        <v>49042</v>
      </c>
      <c r="M126" s="30">
        <f>ROUND(Table1[[#This Row],[Content.Column4]] * 1000, 0)</f>
        <v>22903</v>
      </c>
      <c r="N126" s="30">
        <f>ROUND(Table1[[#This Row],[Content.Column5]] * 1000, 0)</f>
        <v>71945</v>
      </c>
      <c r="O126" s="30">
        <f>ROUND(Table1[[#This Row],[Content.Column6]] * 1000, 0)</f>
        <v>75156</v>
      </c>
      <c r="P126" s="27"/>
      <c r="Q126" s="27"/>
      <c r="R126"/>
      <c r="S126"/>
    </row>
    <row r="127" spans="1:19" x14ac:dyDescent="0.3">
      <c r="A127">
        <v>2011</v>
      </c>
      <c r="B127" t="s">
        <v>81</v>
      </c>
      <c r="C127" t="s">
        <v>80</v>
      </c>
      <c r="D127" s="34">
        <f>ROUND(Table1[[#This Row],[Content.Column7]] * 1000, 0)</f>
        <v>32409</v>
      </c>
      <c r="E127" s="34">
        <f>ROUND(Table1[[#This Row],[Content.Column8]] * 1000, 0)</f>
        <v>8012</v>
      </c>
      <c r="F127" s="34">
        <f>ROUND(Table1[[#This Row],[Content.Column9]] * 1000, 0)</f>
        <v>40421</v>
      </c>
      <c r="G127" s="34">
        <f>ROUND(Table1[[#This Row],[Content.Column10]] * 1000, 0)</f>
        <v>40569</v>
      </c>
      <c r="H127" s="32">
        <f>ROUND(Table1[[#This Row],[Content.Column11]] * 1000, 0)</f>
        <v>110555</v>
      </c>
      <c r="I127" s="32">
        <f>ROUND(Table1[[#This Row],[Content.Column12]] * 1000, 0)</f>
        <v>36716</v>
      </c>
      <c r="J127" s="32">
        <f>ROUND(Table1[[#This Row],[Content.Column13]] * 1000, 0)</f>
        <v>147271</v>
      </c>
      <c r="K127" s="32">
        <f>ROUND(Table1[[#This Row],[Content.Column14]] * 1000, 0)</f>
        <v>153573</v>
      </c>
      <c r="L127" s="30">
        <f>ROUND(Table1[[#This Row],[Content.Column3]] * 1000, 0)</f>
        <v>142964</v>
      </c>
      <c r="M127" s="30">
        <f>ROUND(Table1[[#This Row],[Content.Column4]] * 1000, 0)</f>
        <v>44728</v>
      </c>
      <c r="N127" s="30">
        <f>ROUND(Table1[[#This Row],[Content.Column5]] * 1000, 0)</f>
        <v>187692</v>
      </c>
      <c r="O127" s="30">
        <f>ROUND(Table1[[#This Row],[Content.Column6]] * 1000, 0)</f>
        <v>194142</v>
      </c>
      <c r="P127" s="27"/>
      <c r="Q127" s="27"/>
      <c r="R127"/>
      <c r="S127"/>
    </row>
    <row r="128" spans="1:19" x14ac:dyDescent="0.3">
      <c r="A128">
        <v>2011</v>
      </c>
      <c r="B128" t="s">
        <v>83</v>
      </c>
      <c r="C128" t="s">
        <v>82</v>
      </c>
      <c r="D128" s="34">
        <f>ROUND(Table1[[#This Row],[Content.Column7]] * 1000, 0)</f>
        <v>8946</v>
      </c>
      <c r="E128" s="34">
        <f>ROUND(Table1[[#This Row],[Content.Column8]] * 1000, 0)</f>
        <v>6392</v>
      </c>
      <c r="F128" s="34">
        <f>ROUND(Table1[[#This Row],[Content.Column9]] * 1000, 0)</f>
        <v>15338</v>
      </c>
      <c r="G128" s="34">
        <f>ROUND(Table1[[#This Row],[Content.Column10]] * 1000, 0)</f>
        <v>15429</v>
      </c>
      <c r="H128" s="32">
        <f>ROUND(Table1[[#This Row],[Content.Column11]] * 1000, 0)</f>
        <v>36908</v>
      </c>
      <c r="I128" s="32">
        <f>ROUND(Table1[[#This Row],[Content.Column12]] * 1000, 0)</f>
        <v>15244</v>
      </c>
      <c r="J128" s="32">
        <f>ROUND(Table1[[#This Row],[Content.Column13]] * 1000, 0)</f>
        <v>52152</v>
      </c>
      <c r="K128" s="32">
        <f>ROUND(Table1[[#This Row],[Content.Column14]] * 1000, 0)</f>
        <v>54263</v>
      </c>
      <c r="L128" s="30">
        <f>ROUND(Table1[[#This Row],[Content.Column3]] * 1000, 0)</f>
        <v>45855</v>
      </c>
      <c r="M128" s="30">
        <f>ROUND(Table1[[#This Row],[Content.Column4]] * 1000, 0)</f>
        <v>21636</v>
      </c>
      <c r="N128" s="30">
        <f>ROUND(Table1[[#This Row],[Content.Column5]] * 1000, 0)</f>
        <v>67490</v>
      </c>
      <c r="O128" s="30">
        <f>ROUND(Table1[[#This Row],[Content.Column6]] * 1000, 0)</f>
        <v>69691</v>
      </c>
      <c r="P128" s="27"/>
      <c r="Q128" s="27"/>
      <c r="R128"/>
      <c r="S128"/>
    </row>
    <row r="129" spans="1:19" x14ac:dyDescent="0.3">
      <c r="A129">
        <v>2011</v>
      </c>
      <c r="B129" t="s">
        <v>85</v>
      </c>
      <c r="C129" t="s">
        <v>84</v>
      </c>
      <c r="D129" s="34">
        <f>ROUND(Table1[[#This Row],[Content.Column7]] * 1000, 0)</f>
        <v>33739</v>
      </c>
      <c r="E129" s="34">
        <f>ROUND(Table1[[#This Row],[Content.Column8]] * 1000, 0)</f>
        <v>8814</v>
      </c>
      <c r="F129" s="34">
        <f>ROUND(Table1[[#This Row],[Content.Column9]] * 1000, 0)</f>
        <v>42553</v>
      </c>
      <c r="G129" s="34">
        <f>ROUND(Table1[[#This Row],[Content.Column10]] * 1000, 0)</f>
        <v>42874</v>
      </c>
      <c r="H129" s="32">
        <f>ROUND(Table1[[#This Row],[Content.Column11]] * 1000, 0)</f>
        <v>156074</v>
      </c>
      <c r="I129" s="32">
        <f>ROUND(Table1[[#This Row],[Content.Column12]] * 1000, 0)</f>
        <v>34395</v>
      </c>
      <c r="J129" s="32">
        <f>ROUND(Table1[[#This Row],[Content.Column13]] * 1000, 0)</f>
        <v>190469</v>
      </c>
      <c r="K129" s="32">
        <f>ROUND(Table1[[#This Row],[Content.Column14]] * 1000, 0)</f>
        <v>194779</v>
      </c>
      <c r="L129" s="30">
        <f>ROUND(Table1[[#This Row],[Content.Column3]] * 1000, 0)</f>
        <v>189813</v>
      </c>
      <c r="M129" s="30">
        <f>ROUND(Table1[[#This Row],[Content.Column4]] * 1000, 0)</f>
        <v>43209</v>
      </c>
      <c r="N129" s="30">
        <f>ROUND(Table1[[#This Row],[Content.Column5]] * 1000, 0)</f>
        <v>233022</v>
      </c>
      <c r="O129" s="30">
        <f>ROUND(Table1[[#This Row],[Content.Column6]] * 1000, 0)</f>
        <v>237653</v>
      </c>
      <c r="P129" s="27"/>
      <c r="Q129" s="27"/>
      <c r="R129"/>
      <c r="S129"/>
    </row>
    <row r="130" spans="1:19" x14ac:dyDescent="0.3">
      <c r="A130">
        <v>2011</v>
      </c>
      <c r="B130" t="s">
        <v>87</v>
      </c>
      <c r="C130" t="s">
        <v>86</v>
      </c>
      <c r="D130" s="34">
        <f>ROUND(Table1[[#This Row],[Content.Column7]] * 1000, 0)</f>
        <v>10748</v>
      </c>
      <c r="E130" s="34">
        <f>ROUND(Table1[[#This Row],[Content.Column8]] * 1000, 0)</f>
        <v>4961</v>
      </c>
      <c r="F130" s="34">
        <f>ROUND(Table1[[#This Row],[Content.Column9]] * 1000, 0)</f>
        <v>15709</v>
      </c>
      <c r="G130" s="34">
        <f>ROUND(Table1[[#This Row],[Content.Column10]] * 1000, 0)</f>
        <v>15822</v>
      </c>
      <c r="H130" s="32">
        <f>ROUND(Table1[[#This Row],[Content.Column11]] * 1000, 0)</f>
        <v>29114</v>
      </c>
      <c r="I130" s="32">
        <f>ROUND(Table1[[#This Row],[Content.Column12]] * 1000, 0)</f>
        <v>12867</v>
      </c>
      <c r="J130" s="32">
        <f>ROUND(Table1[[#This Row],[Content.Column13]] * 1000, 0)</f>
        <v>41981</v>
      </c>
      <c r="K130" s="32">
        <f>ROUND(Table1[[#This Row],[Content.Column14]] * 1000, 0)</f>
        <v>43999</v>
      </c>
      <c r="L130" s="30">
        <f>ROUND(Table1[[#This Row],[Content.Column3]] * 1000, 0)</f>
        <v>39861</v>
      </c>
      <c r="M130" s="30">
        <f>ROUND(Table1[[#This Row],[Content.Column4]] * 1000, 0)</f>
        <v>17828</v>
      </c>
      <c r="N130" s="30">
        <f>ROUND(Table1[[#This Row],[Content.Column5]] * 1000, 0)</f>
        <v>57690</v>
      </c>
      <c r="O130" s="30">
        <f>ROUND(Table1[[#This Row],[Content.Column6]] * 1000, 0)</f>
        <v>59821</v>
      </c>
      <c r="P130" s="27"/>
      <c r="Q130" s="27"/>
      <c r="R130"/>
      <c r="S130"/>
    </row>
    <row r="131" spans="1:19" x14ac:dyDescent="0.3">
      <c r="A131">
        <v>2011</v>
      </c>
      <c r="B131" t="s">
        <v>89</v>
      </c>
      <c r="C131" t="s">
        <v>88</v>
      </c>
      <c r="D131" s="34">
        <f>ROUND(Table1[[#This Row],[Content.Column7]] * 1000, 0)</f>
        <v>18937</v>
      </c>
      <c r="E131" s="34">
        <f>ROUND(Table1[[#This Row],[Content.Column8]] * 1000, 0)</f>
        <v>6132</v>
      </c>
      <c r="F131" s="34">
        <f>ROUND(Table1[[#This Row],[Content.Column9]] * 1000, 0)</f>
        <v>25069</v>
      </c>
      <c r="G131" s="34">
        <f>ROUND(Table1[[#This Row],[Content.Column10]] * 1000, 0)</f>
        <v>25078</v>
      </c>
      <c r="H131" s="32">
        <f>ROUND(Table1[[#This Row],[Content.Column11]] * 1000, 0)</f>
        <v>54081</v>
      </c>
      <c r="I131" s="32">
        <f>ROUND(Table1[[#This Row],[Content.Column12]] * 1000, 0)</f>
        <v>24241</v>
      </c>
      <c r="J131" s="32">
        <f>ROUND(Table1[[#This Row],[Content.Column13]] * 1000, 0)</f>
        <v>78322</v>
      </c>
      <c r="K131" s="32">
        <f>ROUND(Table1[[#This Row],[Content.Column14]] * 1000, 0)</f>
        <v>81656</v>
      </c>
      <c r="L131" s="30">
        <f>ROUND(Table1[[#This Row],[Content.Column3]] * 1000, 0)</f>
        <v>73018</v>
      </c>
      <c r="M131" s="30">
        <f>ROUND(Table1[[#This Row],[Content.Column4]] * 1000, 0)</f>
        <v>30373</v>
      </c>
      <c r="N131" s="30">
        <f>ROUND(Table1[[#This Row],[Content.Column5]] * 1000, 0)</f>
        <v>103391</v>
      </c>
      <c r="O131" s="30">
        <f>ROUND(Table1[[#This Row],[Content.Column6]] * 1000, 0)</f>
        <v>106735</v>
      </c>
      <c r="P131" s="27"/>
      <c r="Q131" s="27"/>
      <c r="R131"/>
      <c r="S131"/>
    </row>
    <row r="132" spans="1:19" x14ac:dyDescent="0.3">
      <c r="A132">
        <v>2011</v>
      </c>
      <c r="B132" t="s">
        <v>91</v>
      </c>
      <c r="C132" t="s">
        <v>90</v>
      </c>
      <c r="D132" s="34">
        <f>ROUND(Table1[[#This Row],[Content.Column7]] * 1000, 0)</f>
        <v>71788</v>
      </c>
      <c r="E132" s="34">
        <f>ROUND(Table1[[#This Row],[Content.Column8]] * 1000, 0)</f>
        <v>14389</v>
      </c>
      <c r="F132" s="34">
        <f>ROUND(Table1[[#This Row],[Content.Column9]] * 1000, 0)</f>
        <v>86176</v>
      </c>
      <c r="G132" s="34">
        <f>ROUND(Table1[[#This Row],[Content.Column10]] * 1000, 0)</f>
        <v>86844</v>
      </c>
      <c r="H132" s="32">
        <f>ROUND(Table1[[#This Row],[Content.Column11]] * 1000, 0)</f>
        <v>407943</v>
      </c>
      <c r="I132" s="32">
        <f>ROUND(Table1[[#This Row],[Content.Column12]] * 1000, 0)</f>
        <v>127053</v>
      </c>
      <c r="J132" s="32">
        <f>ROUND(Table1[[#This Row],[Content.Column13]] * 1000, 0)</f>
        <v>534996</v>
      </c>
      <c r="K132" s="32">
        <f>ROUND(Table1[[#This Row],[Content.Column14]] * 1000, 0)</f>
        <v>557355</v>
      </c>
      <c r="L132" s="30">
        <f>ROUND(Table1[[#This Row],[Content.Column3]] * 1000, 0)</f>
        <v>479731</v>
      </c>
      <c r="M132" s="30">
        <f>ROUND(Table1[[#This Row],[Content.Column4]] * 1000, 0)</f>
        <v>141441</v>
      </c>
      <c r="N132" s="30">
        <f>ROUND(Table1[[#This Row],[Content.Column5]] * 1000, 0)</f>
        <v>621172</v>
      </c>
      <c r="O132" s="30">
        <f>ROUND(Table1[[#This Row],[Content.Column6]] * 1000, 0)</f>
        <v>644200</v>
      </c>
      <c r="P132" s="27"/>
      <c r="Q132" s="27"/>
      <c r="R132"/>
      <c r="S132"/>
    </row>
    <row r="133" spans="1:19" x14ac:dyDescent="0.3">
      <c r="A133">
        <v>2011</v>
      </c>
      <c r="B133" t="s">
        <v>93</v>
      </c>
      <c r="C133" t="s">
        <v>92</v>
      </c>
      <c r="D133" s="34">
        <f>ROUND(Table1[[#This Row],[Content.Column7]] * 1000, 0)</f>
        <v>356316</v>
      </c>
      <c r="E133" s="34">
        <f>ROUND(Table1[[#This Row],[Content.Column8]] * 1000, 0)</f>
        <v>88533</v>
      </c>
      <c r="F133" s="34">
        <f>ROUND(Table1[[#This Row],[Content.Column9]] * 1000, 0)</f>
        <v>444848</v>
      </c>
      <c r="G133" s="34">
        <f>ROUND(Table1[[#This Row],[Content.Column10]] * 1000, 0)</f>
        <v>446647</v>
      </c>
      <c r="H133" s="32">
        <f>ROUND(Table1[[#This Row],[Content.Column11]] * 1000, 0)</f>
        <v>1686509</v>
      </c>
      <c r="I133" s="32">
        <f>ROUND(Table1[[#This Row],[Content.Column12]] * 1000, 0)</f>
        <v>514067</v>
      </c>
      <c r="J133" s="32">
        <f>ROUND(Table1[[#This Row],[Content.Column13]] * 1000, 0)</f>
        <v>2200575</v>
      </c>
      <c r="K133" s="32">
        <f>ROUND(Table1[[#This Row],[Content.Column14]] * 1000, 0)</f>
        <v>2291468</v>
      </c>
      <c r="L133" s="30">
        <f>ROUND(Table1[[#This Row],[Content.Column3]] * 1000, 0)</f>
        <v>2042825</v>
      </c>
      <c r="M133" s="30">
        <f>ROUND(Table1[[#This Row],[Content.Column4]] * 1000, 0)</f>
        <v>602599</v>
      </c>
      <c r="N133" s="30">
        <f>ROUND(Table1[[#This Row],[Content.Column5]] * 1000, 0)</f>
        <v>2645424</v>
      </c>
      <c r="O133" s="30">
        <f>ROUND(Table1[[#This Row],[Content.Column6]] * 1000, 0)</f>
        <v>2738115</v>
      </c>
      <c r="P133" s="27"/>
      <c r="Q133" s="27"/>
      <c r="R133"/>
      <c r="S133"/>
    </row>
    <row r="134" spans="1:19" x14ac:dyDescent="0.3">
      <c r="A134">
        <v>2011</v>
      </c>
      <c r="B134" t="s">
        <v>95</v>
      </c>
      <c r="C134" t="s">
        <v>94</v>
      </c>
      <c r="D134" s="34">
        <f>ROUND(Table1[[#This Row],[Content.Column7]] * 1000, 0)</f>
        <v>208764</v>
      </c>
      <c r="E134" s="34">
        <f>ROUND(Table1[[#This Row],[Content.Column8]] * 1000, 0)</f>
        <v>129763</v>
      </c>
      <c r="F134" s="34">
        <f>ROUND(Table1[[#This Row],[Content.Column9]] * 1000, 0)</f>
        <v>338527</v>
      </c>
      <c r="G134" s="34">
        <f>ROUND(Table1[[#This Row],[Content.Column10]] * 1000, 0)</f>
        <v>339316</v>
      </c>
      <c r="H134" s="32">
        <f>ROUND(Table1[[#This Row],[Content.Column11]] * 1000, 0)</f>
        <v>914903</v>
      </c>
      <c r="I134" s="32">
        <f>ROUND(Table1[[#This Row],[Content.Column12]] * 1000, 0)</f>
        <v>404489</v>
      </c>
      <c r="J134" s="32">
        <f>ROUND(Table1[[#This Row],[Content.Column13]] * 1000, 0)</f>
        <v>1319392</v>
      </c>
      <c r="K134" s="32">
        <f>ROUND(Table1[[#This Row],[Content.Column14]] * 1000, 0)</f>
        <v>1371384</v>
      </c>
      <c r="L134" s="30">
        <f>ROUND(Table1[[#This Row],[Content.Column3]] * 1000, 0)</f>
        <v>1123667</v>
      </c>
      <c r="M134" s="30">
        <f>ROUND(Table1[[#This Row],[Content.Column4]] * 1000, 0)</f>
        <v>534253</v>
      </c>
      <c r="N134" s="30">
        <f>ROUND(Table1[[#This Row],[Content.Column5]] * 1000, 0)</f>
        <v>1657919</v>
      </c>
      <c r="O134" s="30">
        <f>ROUND(Table1[[#This Row],[Content.Column6]] * 1000, 0)</f>
        <v>1710701</v>
      </c>
      <c r="P134" s="27"/>
      <c r="Q134" s="27"/>
      <c r="R134"/>
      <c r="S134"/>
    </row>
    <row r="135" spans="1:19" x14ac:dyDescent="0.3">
      <c r="A135">
        <v>2011</v>
      </c>
      <c r="B135" t="s">
        <v>97</v>
      </c>
      <c r="C135" t="s">
        <v>96</v>
      </c>
      <c r="D135" s="34">
        <f>ROUND(Table1[[#This Row],[Content.Column7]] * 1000, 0)</f>
        <v>170958</v>
      </c>
      <c r="E135" s="34">
        <f>ROUND(Table1[[#This Row],[Content.Column8]] * 1000, 0)</f>
        <v>100746</v>
      </c>
      <c r="F135" s="34">
        <f>ROUND(Table1[[#This Row],[Content.Column9]] * 1000, 0)</f>
        <v>271703</v>
      </c>
      <c r="G135" s="34">
        <f>ROUND(Table1[[#This Row],[Content.Column10]] * 1000, 0)</f>
        <v>278971</v>
      </c>
      <c r="H135" s="32">
        <f>ROUND(Table1[[#This Row],[Content.Column11]] * 1000, 0)</f>
        <v>494261</v>
      </c>
      <c r="I135" s="32">
        <f>ROUND(Table1[[#This Row],[Content.Column12]] * 1000, 0)</f>
        <v>240166</v>
      </c>
      <c r="J135" s="32">
        <f>ROUND(Table1[[#This Row],[Content.Column13]] * 1000, 0)</f>
        <v>734428</v>
      </c>
      <c r="K135" s="32">
        <f>ROUND(Table1[[#This Row],[Content.Column14]] * 1000, 0)</f>
        <v>757507</v>
      </c>
      <c r="L135" s="30">
        <f>ROUND(Table1[[#This Row],[Content.Column3]] * 1000, 0)</f>
        <v>665219</v>
      </c>
      <c r="M135" s="30">
        <f>ROUND(Table1[[#This Row],[Content.Column4]] * 1000, 0)</f>
        <v>340912</v>
      </c>
      <c r="N135" s="30">
        <f>ROUND(Table1[[#This Row],[Content.Column5]] * 1000, 0)</f>
        <v>1006131</v>
      </c>
      <c r="O135" s="30">
        <f>ROUND(Table1[[#This Row],[Content.Column6]] * 1000, 0)</f>
        <v>1036478</v>
      </c>
      <c r="P135" s="27"/>
      <c r="Q135" s="27"/>
      <c r="R135"/>
      <c r="S135"/>
    </row>
    <row r="136" spans="1:19" x14ac:dyDescent="0.3">
      <c r="A136">
        <v>2011</v>
      </c>
      <c r="B136" t="s">
        <v>99</v>
      </c>
      <c r="C136" t="s">
        <v>98</v>
      </c>
      <c r="D136" s="34">
        <f>ROUND(Table1[[#This Row],[Content.Column7]] * 1000, 0)</f>
        <v>426674</v>
      </c>
      <c r="E136" s="34">
        <f>ROUND(Table1[[#This Row],[Content.Column8]] * 1000, 0)</f>
        <v>260046</v>
      </c>
      <c r="F136" s="34">
        <f>ROUND(Table1[[#This Row],[Content.Column9]] * 1000, 0)</f>
        <v>686720</v>
      </c>
      <c r="G136" s="34">
        <f>ROUND(Table1[[#This Row],[Content.Column10]] * 1000, 0)</f>
        <v>709447</v>
      </c>
      <c r="H136" s="32">
        <f>ROUND(Table1[[#This Row],[Content.Column11]] * 1000, 0)</f>
        <v>1595866</v>
      </c>
      <c r="I136" s="32">
        <f>ROUND(Table1[[#This Row],[Content.Column12]] * 1000, 0)</f>
        <v>694674</v>
      </c>
      <c r="J136" s="32">
        <f>ROUND(Table1[[#This Row],[Content.Column13]] * 1000, 0)</f>
        <v>2290541</v>
      </c>
      <c r="K136" s="32">
        <f>ROUND(Table1[[#This Row],[Content.Column14]] * 1000, 0)</f>
        <v>2376643</v>
      </c>
      <c r="L136" s="30">
        <f>ROUND(Table1[[#This Row],[Content.Column3]] * 1000, 0)</f>
        <v>2022540</v>
      </c>
      <c r="M136" s="30">
        <f>ROUND(Table1[[#This Row],[Content.Column4]] * 1000, 0)</f>
        <v>954720</v>
      </c>
      <c r="N136" s="30">
        <f>ROUND(Table1[[#This Row],[Content.Column5]] * 1000, 0)</f>
        <v>2977260</v>
      </c>
      <c r="O136" s="30">
        <f>ROUND(Table1[[#This Row],[Content.Column6]] * 1000, 0)</f>
        <v>3086090</v>
      </c>
      <c r="P136" s="27"/>
      <c r="Q136" s="27"/>
      <c r="R136"/>
      <c r="S136"/>
    </row>
    <row r="137" spans="1:19" x14ac:dyDescent="0.3">
      <c r="A137">
        <v>2011</v>
      </c>
      <c r="B137" t="s">
        <v>101</v>
      </c>
      <c r="C137" t="s">
        <v>100</v>
      </c>
      <c r="D137" s="34">
        <f>ROUND(Table1[[#This Row],[Content.Column7]] * 1000, 0)</f>
        <v>317360</v>
      </c>
      <c r="E137" s="34">
        <f>ROUND(Table1[[#This Row],[Content.Column8]] * 1000, 0)</f>
        <v>212266</v>
      </c>
      <c r="F137" s="34">
        <f>ROUND(Table1[[#This Row],[Content.Column9]] * 1000, 0)</f>
        <v>529625</v>
      </c>
      <c r="G137" s="34">
        <f>ROUND(Table1[[#This Row],[Content.Column10]] * 1000, 0)</f>
        <v>551327</v>
      </c>
      <c r="H137" s="32">
        <f>ROUND(Table1[[#This Row],[Content.Column11]] * 1000, 0)</f>
        <v>1144640</v>
      </c>
      <c r="I137" s="32">
        <f>ROUND(Table1[[#This Row],[Content.Column12]] * 1000, 0)</f>
        <v>509951</v>
      </c>
      <c r="J137" s="32">
        <f>ROUND(Table1[[#This Row],[Content.Column13]] * 1000, 0)</f>
        <v>1654590</v>
      </c>
      <c r="K137" s="32">
        <f>ROUND(Table1[[#This Row],[Content.Column14]] * 1000, 0)</f>
        <v>1722783</v>
      </c>
      <c r="L137" s="30">
        <f>ROUND(Table1[[#This Row],[Content.Column3]] * 1000, 0)</f>
        <v>1462000</v>
      </c>
      <c r="M137" s="30">
        <f>ROUND(Table1[[#This Row],[Content.Column4]] * 1000, 0)</f>
        <v>722217</v>
      </c>
      <c r="N137" s="30">
        <f>ROUND(Table1[[#This Row],[Content.Column5]] * 1000, 0)</f>
        <v>2184216</v>
      </c>
      <c r="O137" s="30">
        <f>ROUND(Table1[[#This Row],[Content.Column6]] * 1000, 0)</f>
        <v>2274110</v>
      </c>
      <c r="P137" s="27"/>
      <c r="Q137" s="27"/>
      <c r="R137"/>
      <c r="S137"/>
    </row>
    <row r="138" spans="1:19" x14ac:dyDescent="0.3">
      <c r="A138">
        <v>2011</v>
      </c>
      <c r="B138" t="s">
        <v>103</v>
      </c>
      <c r="C138" t="s">
        <v>102</v>
      </c>
      <c r="D138" s="34">
        <f>ROUND(Table1[[#This Row],[Content.Column7]] * 1000, 0)</f>
        <v>225018</v>
      </c>
      <c r="E138" s="34">
        <f>ROUND(Table1[[#This Row],[Content.Column8]] * 1000, 0)</f>
        <v>178488</v>
      </c>
      <c r="F138" s="34">
        <f>ROUND(Table1[[#This Row],[Content.Column9]] * 1000, 0)</f>
        <v>403507</v>
      </c>
      <c r="G138" s="34">
        <f>ROUND(Table1[[#This Row],[Content.Column10]] * 1000, 0)</f>
        <v>423521</v>
      </c>
      <c r="H138" s="32">
        <f>ROUND(Table1[[#This Row],[Content.Column11]] * 1000, 0)</f>
        <v>1058895</v>
      </c>
      <c r="I138" s="32">
        <f>ROUND(Table1[[#This Row],[Content.Column12]] * 1000, 0)</f>
        <v>439108</v>
      </c>
      <c r="J138" s="32">
        <f>ROUND(Table1[[#This Row],[Content.Column13]] * 1000, 0)</f>
        <v>1498003</v>
      </c>
      <c r="K138" s="32">
        <f>ROUND(Table1[[#This Row],[Content.Column14]] * 1000, 0)</f>
        <v>1558876</v>
      </c>
      <c r="L138" s="30">
        <f>ROUND(Table1[[#This Row],[Content.Column3]] * 1000, 0)</f>
        <v>1283913</v>
      </c>
      <c r="M138" s="30">
        <f>ROUND(Table1[[#This Row],[Content.Column4]] * 1000, 0)</f>
        <v>617597</v>
      </c>
      <c r="N138" s="30">
        <f>ROUND(Table1[[#This Row],[Content.Column5]] * 1000, 0)</f>
        <v>1901510</v>
      </c>
      <c r="O138" s="30">
        <f>ROUND(Table1[[#This Row],[Content.Column6]] * 1000, 0)</f>
        <v>1982397</v>
      </c>
      <c r="P138" s="27"/>
      <c r="Q138" s="27"/>
      <c r="R138"/>
      <c r="S138"/>
    </row>
    <row r="139" spans="1:19" x14ac:dyDescent="0.3">
      <c r="A139">
        <v>2011</v>
      </c>
      <c r="B139" t="s">
        <v>105</v>
      </c>
      <c r="C139" t="s">
        <v>104</v>
      </c>
      <c r="D139" s="34">
        <f>ROUND(Table1[[#This Row],[Content.Column7]] * 1000, 0)</f>
        <v>303394</v>
      </c>
      <c r="E139" s="34">
        <f>ROUND(Table1[[#This Row],[Content.Column8]] * 1000, 0)</f>
        <v>216809</v>
      </c>
      <c r="F139" s="34">
        <f>ROUND(Table1[[#This Row],[Content.Column9]] * 1000, 0)</f>
        <v>520204</v>
      </c>
      <c r="G139" s="34">
        <f>ROUND(Table1[[#This Row],[Content.Column10]] * 1000, 0)</f>
        <v>543783</v>
      </c>
      <c r="H139" s="32">
        <f>ROUND(Table1[[#This Row],[Content.Column11]] * 1000, 0)</f>
        <v>1253675</v>
      </c>
      <c r="I139" s="32">
        <f>ROUND(Table1[[#This Row],[Content.Column12]] * 1000, 0)</f>
        <v>527628</v>
      </c>
      <c r="J139" s="32">
        <f>ROUND(Table1[[#This Row],[Content.Column13]] * 1000, 0)</f>
        <v>1781303</v>
      </c>
      <c r="K139" s="32">
        <f>ROUND(Table1[[#This Row],[Content.Column14]] * 1000, 0)</f>
        <v>1857195</v>
      </c>
      <c r="L139" s="30">
        <f>ROUND(Table1[[#This Row],[Content.Column3]] * 1000, 0)</f>
        <v>1557069</v>
      </c>
      <c r="M139" s="30">
        <f>ROUND(Table1[[#This Row],[Content.Column4]] * 1000, 0)</f>
        <v>744437</v>
      </c>
      <c r="N139" s="30">
        <f>ROUND(Table1[[#This Row],[Content.Column5]] * 1000, 0)</f>
        <v>2301507</v>
      </c>
      <c r="O139" s="30">
        <f>ROUND(Table1[[#This Row],[Content.Column6]] * 1000, 0)</f>
        <v>2400978</v>
      </c>
      <c r="P139" s="27"/>
      <c r="Q139" s="27"/>
      <c r="R139"/>
      <c r="S139"/>
    </row>
    <row r="140" spans="1:19" x14ac:dyDescent="0.3">
      <c r="A140">
        <v>2011</v>
      </c>
      <c r="B140" t="s">
        <v>107</v>
      </c>
      <c r="C140" t="s">
        <v>106</v>
      </c>
      <c r="D140" s="34">
        <f>ROUND(Table1[[#This Row],[Content.Column7]] * 1000, 0)</f>
        <v>275751</v>
      </c>
      <c r="E140" s="34">
        <f>ROUND(Table1[[#This Row],[Content.Column8]] * 1000, 0)</f>
        <v>210526</v>
      </c>
      <c r="F140" s="34">
        <f>ROUND(Table1[[#This Row],[Content.Column9]] * 1000, 0)</f>
        <v>486277</v>
      </c>
      <c r="G140" s="34">
        <f>ROUND(Table1[[#This Row],[Content.Column10]] * 1000, 0)</f>
        <v>506459</v>
      </c>
      <c r="H140" s="32">
        <f>ROUND(Table1[[#This Row],[Content.Column11]] * 1000, 0)</f>
        <v>1287002</v>
      </c>
      <c r="I140" s="32">
        <f>ROUND(Table1[[#This Row],[Content.Column12]] * 1000, 0)</f>
        <v>631996</v>
      </c>
      <c r="J140" s="32">
        <f>ROUND(Table1[[#This Row],[Content.Column13]] * 1000, 0)</f>
        <v>1918999</v>
      </c>
      <c r="K140" s="32">
        <f>ROUND(Table1[[#This Row],[Content.Column14]] * 1000, 0)</f>
        <v>2011806</v>
      </c>
      <c r="L140" s="30">
        <f>ROUND(Table1[[#This Row],[Content.Column3]] * 1000, 0)</f>
        <v>1562753</v>
      </c>
      <c r="M140" s="30">
        <f>ROUND(Table1[[#This Row],[Content.Column4]] * 1000, 0)</f>
        <v>842522</v>
      </c>
      <c r="N140" s="30">
        <f>ROUND(Table1[[#This Row],[Content.Column5]] * 1000, 0)</f>
        <v>2405276</v>
      </c>
      <c r="O140" s="30">
        <f>ROUND(Table1[[#This Row],[Content.Column6]] * 1000, 0)</f>
        <v>2518265</v>
      </c>
      <c r="P140" s="27"/>
      <c r="Q140" s="27"/>
      <c r="R140"/>
      <c r="S140"/>
    </row>
    <row r="141" spans="1:19" x14ac:dyDescent="0.3">
      <c r="A141">
        <v>2011</v>
      </c>
      <c r="B141" t="s">
        <v>109</v>
      </c>
      <c r="C141" t="s">
        <v>108</v>
      </c>
      <c r="D141" s="34">
        <f>ROUND(Table1[[#This Row],[Content.Column7]] * 1000, 0)</f>
        <v>565357</v>
      </c>
      <c r="E141" s="34">
        <f>ROUND(Table1[[#This Row],[Content.Column8]] * 1000, 0)</f>
        <v>218398</v>
      </c>
      <c r="F141" s="34">
        <f>ROUND(Table1[[#This Row],[Content.Column9]] * 1000, 0)</f>
        <v>783756</v>
      </c>
      <c r="G141" s="34">
        <f>ROUND(Table1[[#This Row],[Content.Column10]] * 1000, 0)</f>
        <v>786668</v>
      </c>
      <c r="H141" s="32">
        <f>ROUND(Table1[[#This Row],[Content.Column11]] * 1000, 0)</f>
        <v>2601412</v>
      </c>
      <c r="I141" s="32">
        <f>ROUND(Table1[[#This Row],[Content.Column12]] * 1000, 0)</f>
        <v>918556</v>
      </c>
      <c r="J141" s="32">
        <f>ROUND(Table1[[#This Row],[Content.Column13]] * 1000, 0)</f>
        <v>3519967</v>
      </c>
      <c r="K141" s="32">
        <f>ROUND(Table1[[#This Row],[Content.Column14]] * 1000, 0)</f>
        <v>3662852</v>
      </c>
      <c r="L141" s="30">
        <f>ROUND(Table1[[#This Row],[Content.Column3]] * 1000, 0)</f>
        <v>3166770</v>
      </c>
      <c r="M141" s="30">
        <f>ROUND(Table1[[#This Row],[Content.Column4]] * 1000, 0)</f>
        <v>1136954</v>
      </c>
      <c r="N141" s="30">
        <f>ROUND(Table1[[#This Row],[Content.Column5]] * 1000, 0)</f>
        <v>4303723</v>
      </c>
      <c r="O141" s="30">
        <f>ROUND(Table1[[#This Row],[Content.Column6]] * 1000, 0)</f>
        <v>4449520</v>
      </c>
      <c r="P141" s="27"/>
      <c r="Q141" s="27"/>
      <c r="R141"/>
      <c r="S141"/>
    </row>
    <row r="142" spans="1:19" x14ac:dyDescent="0.3">
      <c r="A142">
        <v>2011</v>
      </c>
      <c r="B142" t="s">
        <v>111</v>
      </c>
      <c r="C142" t="s">
        <v>110</v>
      </c>
      <c r="D142" s="34">
        <f>ROUND(Table1[[#This Row],[Content.Column7]] * 1000, 0)</f>
        <v>422181</v>
      </c>
      <c r="E142" s="34">
        <f>ROUND(Table1[[#This Row],[Content.Column8]] * 1000, 0)</f>
        <v>273442</v>
      </c>
      <c r="F142" s="34">
        <f>ROUND(Table1[[#This Row],[Content.Column9]] * 1000, 0)</f>
        <v>695624</v>
      </c>
      <c r="G142" s="34">
        <f>ROUND(Table1[[#This Row],[Content.Column10]] * 1000, 0)</f>
        <v>717724</v>
      </c>
      <c r="H142" s="32">
        <f>ROUND(Table1[[#This Row],[Content.Column11]] * 1000, 0)</f>
        <v>2067326</v>
      </c>
      <c r="I142" s="32">
        <f>ROUND(Table1[[#This Row],[Content.Column12]] * 1000, 0)</f>
        <v>993001</v>
      </c>
      <c r="J142" s="32">
        <f>ROUND(Table1[[#This Row],[Content.Column13]] * 1000, 0)</f>
        <v>3060327</v>
      </c>
      <c r="K142" s="32">
        <f>ROUND(Table1[[#This Row],[Content.Column14]] * 1000, 0)</f>
        <v>3203060</v>
      </c>
      <c r="L142" s="30">
        <f>ROUND(Table1[[#This Row],[Content.Column3]] * 1000, 0)</f>
        <v>2489507</v>
      </c>
      <c r="M142" s="30">
        <f>ROUND(Table1[[#This Row],[Content.Column4]] * 1000, 0)</f>
        <v>1266443</v>
      </c>
      <c r="N142" s="30">
        <f>ROUND(Table1[[#This Row],[Content.Column5]] * 1000, 0)</f>
        <v>3755950</v>
      </c>
      <c r="O142" s="30">
        <f>ROUND(Table1[[#This Row],[Content.Column6]] * 1000, 0)</f>
        <v>3920784</v>
      </c>
      <c r="P142" s="27"/>
      <c r="Q142" s="27"/>
      <c r="R142"/>
      <c r="S142"/>
    </row>
    <row r="143" spans="1:19" x14ac:dyDescent="0.3">
      <c r="A143">
        <v>2011</v>
      </c>
      <c r="B143" t="s">
        <v>113</v>
      </c>
      <c r="C143" t="s">
        <v>112</v>
      </c>
      <c r="D143" s="34">
        <f>ROUND(Table1[[#This Row],[Content.Column7]] * 1000, 0)</f>
        <v>286598</v>
      </c>
      <c r="E143" s="34">
        <f>ROUND(Table1[[#This Row],[Content.Column8]] * 1000, 0)</f>
        <v>213869</v>
      </c>
      <c r="F143" s="34">
        <f>ROUND(Table1[[#This Row],[Content.Column9]] * 1000, 0)</f>
        <v>500466</v>
      </c>
      <c r="G143" s="34">
        <f>ROUND(Table1[[#This Row],[Content.Column10]] * 1000, 0)</f>
        <v>544041</v>
      </c>
      <c r="H143" s="32">
        <f>ROUND(Table1[[#This Row],[Content.Column11]] * 1000, 0)</f>
        <v>1115432</v>
      </c>
      <c r="I143" s="32">
        <f>ROUND(Table1[[#This Row],[Content.Column12]] * 1000, 0)</f>
        <v>621749</v>
      </c>
      <c r="J143" s="32">
        <f>ROUND(Table1[[#This Row],[Content.Column13]] * 1000, 0)</f>
        <v>1737180</v>
      </c>
      <c r="K143" s="32">
        <f>ROUND(Table1[[#This Row],[Content.Column14]] * 1000, 0)</f>
        <v>1849945</v>
      </c>
      <c r="L143" s="30">
        <f>ROUND(Table1[[#This Row],[Content.Column3]] * 1000, 0)</f>
        <v>1402030</v>
      </c>
      <c r="M143" s="30">
        <f>ROUND(Table1[[#This Row],[Content.Column4]] * 1000, 0)</f>
        <v>835618</v>
      </c>
      <c r="N143" s="30">
        <f>ROUND(Table1[[#This Row],[Content.Column5]] * 1000, 0)</f>
        <v>2237646</v>
      </c>
      <c r="O143" s="30">
        <f>ROUND(Table1[[#This Row],[Content.Column6]] * 1000, 0)</f>
        <v>2393986</v>
      </c>
      <c r="P143" s="27"/>
      <c r="Q143" s="27"/>
      <c r="R143"/>
      <c r="S143"/>
    </row>
    <row r="144" spans="1:19" x14ac:dyDescent="0.3">
      <c r="A144">
        <v>2011</v>
      </c>
      <c r="B144" t="s">
        <v>115</v>
      </c>
      <c r="C144" t="s">
        <v>114</v>
      </c>
      <c r="D144" s="34">
        <f>ROUND(Table1[[#This Row],[Content.Column7]] * 1000, 0)</f>
        <v>214661</v>
      </c>
      <c r="E144" s="34">
        <f>ROUND(Table1[[#This Row],[Content.Column8]] * 1000, 0)</f>
        <v>135711</v>
      </c>
      <c r="F144" s="34">
        <f>ROUND(Table1[[#This Row],[Content.Column9]] * 1000, 0)</f>
        <v>350371</v>
      </c>
      <c r="G144" s="34">
        <f>ROUND(Table1[[#This Row],[Content.Column10]] * 1000, 0)</f>
        <v>396071</v>
      </c>
      <c r="H144" s="32">
        <f>ROUND(Table1[[#This Row],[Content.Column11]] * 1000, 0)</f>
        <v>546470</v>
      </c>
      <c r="I144" s="32">
        <f>ROUND(Table1[[#This Row],[Content.Column12]] * 1000, 0)</f>
        <v>273633</v>
      </c>
      <c r="J144" s="32">
        <f>ROUND(Table1[[#This Row],[Content.Column13]] * 1000, 0)</f>
        <v>820102</v>
      </c>
      <c r="K144" s="32">
        <f>ROUND(Table1[[#This Row],[Content.Column14]] * 1000, 0)</f>
        <v>865206</v>
      </c>
      <c r="L144" s="30">
        <f>ROUND(Table1[[#This Row],[Content.Column3]] * 1000, 0)</f>
        <v>761131</v>
      </c>
      <c r="M144" s="30">
        <f>ROUND(Table1[[#This Row],[Content.Column4]] * 1000, 0)</f>
        <v>409343</v>
      </c>
      <c r="N144" s="30">
        <f>ROUND(Table1[[#This Row],[Content.Column5]] * 1000, 0)</f>
        <v>1170473</v>
      </c>
      <c r="O144" s="30">
        <f>ROUND(Table1[[#This Row],[Content.Column6]] * 1000, 0)</f>
        <v>1261277</v>
      </c>
      <c r="P144" s="27"/>
      <c r="Q144" s="27"/>
      <c r="R144"/>
      <c r="S144"/>
    </row>
    <row r="145" spans="1:19" x14ac:dyDescent="0.3">
      <c r="A145">
        <v>2011</v>
      </c>
      <c r="B145" t="s">
        <v>117</v>
      </c>
      <c r="C145" t="s">
        <v>116</v>
      </c>
      <c r="D145" s="34">
        <f>ROUND(Table1[[#This Row],[Content.Column7]] * 1000, 0)</f>
        <v>407568</v>
      </c>
      <c r="E145" s="34">
        <f>ROUND(Table1[[#This Row],[Content.Column8]] * 1000, 0)</f>
        <v>233787</v>
      </c>
      <c r="F145" s="34">
        <f>ROUND(Table1[[#This Row],[Content.Column9]] * 1000, 0)</f>
        <v>641355</v>
      </c>
      <c r="G145" s="34">
        <f>ROUND(Table1[[#This Row],[Content.Column10]] * 1000, 0)</f>
        <v>682890</v>
      </c>
      <c r="H145" s="32">
        <f>ROUND(Table1[[#This Row],[Content.Column11]] * 1000, 0)</f>
        <v>1161572</v>
      </c>
      <c r="I145" s="32">
        <f>ROUND(Table1[[#This Row],[Content.Column12]] * 1000, 0)</f>
        <v>546859</v>
      </c>
      <c r="J145" s="32">
        <f>ROUND(Table1[[#This Row],[Content.Column13]] * 1000, 0)</f>
        <v>1708433</v>
      </c>
      <c r="K145" s="32">
        <f>ROUND(Table1[[#This Row],[Content.Column14]] * 1000, 0)</f>
        <v>1789674</v>
      </c>
      <c r="L145" s="30">
        <f>ROUND(Table1[[#This Row],[Content.Column3]] * 1000, 0)</f>
        <v>1569140</v>
      </c>
      <c r="M145" s="30">
        <f>ROUND(Table1[[#This Row],[Content.Column4]] * 1000, 0)</f>
        <v>780647</v>
      </c>
      <c r="N145" s="30">
        <f>ROUND(Table1[[#This Row],[Content.Column5]] * 1000, 0)</f>
        <v>2349788</v>
      </c>
      <c r="O145" s="30">
        <f>ROUND(Table1[[#This Row],[Content.Column6]] * 1000, 0)</f>
        <v>2472564</v>
      </c>
      <c r="P145" s="27"/>
      <c r="Q145" s="27"/>
      <c r="R145"/>
      <c r="S145"/>
    </row>
    <row r="146" spans="1:19" x14ac:dyDescent="0.3">
      <c r="A146">
        <v>2011</v>
      </c>
      <c r="B146" t="s">
        <v>119</v>
      </c>
      <c r="C146" t="s">
        <v>118</v>
      </c>
      <c r="D146" s="34">
        <f>ROUND(Table1[[#This Row],[Content.Column7]] * 1000, 0)</f>
        <v>2993291</v>
      </c>
      <c r="E146" s="34">
        <f>ROUND(Table1[[#This Row],[Content.Column8]] * 1000, 0)</f>
        <v>1884590</v>
      </c>
      <c r="F146" s="34">
        <f>ROUND(Table1[[#This Row],[Content.Column9]] * 1000, 0)</f>
        <v>4877882</v>
      </c>
      <c r="G146" s="34">
        <f>ROUND(Table1[[#This Row],[Content.Column10]] * 1000, 0)</f>
        <v>5061942</v>
      </c>
      <c r="H146" s="32">
        <f>ROUND(Table1[[#This Row],[Content.Column11]] * 1000, 0)</f>
        <v>12618509</v>
      </c>
      <c r="I146" s="32">
        <f>ROUND(Table1[[#This Row],[Content.Column12]] * 1000, 0)</f>
        <v>5576829</v>
      </c>
      <c r="J146" s="32">
        <f>ROUND(Table1[[#This Row],[Content.Column13]] * 1000, 0)</f>
        <v>18195338</v>
      </c>
      <c r="K146" s="32">
        <f>ROUND(Table1[[#This Row],[Content.Column14]] * 1000, 0)</f>
        <v>19000668</v>
      </c>
      <c r="L146" s="30">
        <f>ROUND(Table1[[#This Row],[Content.Column3]] * 1000, 0)</f>
        <v>15611800</v>
      </c>
      <c r="M146" s="30">
        <f>ROUND(Table1[[#This Row],[Content.Column4]] * 1000, 0)</f>
        <v>7461419</v>
      </c>
      <c r="N146" s="30">
        <f>ROUND(Table1[[#This Row],[Content.Column5]] * 1000, 0)</f>
        <v>23073219</v>
      </c>
      <c r="O146" s="30">
        <f>ROUND(Table1[[#This Row],[Content.Column6]] * 1000, 0)</f>
        <v>24062609</v>
      </c>
      <c r="P146" s="27"/>
      <c r="Q146" s="27"/>
      <c r="R146"/>
      <c r="S146"/>
    </row>
    <row r="147" spans="1:19" x14ac:dyDescent="0.3">
      <c r="A147">
        <v>2011</v>
      </c>
      <c r="B147" t="s">
        <v>121</v>
      </c>
      <c r="C147" t="s">
        <v>120</v>
      </c>
      <c r="D147" s="34">
        <f>ROUND(Table1[[#This Row],[Content.Column7]] * 1000, 0)</f>
        <v>3615520</v>
      </c>
      <c r="E147" s="34">
        <f>ROUND(Table1[[#This Row],[Content.Column8]] * 1000, 0)</f>
        <v>2254088</v>
      </c>
      <c r="F147" s="34">
        <f>ROUND(Table1[[#This Row],[Content.Column9]] * 1000, 0)</f>
        <v>5869608</v>
      </c>
      <c r="G147" s="34">
        <f>ROUND(Table1[[#This Row],[Content.Column10]] * 1000, 0)</f>
        <v>6140902</v>
      </c>
      <c r="H147" s="32">
        <f>ROUND(Table1[[#This Row],[Content.Column11]] * 1000, 0)</f>
        <v>14326551</v>
      </c>
      <c r="I147" s="32">
        <f>ROUND(Table1[[#This Row],[Content.Column12]] * 1000, 0)</f>
        <v>6397321</v>
      </c>
      <c r="J147" s="32">
        <f>ROUND(Table1[[#This Row],[Content.Column13]] * 1000, 0)</f>
        <v>20723872</v>
      </c>
      <c r="K147" s="32">
        <f>ROUND(Table1[[#This Row],[Content.Column14]] * 1000, 0)</f>
        <v>21655547</v>
      </c>
      <c r="L147" s="30">
        <f>ROUND(Table1[[#This Row],[Content.Column3]] * 1000, 0)</f>
        <v>17942071</v>
      </c>
      <c r="M147" s="30">
        <f>ROUND(Table1[[#This Row],[Content.Column4]] * 1000, 0)</f>
        <v>8651409</v>
      </c>
      <c r="N147" s="30">
        <f>ROUND(Table1[[#This Row],[Content.Column5]] * 1000, 0)</f>
        <v>26593480</v>
      </c>
      <c r="O147" s="30">
        <f>ROUND(Table1[[#This Row],[Content.Column6]] * 1000, 0)</f>
        <v>27796450</v>
      </c>
      <c r="P147" s="27"/>
      <c r="Q147" s="27"/>
      <c r="R147"/>
      <c r="S147"/>
    </row>
    <row r="148" spans="1:19" x14ac:dyDescent="0.3">
      <c r="A148">
        <v>2012</v>
      </c>
      <c r="B148" t="s">
        <v>27</v>
      </c>
      <c r="C148" t="s">
        <v>26</v>
      </c>
      <c r="D148" s="34">
        <f>ROUND(Table1[[#This Row],[Content.Column7]] * 1000, 0)</f>
        <v>18738</v>
      </c>
      <c r="E148" s="34">
        <f>ROUND(Table1[[#This Row],[Content.Column8]] * 1000, 0)</f>
        <v>2395</v>
      </c>
      <c r="F148" s="34">
        <f>ROUND(Table1[[#This Row],[Content.Column9]] * 1000, 0)</f>
        <v>21132</v>
      </c>
      <c r="G148" s="34">
        <f>ROUND(Table1[[#This Row],[Content.Column10]] * 1000, 0)</f>
        <v>21217</v>
      </c>
      <c r="H148" s="32">
        <f>ROUND(Table1[[#This Row],[Content.Column11]] * 1000, 0)</f>
        <v>318655</v>
      </c>
      <c r="I148" s="32">
        <f>ROUND(Table1[[#This Row],[Content.Column12]] * 1000, 0)</f>
        <v>44561</v>
      </c>
      <c r="J148" s="32">
        <f>ROUND(Table1[[#This Row],[Content.Column13]] * 1000, 0)</f>
        <v>363215</v>
      </c>
      <c r="K148" s="32">
        <f>ROUND(Table1[[#This Row],[Content.Column14]] * 1000, 0)</f>
        <v>379560</v>
      </c>
      <c r="L148" s="30">
        <f>ROUND(Table1[[#This Row],[Content.Column3]] * 1000, 0)</f>
        <v>337392</v>
      </c>
      <c r="M148" s="30">
        <f>ROUND(Table1[[#This Row],[Content.Column4]] * 1000, 0)</f>
        <v>46955</v>
      </c>
      <c r="N148" s="30">
        <f>ROUND(Table1[[#This Row],[Content.Column5]] * 1000, 0)</f>
        <v>384348</v>
      </c>
      <c r="O148" s="30">
        <f>ROUND(Table1[[#This Row],[Content.Column6]] * 1000, 0)</f>
        <v>400777</v>
      </c>
      <c r="P148" s="27"/>
      <c r="Q148" s="27"/>
      <c r="R148"/>
      <c r="S148"/>
    </row>
    <row r="149" spans="1:19" x14ac:dyDescent="0.3">
      <c r="A149">
        <v>2012</v>
      </c>
      <c r="B149" t="s">
        <v>29</v>
      </c>
      <c r="C149" t="s">
        <v>28</v>
      </c>
      <c r="D149" s="34">
        <f>ROUND(Table1[[#This Row],[Content.Column7]] * 1000, 0)</f>
        <v>4978</v>
      </c>
      <c r="E149" s="34">
        <f>ROUND(Table1[[#This Row],[Content.Column8]] * 1000, 0)</f>
        <v>5950</v>
      </c>
      <c r="F149" s="34">
        <f>ROUND(Table1[[#This Row],[Content.Column9]] * 1000, 0)</f>
        <v>10929</v>
      </c>
      <c r="G149" s="34">
        <f>ROUND(Table1[[#This Row],[Content.Column10]] * 1000, 0)</f>
        <v>10931</v>
      </c>
      <c r="H149" s="32">
        <f>ROUND(Table1[[#This Row],[Content.Column11]] * 1000, 0)</f>
        <v>27428</v>
      </c>
      <c r="I149" s="32">
        <f>ROUND(Table1[[#This Row],[Content.Column12]] * 1000, 0)</f>
        <v>9822</v>
      </c>
      <c r="J149" s="32">
        <f>ROUND(Table1[[#This Row],[Content.Column13]] * 1000, 0)</f>
        <v>37251</v>
      </c>
      <c r="K149" s="32">
        <f>ROUND(Table1[[#This Row],[Content.Column14]] * 1000, 0)</f>
        <v>38357</v>
      </c>
      <c r="L149" s="30">
        <f>ROUND(Table1[[#This Row],[Content.Column3]] * 1000, 0)</f>
        <v>32407</v>
      </c>
      <c r="M149" s="30">
        <f>ROUND(Table1[[#This Row],[Content.Column4]] * 1000, 0)</f>
        <v>15773</v>
      </c>
      <c r="N149" s="30">
        <f>ROUND(Table1[[#This Row],[Content.Column5]] * 1000, 0)</f>
        <v>48180</v>
      </c>
      <c r="O149" s="30">
        <f>ROUND(Table1[[#This Row],[Content.Column6]] * 1000, 0)</f>
        <v>49288</v>
      </c>
      <c r="P149" s="27"/>
      <c r="Q149" s="27"/>
      <c r="R149"/>
      <c r="S149"/>
    </row>
    <row r="150" spans="1:19" x14ac:dyDescent="0.3">
      <c r="A150">
        <v>2012</v>
      </c>
      <c r="B150" t="s">
        <v>31</v>
      </c>
      <c r="C150" t="s">
        <v>30</v>
      </c>
      <c r="D150" s="34">
        <f>ROUND(Table1[[#This Row],[Content.Column7]] * 1000, 0)</f>
        <v>15995</v>
      </c>
      <c r="E150" s="34">
        <f>ROUND(Table1[[#This Row],[Content.Column8]] * 1000, 0)</f>
        <v>8188</v>
      </c>
      <c r="F150" s="34">
        <f>ROUND(Table1[[#This Row],[Content.Column9]] * 1000, 0)</f>
        <v>24183</v>
      </c>
      <c r="G150" s="34">
        <f>ROUND(Table1[[#This Row],[Content.Column10]] * 1000, 0)</f>
        <v>24342</v>
      </c>
      <c r="H150" s="32">
        <f>ROUND(Table1[[#This Row],[Content.Column11]] * 1000, 0)</f>
        <v>58109</v>
      </c>
      <c r="I150" s="32">
        <f>ROUND(Table1[[#This Row],[Content.Column12]] * 1000, 0)</f>
        <v>32860</v>
      </c>
      <c r="J150" s="32">
        <f>ROUND(Table1[[#This Row],[Content.Column13]] * 1000, 0)</f>
        <v>90969</v>
      </c>
      <c r="K150" s="32">
        <f>ROUND(Table1[[#This Row],[Content.Column14]] * 1000, 0)</f>
        <v>95538</v>
      </c>
      <c r="L150" s="30">
        <f>ROUND(Table1[[#This Row],[Content.Column3]] * 1000, 0)</f>
        <v>74104</v>
      </c>
      <c r="M150" s="30">
        <f>ROUND(Table1[[#This Row],[Content.Column4]] * 1000, 0)</f>
        <v>41048</v>
      </c>
      <c r="N150" s="30">
        <f>ROUND(Table1[[#This Row],[Content.Column5]] * 1000, 0)</f>
        <v>115152</v>
      </c>
      <c r="O150" s="30">
        <f>ROUND(Table1[[#This Row],[Content.Column6]] * 1000, 0)</f>
        <v>119881</v>
      </c>
      <c r="P150" s="27"/>
      <c r="Q150" s="27"/>
      <c r="R150"/>
      <c r="S150"/>
    </row>
    <row r="151" spans="1:19" x14ac:dyDescent="0.3">
      <c r="A151">
        <v>2012</v>
      </c>
      <c r="B151" t="s">
        <v>33</v>
      </c>
      <c r="C151" t="s">
        <v>32</v>
      </c>
      <c r="D151" s="34">
        <f>ROUND(Table1[[#This Row],[Content.Column7]] * 1000, 0)</f>
        <v>7209</v>
      </c>
      <c r="E151" s="34">
        <f>ROUND(Table1[[#This Row],[Content.Column8]] * 1000, 0)</f>
        <v>4942</v>
      </c>
      <c r="F151" s="34">
        <f>ROUND(Table1[[#This Row],[Content.Column9]] * 1000, 0)</f>
        <v>12151</v>
      </c>
      <c r="G151" s="34">
        <f>ROUND(Table1[[#This Row],[Content.Column10]] * 1000, 0)</f>
        <v>12172</v>
      </c>
      <c r="H151" s="32">
        <f>ROUND(Table1[[#This Row],[Content.Column11]] * 1000, 0)</f>
        <v>33661</v>
      </c>
      <c r="I151" s="32">
        <f>ROUND(Table1[[#This Row],[Content.Column12]] * 1000, 0)</f>
        <v>19686</v>
      </c>
      <c r="J151" s="32">
        <f>ROUND(Table1[[#This Row],[Content.Column13]] * 1000, 0)</f>
        <v>53347</v>
      </c>
      <c r="K151" s="32">
        <f>ROUND(Table1[[#This Row],[Content.Column14]] * 1000, 0)</f>
        <v>55395</v>
      </c>
      <c r="L151" s="30">
        <f>ROUND(Table1[[#This Row],[Content.Column3]] * 1000, 0)</f>
        <v>40871</v>
      </c>
      <c r="M151" s="30">
        <f>ROUND(Table1[[#This Row],[Content.Column4]] * 1000, 0)</f>
        <v>24628</v>
      </c>
      <c r="N151" s="30">
        <f>ROUND(Table1[[#This Row],[Content.Column5]] * 1000, 0)</f>
        <v>65498</v>
      </c>
      <c r="O151" s="30">
        <f>ROUND(Table1[[#This Row],[Content.Column6]] * 1000, 0)</f>
        <v>67568</v>
      </c>
      <c r="P151" s="27"/>
      <c r="Q151" s="27"/>
      <c r="R151"/>
      <c r="S151"/>
    </row>
    <row r="152" spans="1:19" x14ac:dyDescent="0.3">
      <c r="A152">
        <v>2012</v>
      </c>
      <c r="B152" t="s">
        <v>35</v>
      </c>
      <c r="C152" t="s">
        <v>34</v>
      </c>
      <c r="D152" s="34">
        <f>ROUND(Table1[[#This Row],[Content.Column7]] * 1000, 0)</f>
        <v>14424</v>
      </c>
      <c r="E152" s="34">
        <f>ROUND(Table1[[#This Row],[Content.Column8]] * 1000, 0)</f>
        <v>6493</v>
      </c>
      <c r="F152" s="34">
        <f>ROUND(Table1[[#This Row],[Content.Column9]] * 1000, 0)</f>
        <v>20916</v>
      </c>
      <c r="G152" s="34">
        <f>ROUND(Table1[[#This Row],[Content.Column10]] * 1000, 0)</f>
        <v>20932</v>
      </c>
      <c r="H152" s="32">
        <f>ROUND(Table1[[#This Row],[Content.Column11]] * 1000, 0)</f>
        <v>58331</v>
      </c>
      <c r="I152" s="32">
        <f>ROUND(Table1[[#This Row],[Content.Column12]] * 1000, 0)</f>
        <v>27219</v>
      </c>
      <c r="J152" s="32">
        <f>ROUND(Table1[[#This Row],[Content.Column13]] * 1000, 0)</f>
        <v>85550</v>
      </c>
      <c r="K152" s="32">
        <f>ROUND(Table1[[#This Row],[Content.Column14]] * 1000, 0)</f>
        <v>88574</v>
      </c>
      <c r="L152" s="30">
        <f>ROUND(Table1[[#This Row],[Content.Column3]] * 1000, 0)</f>
        <v>72755</v>
      </c>
      <c r="M152" s="30">
        <f>ROUND(Table1[[#This Row],[Content.Column4]] * 1000, 0)</f>
        <v>33711</v>
      </c>
      <c r="N152" s="30">
        <f>ROUND(Table1[[#This Row],[Content.Column5]] * 1000, 0)</f>
        <v>106466</v>
      </c>
      <c r="O152" s="30">
        <f>ROUND(Table1[[#This Row],[Content.Column6]] * 1000, 0)</f>
        <v>109506</v>
      </c>
      <c r="P152" s="27"/>
      <c r="Q152" s="27"/>
      <c r="R152"/>
      <c r="S152"/>
    </row>
    <row r="153" spans="1:19" x14ac:dyDescent="0.3">
      <c r="A153">
        <v>2012</v>
      </c>
      <c r="B153" t="s">
        <v>37</v>
      </c>
      <c r="C153" t="s">
        <v>36</v>
      </c>
      <c r="D153" s="34">
        <f>ROUND(Table1[[#This Row],[Content.Column7]] * 1000, 0)</f>
        <v>10781</v>
      </c>
      <c r="E153" s="34">
        <f>ROUND(Table1[[#This Row],[Content.Column8]] * 1000, 0)</f>
        <v>7978</v>
      </c>
      <c r="F153" s="34">
        <f>ROUND(Table1[[#This Row],[Content.Column9]] * 1000, 0)</f>
        <v>18759</v>
      </c>
      <c r="G153" s="34">
        <f>ROUND(Table1[[#This Row],[Content.Column10]] * 1000, 0)</f>
        <v>18779</v>
      </c>
      <c r="H153" s="32">
        <f>ROUND(Table1[[#This Row],[Content.Column11]] * 1000, 0)</f>
        <v>48849</v>
      </c>
      <c r="I153" s="32">
        <f>ROUND(Table1[[#This Row],[Content.Column12]] * 1000, 0)</f>
        <v>30160</v>
      </c>
      <c r="J153" s="32">
        <f>ROUND(Table1[[#This Row],[Content.Column13]] * 1000, 0)</f>
        <v>79009</v>
      </c>
      <c r="K153" s="32">
        <f>ROUND(Table1[[#This Row],[Content.Column14]] * 1000, 0)</f>
        <v>83167</v>
      </c>
      <c r="L153" s="30">
        <f>ROUND(Table1[[#This Row],[Content.Column3]] * 1000, 0)</f>
        <v>59630</v>
      </c>
      <c r="M153" s="30">
        <f>ROUND(Table1[[#This Row],[Content.Column4]] * 1000, 0)</f>
        <v>38138</v>
      </c>
      <c r="N153" s="30">
        <f>ROUND(Table1[[#This Row],[Content.Column5]] * 1000, 0)</f>
        <v>97768</v>
      </c>
      <c r="O153" s="30">
        <f>ROUND(Table1[[#This Row],[Content.Column6]] * 1000, 0)</f>
        <v>101946</v>
      </c>
      <c r="P153" s="27"/>
      <c r="Q153" s="27"/>
      <c r="R153"/>
      <c r="S153"/>
    </row>
    <row r="154" spans="1:19" x14ac:dyDescent="0.3">
      <c r="A154">
        <v>2012</v>
      </c>
      <c r="B154" t="s">
        <v>39</v>
      </c>
      <c r="C154" t="s">
        <v>38</v>
      </c>
      <c r="D154" s="34">
        <f>ROUND(Table1[[#This Row],[Content.Column7]] * 1000, 0)</f>
        <v>34725</v>
      </c>
      <c r="E154" s="34">
        <f>ROUND(Table1[[#This Row],[Content.Column8]] * 1000, 0)</f>
        <v>7891</v>
      </c>
      <c r="F154" s="34">
        <f>ROUND(Table1[[#This Row],[Content.Column9]] * 1000, 0)</f>
        <v>42616</v>
      </c>
      <c r="G154" s="34">
        <f>ROUND(Table1[[#This Row],[Content.Column10]] * 1000, 0)</f>
        <v>42683</v>
      </c>
      <c r="H154" s="32">
        <f>ROUND(Table1[[#This Row],[Content.Column11]] * 1000, 0)</f>
        <v>194566</v>
      </c>
      <c r="I154" s="32">
        <f>ROUND(Table1[[#This Row],[Content.Column12]] * 1000, 0)</f>
        <v>66594</v>
      </c>
      <c r="J154" s="32">
        <f>ROUND(Table1[[#This Row],[Content.Column13]] * 1000, 0)</f>
        <v>261160</v>
      </c>
      <c r="K154" s="32">
        <f>ROUND(Table1[[#This Row],[Content.Column14]] * 1000, 0)</f>
        <v>273261</v>
      </c>
      <c r="L154" s="30">
        <f>ROUND(Table1[[#This Row],[Content.Column3]] * 1000, 0)</f>
        <v>229291</v>
      </c>
      <c r="M154" s="30">
        <f>ROUND(Table1[[#This Row],[Content.Column4]] * 1000, 0)</f>
        <v>74485</v>
      </c>
      <c r="N154" s="30">
        <f>ROUND(Table1[[#This Row],[Content.Column5]] * 1000, 0)</f>
        <v>303776</v>
      </c>
      <c r="O154" s="30">
        <f>ROUND(Table1[[#This Row],[Content.Column6]] * 1000, 0)</f>
        <v>315944</v>
      </c>
      <c r="P154" s="27"/>
      <c r="Q154" s="27"/>
      <c r="R154"/>
      <c r="S154"/>
    </row>
    <row r="155" spans="1:19" x14ac:dyDescent="0.3">
      <c r="A155">
        <v>2012</v>
      </c>
      <c r="B155" t="s">
        <v>41</v>
      </c>
      <c r="C155" t="s">
        <v>40</v>
      </c>
      <c r="D155" s="34">
        <f>ROUND(Table1[[#This Row],[Content.Column7]] * 1000, 0)</f>
        <v>16664</v>
      </c>
      <c r="E155" s="34">
        <f>ROUND(Table1[[#This Row],[Content.Column8]] * 1000, 0)</f>
        <v>8953</v>
      </c>
      <c r="F155" s="34">
        <f>ROUND(Table1[[#This Row],[Content.Column9]] * 1000, 0)</f>
        <v>25618</v>
      </c>
      <c r="G155" s="34">
        <f>ROUND(Table1[[#This Row],[Content.Column10]] * 1000, 0)</f>
        <v>25648</v>
      </c>
      <c r="H155" s="32">
        <f>ROUND(Table1[[#This Row],[Content.Column11]] * 1000, 0)</f>
        <v>56608</v>
      </c>
      <c r="I155" s="32">
        <f>ROUND(Table1[[#This Row],[Content.Column12]] * 1000, 0)</f>
        <v>29957</v>
      </c>
      <c r="J155" s="32">
        <f>ROUND(Table1[[#This Row],[Content.Column13]] * 1000, 0)</f>
        <v>86565</v>
      </c>
      <c r="K155" s="32">
        <f>ROUND(Table1[[#This Row],[Content.Column14]] * 1000, 0)</f>
        <v>90213</v>
      </c>
      <c r="L155" s="30">
        <f>ROUND(Table1[[#This Row],[Content.Column3]] * 1000, 0)</f>
        <v>73272</v>
      </c>
      <c r="M155" s="30">
        <f>ROUND(Table1[[#This Row],[Content.Column4]] * 1000, 0)</f>
        <v>38911</v>
      </c>
      <c r="N155" s="30">
        <f>ROUND(Table1[[#This Row],[Content.Column5]] * 1000, 0)</f>
        <v>112183</v>
      </c>
      <c r="O155" s="30">
        <f>ROUND(Table1[[#This Row],[Content.Column6]] * 1000, 0)</f>
        <v>115861</v>
      </c>
      <c r="P155" s="27"/>
      <c r="Q155" s="27"/>
      <c r="R155"/>
      <c r="S155"/>
    </row>
    <row r="156" spans="1:19" x14ac:dyDescent="0.3">
      <c r="A156">
        <v>2012</v>
      </c>
      <c r="B156" t="s">
        <v>43</v>
      </c>
      <c r="C156" t="s">
        <v>42</v>
      </c>
      <c r="D156" s="34">
        <f>ROUND(Table1[[#This Row],[Content.Column7]] * 1000, 0)</f>
        <v>13296</v>
      </c>
      <c r="E156" s="34">
        <f>ROUND(Table1[[#This Row],[Content.Column8]] * 1000, 0)</f>
        <v>6391</v>
      </c>
      <c r="F156" s="34">
        <f>ROUND(Table1[[#This Row],[Content.Column9]] * 1000, 0)</f>
        <v>19687</v>
      </c>
      <c r="G156" s="34">
        <f>ROUND(Table1[[#This Row],[Content.Column10]] * 1000, 0)</f>
        <v>19704</v>
      </c>
      <c r="H156" s="32">
        <f>ROUND(Table1[[#This Row],[Content.Column11]] * 1000, 0)</f>
        <v>71797</v>
      </c>
      <c r="I156" s="32">
        <f>ROUND(Table1[[#This Row],[Content.Column12]] * 1000, 0)</f>
        <v>28215</v>
      </c>
      <c r="J156" s="32">
        <f>ROUND(Table1[[#This Row],[Content.Column13]] * 1000, 0)</f>
        <v>100013</v>
      </c>
      <c r="K156" s="32">
        <f>ROUND(Table1[[#This Row],[Content.Column14]] * 1000, 0)</f>
        <v>103393</v>
      </c>
      <c r="L156" s="30">
        <f>ROUND(Table1[[#This Row],[Content.Column3]] * 1000, 0)</f>
        <v>85093</v>
      </c>
      <c r="M156" s="30">
        <f>ROUND(Table1[[#This Row],[Content.Column4]] * 1000, 0)</f>
        <v>34607</v>
      </c>
      <c r="N156" s="30">
        <f>ROUND(Table1[[#This Row],[Content.Column5]] * 1000, 0)</f>
        <v>119700</v>
      </c>
      <c r="O156" s="30">
        <f>ROUND(Table1[[#This Row],[Content.Column6]] * 1000, 0)</f>
        <v>123097</v>
      </c>
      <c r="P156" s="27"/>
      <c r="Q156" s="27"/>
      <c r="R156"/>
      <c r="S156"/>
    </row>
    <row r="157" spans="1:19" x14ac:dyDescent="0.3">
      <c r="A157">
        <v>2012</v>
      </c>
      <c r="B157" t="s">
        <v>45</v>
      </c>
      <c r="C157" t="s">
        <v>44</v>
      </c>
      <c r="D157" s="34">
        <f>ROUND(Table1[[#This Row],[Content.Column7]] * 1000, 0)</f>
        <v>15433</v>
      </c>
      <c r="E157" s="34">
        <f>ROUND(Table1[[#This Row],[Content.Column8]] * 1000, 0)</f>
        <v>7652</v>
      </c>
      <c r="F157" s="34">
        <f>ROUND(Table1[[#This Row],[Content.Column9]] * 1000, 0)</f>
        <v>23085</v>
      </c>
      <c r="G157" s="34">
        <f>ROUND(Table1[[#This Row],[Content.Column10]] * 1000, 0)</f>
        <v>23094</v>
      </c>
      <c r="H157" s="32">
        <f>ROUND(Table1[[#This Row],[Content.Column11]] * 1000, 0)</f>
        <v>49320</v>
      </c>
      <c r="I157" s="32">
        <f>ROUND(Table1[[#This Row],[Content.Column12]] * 1000, 0)</f>
        <v>25283</v>
      </c>
      <c r="J157" s="32">
        <f>ROUND(Table1[[#This Row],[Content.Column13]] * 1000, 0)</f>
        <v>74603</v>
      </c>
      <c r="K157" s="32">
        <f>ROUND(Table1[[#This Row],[Content.Column14]] * 1000, 0)</f>
        <v>76960</v>
      </c>
      <c r="L157" s="30">
        <f>ROUND(Table1[[#This Row],[Content.Column3]] * 1000, 0)</f>
        <v>64753</v>
      </c>
      <c r="M157" s="30">
        <f>ROUND(Table1[[#This Row],[Content.Column4]] * 1000, 0)</f>
        <v>32934</v>
      </c>
      <c r="N157" s="30">
        <f>ROUND(Table1[[#This Row],[Content.Column5]] * 1000, 0)</f>
        <v>97688</v>
      </c>
      <c r="O157" s="30">
        <f>ROUND(Table1[[#This Row],[Content.Column6]] * 1000, 0)</f>
        <v>100054</v>
      </c>
      <c r="P157" s="27"/>
      <c r="Q157" s="27"/>
      <c r="R157"/>
      <c r="S157"/>
    </row>
    <row r="158" spans="1:19" x14ac:dyDescent="0.3">
      <c r="A158">
        <v>2012</v>
      </c>
      <c r="B158" t="s">
        <v>47</v>
      </c>
      <c r="C158" t="s">
        <v>46</v>
      </c>
      <c r="D158" s="34">
        <f>ROUND(Table1[[#This Row],[Content.Column7]] * 1000, 0)</f>
        <v>12335</v>
      </c>
      <c r="E158" s="34">
        <f>ROUND(Table1[[#This Row],[Content.Column8]] * 1000, 0)</f>
        <v>7381</v>
      </c>
      <c r="F158" s="34">
        <f>ROUND(Table1[[#This Row],[Content.Column9]] * 1000, 0)</f>
        <v>19716</v>
      </c>
      <c r="G158" s="34">
        <f>ROUND(Table1[[#This Row],[Content.Column10]] * 1000, 0)</f>
        <v>19719</v>
      </c>
      <c r="H158" s="32">
        <f>ROUND(Table1[[#This Row],[Content.Column11]] * 1000, 0)</f>
        <v>30989</v>
      </c>
      <c r="I158" s="32">
        <f>ROUND(Table1[[#This Row],[Content.Column12]] * 1000, 0)</f>
        <v>18753</v>
      </c>
      <c r="J158" s="32">
        <f>ROUND(Table1[[#This Row],[Content.Column13]] * 1000, 0)</f>
        <v>49742</v>
      </c>
      <c r="K158" s="32">
        <f>ROUND(Table1[[#This Row],[Content.Column14]] * 1000, 0)</f>
        <v>51657</v>
      </c>
      <c r="L158" s="30">
        <f>ROUND(Table1[[#This Row],[Content.Column3]] * 1000, 0)</f>
        <v>43324</v>
      </c>
      <c r="M158" s="30">
        <f>ROUND(Table1[[#This Row],[Content.Column4]] * 1000, 0)</f>
        <v>26134</v>
      </c>
      <c r="N158" s="30">
        <f>ROUND(Table1[[#This Row],[Content.Column5]] * 1000, 0)</f>
        <v>69458</v>
      </c>
      <c r="O158" s="30">
        <f>ROUND(Table1[[#This Row],[Content.Column6]] * 1000, 0)</f>
        <v>71376</v>
      </c>
      <c r="P158" s="27"/>
      <c r="Q158" s="27"/>
      <c r="R158"/>
      <c r="S158"/>
    </row>
    <row r="159" spans="1:19" x14ac:dyDescent="0.3">
      <c r="A159">
        <v>2012</v>
      </c>
      <c r="B159" t="s">
        <v>49</v>
      </c>
      <c r="C159" t="s">
        <v>48</v>
      </c>
      <c r="D159" s="34">
        <f>ROUND(Table1[[#This Row],[Content.Column7]] * 1000, 0)</f>
        <v>11820</v>
      </c>
      <c r="E159" s="34">
        <f>ROUND(Table1[[#This Row],[Content.Column8]] * 1000, 0)</f>
        <v>5301</v>
      </c>
      <c r="F159" s="34">
        <f>ROUND(Table1[[#This Row],[Content.Column9]] * 1000, 0)</f>
        <v>17121</v>
      </c>
      <c r="G159" s="34">
        <f>ROUND(Table1[[#This Row],[Content.Column10]] * 1000, 0)</f>
        <v>17245</v>
      </c>
      <c r="H159" s="32">
        <f>ROUND(Table1[[#This Row],[Content.Column11]] * 1000, 0)</f>
        <v>51221</v>
      </c>
      <c r="I159" s="32">
        <f>ROUND(Table1[[#This Row],[Content.Column12]] * 1000, 0)</f>
        <v>22002</v>
      </c>
      <c r="J159" s="32">
        <f>ROUND(Table1[[#This Row],[Content.Column13]] * 1000, 0)</f>
        <v>73223</v>
      </c>
      <c r="K159" s="32">
        <f>ROUND(Table1[[#This Row],[Content.Column14]] * 1000, 0)</f>
        <v>76637</v>
      </c>
      <c r="L159" s="30">
        <f>ROUND(Table1[[#This Row],[Content.Column3]] * 1000, 0)</f>
        <v>63041</v>
      </c>
      <c r="M159" s="30">
        <f>ROUND(Table1[[#This Row],[Content.Column4]] * 1000, 0)</f>
        <v>27303</v>
      </c>
      <c r="N159" s="30">
        <f>ROUND(Table1[[#This Row],[Content.Column5]] * 1000, 0)</f>
        <v>90344</v>
      </c>
      <c r="O159" s="30">
        <f>ROUND(Table1[[#This Row],[Content.Column6]] * 1000, 0)</f>
        <v>93882</v>
      </c>
      <c r="P159" s="27"/>
      <c r="Q159" s="27"/>
      <c r="R159"/>
      <c r="S159"/>
    </row>
    <row r="160" spans="1:19" x14ac:dyDescent="0.3">
      <c r="A160">
        <v>2012</v>
      </c>
      <c r="B160" t="s">
        <v>51</v>
      </c>
      <c r="C160" t="s">
        <v>50</v>
      </c>
      <c r="D160" s="34">
        <f>ROUND(Table1[[#This Row],[Content.Column7]] * 1000, 0)</f>
        <v>22564</v>
      </c>
      <c r="E160" s="34">
        <f>ROUND(Table1[[#This Row],[Content.Column8]] * 1000, 0)</f>
        <v>3697</v>
      </c>
      <c r="F160" s="34">
        <f>ROUND(Table1[[#This Row],[Content.Column9]] * 1000, 0)</f>
        <v>26260</v>
      </c>
      <c r="G160" s="34">
        <f>ROUND(Table1[[#This Row],[Content.Column10]] * 1000, 0)</f>
        <v>26353</v>
      </c>
      <c r="H160" s="32">
        <f>ROUND(Table1[[#This Row],[Content.Column11]] * 1000, 0)</f>
        <v>70503</v>
      </c>
      <c r="I160" s="32">
        <f>ROUND(Table1[[#This Row],[Content.Column12]] * 1000, 0)</f>
        <v>30381</v>
      </c>
      <c r="J160" s="32">
        <f>ROUND(Table1[[#This Row],[Content.Column13]] * 1000, 0)</f>
        <v>100884</v>
      </c>
      <c r="K160" s="32">
        <f>ROUND(Table1[[#This Row],[Content.Column14]] * 1000, 0)</f>
        <v>103908</v>
      </c>
      <c r="L160" s="30">
        <f>ROUND(Table1[[#This Row],[Content.Column3]] * 1000, 0)</f>
        <v>93066</v>
      </c>
      <c r="M160" s="30">
        <f>ROUND(Table1[[#This Row],[Content.Column4]] * 1000, 0)</f>
        <v>34077</v>
      </c>
      <c r="N160" s="30">
        <f>ROUND(Table1[[#This Row],[Content.Column5]] * 1000, 0)</f>
        <v>127144</v>
      </c>
      <c r="O160" s="30">
        <f>ROUND(Table1[[#This Row],[Content.Column6]] * 1000, 0)</f>
        <v>130260</v>
      </c>
      <c r="P160" s="27"/>
      <c r="Q160" s="27"/>
      <c r="R160"/>
      <c r="S160"/>
    </row>
    <row r="161" spans="1:19" x14ac:dyDescent="0.3">
      <c r="A161">
        <v>2012</v>
      </c>
      <c r="B161" t="s">
        <v>53</v>
      </c>
      <c r="C161" t="s">
        <v>52</v>
      </c>
      <c r="D161" s="34">
        <f>ROUND(Table1[[#This Row],[Content.Column7]] * 1000, 0)</f>
        <v>9256</v>
      </c>
      <c r="E161" s="34">
        <f>ROUND(Table1[[#This Row],[Content.Column8]] * 1000, 0)</f>
        <v>3243</v>
      </c>
      <c r="F161" s="34">
        <f>ROUND(Table1[[#This Row],[Content.Column9]] * 1000, 0)</f>
        <v>12499</v>
      </c>
      <c r="G161" s="34">
        <f>ROUND(Table1[[#This Row],[Content.Column10]] * 1000, 0)</f>
        <v>12502</v>
      </c>
      <c r="H161" s="32">
        <f>ROUND(Table1[[#This Row],[Content.Column11]] * 1000, 0)</f>
        <v>30817</v>
      </c>
      <c r="I161" s="32">
        <f>ROUND(Table1[[#This Row],[Content.Column12]] * 1000, 0)</f>
        <v>17941</v>
      </c>
      <c r="J161" s="32">
        <f>ROUND(Table1[[#This Row],[Content.Column13]] * 1000, 0)</f>
        <v>48757</v>
      </c>
      <c r="K161" s="32">
        <f>ROUND(Table1[[#This Row],[Content.Column14]] * 1000, 0)</f>
        <v>51197</v>
      </c>
      <c r="L161" s="30">
        <f>ROUND(Table1[[#This Row],[Content.Column3]] * 1000, 0)</f>
        <v>40073</v>
      </c>
      <c r="M161" s="30">
        <f>ROUND(Table1[[#This Row],[Content.Column4]] * 1000, 0)</f>
        <v>21184</v>
      </c>
      <c r="N161" s="30">
        <f>ROUND(Table1[[#This Row],[Content.Column5]] * 1000, 0)</f>
        <v>61256</v>
      </c>
      <c r="O161" s="30">
        <f>ROUND(Table1[[#This Row],[Content.Column6]] * 1000, 0)</f>
        <v>63699</v>
      </c>
      <c r="P161" s="27"/>
      <c r="Q161" s="27"/>
      <c r="R161"/>
      <c r="S161"/>
    </row>
    <row r="162" spans="1:19" x14ac:dyDescent="0.3">
      <c r="A162">
        <v>2012</v>
      </c>
      <c r="B162" t="s">
        <v>55</v>
      </c>
      <c r="C162" t="s">
        <v>54</v>
      </c>
      <c r="D162" s="34">
        <f>ROUND(Table1[[#This Row],[Content.Column7]] * 1000, 0)</f>
        <v>6386</v>
      </c>
      <c r="E162" s="34">
        <f>ROUND(Table1[[#This Row],[Content.Column8]] * 1000, 0)</f>
        <v>4908</v>
      </c>
      <c r="F162" s="34">
        <f>ROUND(Table1[[#This Row],[Content.Column9]] * 1000, 0)</f>
        <v>11294</v>
      </c>
      <c r="G162" s="34">
        <f>ROUND(Table1[[#This Row],[Content.Column10]] * 1000, 0)</f>
        <v>11304</v>
      </c>
      <c r="H162" s="32">
        <f>ROUND(Table1[[#This Row],[Content.Column11]] * 1000, 0)</f>
        <v>36687</v>
      </c>
      <c r="I162" s="32">
        <f>ROUND(Table1[[#This Row],[Content.Column12]] * 1000, 0)</f>
        <v>17635</v>
      </c>
      <c r="J162" s="32">
        <f>ROUND(Table1[[#This Row],[Content.Column13]] * 1000, 0)</f>
        <v>54322</v>
      </c>
      <c r="K162" s="32">
        <f>ROUND(Table1[[#This Row],[Content.Column14]] * 1000, 0)</f>
        <v>56756</v>
      </c>
      <c r="L162" s="30">
        <f>ROUND(Table1[[#This Row],[Content.Column3]] * 1000, 0)</f>
        <v>43073</v>
      </c>
      <c r="M162" s="30">
        <f>ROUND(Table1[[#This Row],[Content.Column4]] * 1000, 0)</f>
        <v>22543</v>
      </c>
      <c r="N162" s="30">
        <f>ROUND(Table1[[#This Row],[Content.Column5]] * 1000, 0)</f>
        <v>65616</v>
      </c>
      <c r="O162" s="30">
        <f>ROUND(Table1[[#This Row],[Content.Column6]] * 1000, 0)</f>
        <v>68060</v>
      </c>
      <c r="P162" s="27"/>
      <c r="Q162" s="27"/>
      <c r="R162"/>
      <c r="S162"/>
    </row>
    <row r="163" spans="1:19" x14ac:dyDescent="0.3">
      <c r="A163">
        <v>2012</v>
      </c>
      <c r="B163" t="s">
        <v>57</v>
      </c>
      <c r="C163" t="s">
        <v>56</v>
      </c>
      <c r="D163" s="34">
        <f>ROUND(Table1[[#This Row],[Content.Column7]] * 1000, 0)</f>
        <v>10973</v>
      </c>
      <c r="E163" s="34">
        <f>ROUND(Table1[[#This Row],[Content.Column8]] * 1000, 0)</f>
        <v>6350</v>
      </c>
      <c r="F163" s="34">
        <f>ROUND(Table1[[#This Row],[Content.Column9]] * 1000, 0)</f>
        <v>17324</v>
      </c>
      <c r="G163" s="34">
        <f>ROUND(Table1[[#This Row],[Content.Column10]] * 1000, 0)</f>
        <v>17330</v>
      </c>
      <c r="H163" s="32">
        <f>ROUND(Table1[[#This Row],[Content.Column11]] * 1000, 0)</f>
        <v>37194</v>
      </c>
      <c r="I163" s="32">
        <f>ROUND(Table1[[#This Row],[Content.Column12]] * 1000, 0)</f>
        <v>19587</v>
      </c>
      <c r="J163" s="32">
        <f>ROUND(Table1[[#This Row],[Content.Column13]] * 1000, 0)</f>
        <v>56781</v>
      </c>
      <c r="K163" s="32">
        <f>ROUND(Table1[[#This Row],[Content.Column14]] * 1000, 0)</f>
        <v>59011</v>
      </c>
      <c r="L163" s="30">
        <f>ROUND(Table1[[#This Row],[Content.Column3]] * 1000, 0)</f>
        <v>48167</v>
      </c>
      <c r="M163" s="30">
        <f>ROUND(Table1[[#This Row],[Content.Column4]] * 1000, 0)</f>
        <v>25938</v>
      </c>
      <c r="N163" s="30">
        <f>ROUND(Table1[[#This Row],[Content.Column5]] * 1000, 0)</f>
        <v>74105</v>
      </c>
      <c r="O163" s="30">
        <f>ROUND(Table1[[#This Row],[Content.Column6]] * 1000, 0)</f>
        <v>76342</v>
      </c>
      <c r="P163" s="27"/>
      <c r="Q163" s="27"/>
      <c r="R163"/>
      <c r="S163"/>
    </row>
    <row r="164" spans="1:19" x14ac:dyDescent="0.3">
      <c r="A164">
        <v>2012</v>
      </c>
      <c r="B164" t="s">
        <v>59</v>
      </c>
      <c r="C164" t="s">
        <v>58</v>
      </c>
      <c r="D164" s="34">
        <f>ROUND(Table1[[#This Row],[Content.Column7]] * 1000, 0)</f>
        <v>13521</v>
      </c>
      <c r="E164" s="34">
        <f>ROUND(Table1[[#This Row],[Content.Column8]] * 1000, 0)</f>
        <v>7062</v>
      </c>
      <c r="F164" s="34">
        <f>ROUND(Table1[[#This Row],[Content.Column9]] * 1000, 0)</f>
        <v>20583</v>
      </c>
      <c r="G164" s="34">
        <f>ROUND(Table1[[#This Row],[Content.Column10]] * 1000, 0)</f>
        <v>20588</v>
      </c>
      <c r="H164" s="32">
        <f>ROUND(Table1[[#This Row],[Content.Column11]] * 1000, 0)</f>
        <v>126712</v>
      </c>
      <c r="I164" s="32">
        <f>ROUND(Table1[[#This Row],[Content.Column12]] * 1000, 0)</f>
        <v>43801</v>
      </c>
      <c r="J164" s="32">
        <f>ROUND(Table1[[#This Row],[Content.Column13]] * 1000, 0)</f>
        <v>170513</v>
      </c>
      <c r="K164" s="32">
        <f>ROUND(Table1[[#This Row],[Content.Column14]] * 1000, 0)</f>
        <v>173211</v>
      </c>
      <c r="L164" s="30">
        <f>ROUND(Table1[[#This Row],[Content.Column3]] * 1000, 0)</f>
        <v>140234</v>
      </c>
      <c r="M164" s="30">
        <f>ROUND(Table1[[#This Row],[Content.Column4]] * 1000, 0)</f>
        <v>50863</v>
      </c>
      <c r="N164" s="30">
        <f>ROUND(Table1[[#This Row],[Content.Column5]] * 1000, 0)</f>
        <v>191096</v>
      </c>
      <c r="O164" s="30">
        <f>ROUND(Table1[[#This Row],[Content.Column6]] * 1000, 0)</f>
        <v>193799</v>
      </c>
      <c r="P164" s="27"/>
      <c r="Q164" s="27"/>
      <c r="R164"/>
      <c r="S164"/>
    </row>
    <row r="165" spans="1:19" x14ac:dyDescent="0.3">
      <c r="A165">
        <v>2012</v>
      </c>
      <c r="B165" t="s">
        <v>61</v>
      </c>
      <c r="C165" t="s">
        <v>60</v>
      </c>
      <c r="D165" s="34">
        <f>ROUND(Table1[[#This Row],[Content.Column7]] * 1000, 0)</f>
        <v>12496</v>
      </c>
      <c r="E165" s="34">
        <f>ROUND(Table1[[#This Row],[Content.Column8]] * 1000, 0)</f>
        <v>5535</v>
      </c>
      <c r="F165" s="34">
        <f>ROUND(Table1[[#This Row],[Content.Column9]] * 1000, 0)</f>
        <v>18031</v>
      </c>
      <c r="G165" s="34">
        <f>ROUND(Table1[[#This Row],[Content.Column10]] * 1000, 0)</f>
        <v>18037</v>
      </c>
      <c r="H165" s="32">
        <f>ROUND(Table1[[#This Row],[Content.Column11]] * 1000, 0)</f>
        <v>90740</v>
      </c>
      <c r="I165" s="32">
        <f>ROUND(Table1[[#This Row],[Content.Column12]] * 1000, 0)</f>
        <v>28972</v>
      </c>
      <c r="J165" s="32">
        <f>ROUND(Table1[[#This Row],[Content.Column13]] * 1000, 0)</f>
        <v>119712</v>
      </c>
      <c r="K165" s="32">
        <f>ROUND(Table1[[#This Row],[Content.Column14]] * 1000, 0)</f>
        <v>122369</v>
      </c>
      <c r="L165" s="30">
        <f>ROUND(Table1[[#This Row],[Content.Column3]] * 1000, 0)</f>
        <v>103236</v>
      </c>
      <c r="M165" s="30">
        <f>ROUND(Table1[[#This Row],[Content.Column4]] * 1000, 0)</f>
        <v>34508</v>
      </c>
      <c r="N165" s="30">
        <f>ROUND(Table1[[#This Row],[Content.Column5]] * 1000, 0)</f>
        <v>137744</v>
      </c>
      <c r="O165" s="30">
        <f>ROUND(Table1[[#This Row],[Content.Column6]] * 1000, 0)</f>
        <v>140406</v>
      </c>
      <c r="P165" s="27"/>
      <c r="Q165" s="27"/>
      <c r="R165"/>
      <c r="S165"/>
    </row>
    <row r="166" spans="1:19" x14ac:dyDescent="0.3">
      <c r="A166">
        <v>2012</v>
      </c>
      <c r="B166" t="s">
        <v>63</v>
      </c>
      <c r="C166" t="s">
        <v>62</v>
      </c>
      <c r="D166" s="34">
        <f>ROUND(Table1[[#This Row],[Content.Column7]] * 1000, 0)</f>
        <v>23791</v>
      </c>
      <c r="E166" s="34">
        <f>ROUND(Table1[[#This Row],[Content.Column8]] * 1000, 0)</f>
        <v>7134</v>
      </c>
      <c r="F166" s="34">
        <f>ROUND(Table1[[#This Row],[Content.Column9]] * 1000, 0)</f>
        <v>30925</v>
      </c>
      <c r="G166" s="34">
        <f>ROUND(Table1[[#This Row],[Content.Column10]] * 1000, 0)</f>
        <v>30989</v>
      </c>
      <c r="H166" s="32">
        <f>ROUND(Table1[[#This Row],[Content.Column11]] * 1000, 0)</f>
        <v>120344</v>
      </c>
      <c r="I166" s="32">
        <f>ROUND(Table1[[#This Row],[Content.Column12]] * 1000, 0)</f>
        <v>35499</v>
      </c>
      <c r="J166" s="32">
        <f>ROUND(Table1[[#This Row],[Content.Column13]] * 1000, 0)</f>
        <v>155842</v>
      </c>
      <c r="K166" s="32">
        <f>ROUND(Table1[[#This Row],[Content.Column14]] * 1000, 0)</f>
        <v>162147</v>
      </c>
      <c r="L166" s="30">
        <f>ROUND(Table1[[#This Row],[Content.Column3]] * 1000, 0)</f>
        <v>144134</v>
      </c>
      <c r="M166" s="30">
        <f>ROUND(Table1[[#This Row],[Content.Column4]] * 1000, 0)</f>
        <v>42633</v>
      </c>
      <c r="N166" s="30">
        <f>ROUND(Table1[[#This Row],[Content.Column5]] * 1000, 0)</f>
        <v>186767</v>
      </c>
      <c r="O166" s="30">
        <f>ROUND(Table1[[#This Row],[Content.Column6]] * 1000, 0)</f>
        <v>193135</v>
      </c>
      <c r="P166" s="27"/>
      <c r="Q166" s="27"/>
      <c r="R166"/>
      <c r="S166"/>
    </row>
    <row r="167" spans="1:19" x14ac:dyDescent="0.3">
      <c r="A167">
        <v>2012</v>
      </c>
      <c r="B167" t="s">
        <v>65</v>
      </c>
      <c r="C167" t="s">
        <v>64</v>
      </c>
      <c r="D167" s="34">
        <f>ROUND(Table1[[#This Row],[Content.Column7]] * 1000, 0)</f>
        <v>15530</v>
      </c>
      <c r="E167" s="34">
        <f>ROUND(Table1[[#This Row],[Content.Column8]] * 1000, 0)</f>
        <v>4375</v>
      </c>
      <c r="F167" s="34">
        <f>ROUND(Table1[[#This Row],[Content.Column9]] * 1000, 0)</f>
        <v>19905</v>
      </c>
      <c r="G167" s="34">
        <f>ROUND(Table1[[#This Row],[Content.Column10]] * 1000, 0)</f>
        <v>20004</v>
      </c>
      <c r="H167" s="32">
        <f>ROUND(Table1[[#This Row],[Content.Column11]] * 1000, 0)</f>
        <v>70865</v>
      </c>
      <c r="I167" s="32">
        <f>ROUND(Table1[[#This Row],[Content.Column12]] * 1000, 0)</f>
        <v>30638</v>
      </c>
      <c r="J167" s="32">
        <f>ROUND(Table1[[#This Row],[Content.Column13]] * 1000, 0)</f>
        <v>101503</v>
      </c>
      <c r="K167" s="32">
        <f>ROUND(Table1[[#This Row],[Content.Column14]] * 1000, 0)</f>
        <v>105290</v>
      </c>
      <c r="L167" s="30">
        <f>ROUND(Table1[[#This Row],[Content.Column3]] * 1000, 0)</f>
        <v>86395</v>
      </c>
      <c r="M167" s="30">
        <f>ROUND(Table1[[#This Row],[Content.Column4]] * 1000, 0)</f>
        <v>35013</v>
      </c>
      <c r="N167" s="30">
        <f>ROUND(Table1[[#This Row],[Content.Column5]] * 1000, 0)</f>
        <v>121408</v>
      </c>
      <c r="O167" s="30">
        <f>ROUND(Table1[[#This Row],[Content.Column6]] * 1000, 0)</f>
        <v>125294</v>
      </c>
      <c r="P167" s="27"/>
      <c r="Q167" s="27"/>
      <c r="R167"/>
      <c r="S167"/>
    </row>
    <row r="168" spans="1:19" x14ac:dyDescent="0.3">
      <c r="A168">
        <v>2012</v>
      </c>
      <c r="B168" t="s">
        <v>67</v>
      </c>
      <c r="C168" t="s">
        <v>66</v>
      </c>
      <c r="D168" s="34">
        <f>ROUND(Table1[[#This Row],[Content.Column7]] * 1000, 0)</f>
        <v>8823</v>
      </c>
      <c r="E168" s="34">
        <f>ROUND(Table1[[#This Row],[Content.Column8]] * 1000, 0)</f>
        <v>5344</v>
      </c>
      <c r="F168" s="34">
        <f>ROUND(Table1[[#This Row],[Content.Column9]] * 1000, 0)</f>
        <v>14167</v>
      </c>
      <c r="G168" s="34">
        <f>ROUND(Table1[[#This Row],[Content.Column10]] * 1000, 0)</f>
        <v>14181</v>
      </c>
      <c r="H168" s="32">
        <f>ROUND(Table1[[#This Row],[Content.Column11]] * 1000, 0)</f>
        <v>35800</v>
      </c>
      <c r="I168" s="32">
        <f>ROUND(Table1[[#This Row],[Content.Column12]] * 1000, 0)</f>
        <v>21659</v>
      </c>
      <c r="J168" s="32">
        <f>ROUND(Table1[[#This Row],[Content.Column13]] * 1000, 0)</f>
        <v>57460</v>
      </c>
      <c r="K168" s="32">
        <f>ROUND(Table1[[#This Row],[Content.Column14]] * 1000, 0)</f>
        <v>59212</v>
      </c>
      <c r="L168" s="30">
        <f>ROUND(Table1[[#This Row],[Content.Column3]] * 1000, 0)</f>
        <v>44623</v>
      </c>
      <c r="M168" s="30">
        <f>ROUND(Table1[[#This Row],[Content.Column4]] * 1000, 0)</f>
        <v>27003</v>
      </c>
      <c r="N168" s="30">
        <f>ROUND(Table1[[#This Row],[Content.Column5]] * 1000, 0)</f>
        <v>71627</v>
      </c>
      <c r="O168" s="30">
        <f>ROUND(Table1[[#This Row],[Content.Column6]] * 1000, 0)</f>
        <v>73393</v>
      </c>
      <c r="P168" s="27"/>
      <c r="Q168" s="27"/>
      <c r="R168"/>
      <c r="S168"/>
    </row>
    <row r="169" spans="1:19" x14ac:dyDescent="0.3">
      <c r="A169">
        <v>2012</v>
      </c>
      <c r="B169" t="s">
        <v>69</v>
      </c>
      <c r="C169" t="s">
        <v>68</v>
      </c>
      <c r="D169" s="34">
        <f>ROUND(Table1[[#This Row],[Content.Column7]] * 1000, 0)</f>
        <v>26219</v>
      </c>
      <c r="E169" s="34">
        <f>ROUND(Table1[[#This Row],[Content.Column8]] * 1000, 0)</f>
        <v>6584</v>
      </c>
      <c r="F169" s="34">
        <f>ROUND(Table1[[#This Row],[Content.Column9]] * 1000, 0)</f>
        <v>32802</v>
      </c>
      <c r="G169" s="34">
        <f>ROUND(Table1[[#This Row],[Content.Column10]] * 1000, 0)</f>
        <v>32836</v>
      </c>
      <c r="H169" s="32">
        <f>ROUND(Table1[[#This Row],[Content.Column11]] * 1000, 0)</f>
        <v>66509</v>
      </c>
      <c r="I169" s="32">
        <f>ROUND(Table1[[#This Row],[Content.Column12]] * 1000, 0)</f>
        <v>31350</v>
      </c>
      <c r="J169" s="32">
        <f>ROUND(Table1[[#This Row],[Content.Column13]] * 1000, 0)</f>
        <v>97859</v>
      </c>
      <c r="K169" s="32">
        <f>ROUND(Table1[[#This Row],[Content.Column14]] * 1000, 0)</f>
        <v>101379</v>
      </c>
      <c r="L169" s="30">
        <f>ROUND(Table1[[#This Row],[Content.Column3]] * 1000, 0)</f>
        <v>92727</v>
      </c>
      <c r="M169" s="30">
        <f>ROUND(Table1[[#This Row],[Content.Column4]] * 1000, 0)</f>
        <v>37934</v>
      </c>
      <c r="N169" s="30">
        <f>ROUND(Table1[[#This Row],[Content.Column5]] * 1000, 0)</f>
        <v>130661</v>
      </c>
      <c r="O169" s="30">
        <f>ROUND(Table1[[#This Row],[Content.Column6]] * 1000, 0)</f>
        <v>134216</v>
      </c>
      <c r="P169" s="27"/>
      <c r="Q169" s="27"/>
      <c r="R169"/>
      <c r="S169"/>
    </row>
    <row r="170" spans="1:19" x14ac:dyDescent="0.3">
      <c r="A170">
        <v>2012</v>
      </c>
      <c r="B170" t="s">
        <v>71</v>
      </c>
      <c r="C170" t="s">
        <v>70</v>
      </c>
      <c r="D170" s="34">
        <f>ROUND(Table1[[#This Row],[Content.Column7]] * 1000, 0)</f>
        <v>7909</v>
      </c>
      <c r="E170" s="34">
        <f>ROUND(Table1[[#This Row],[Content.Column8]] * 1000, 0)</f>
        <v>7545</v>
      </c>
      <c r="F170" s="34">
        <f>ROUND(Table1[[#This Row],[Content.Column9]] * 1000, 0)</f>
        <v>15454</v>
      </c>
      <c r="G170" s="34">
        <f>ROUND(Table1[[#This Row],[Content.Column10]] * 1000, 0)</f>
        <v>15654</v>
      </c>
      <c r="H170" s="32">
        <f>ROUND(Table1[[#This Row],[Content.Column11]] * 1000, 0)</f>
        <v>28788</v>
      </c>
      <c r="I170" s="32">
        <f>ROUND(Table1[[#This Row],[Content.Column12]] * 1000, 0)</f>
        <v>16799</v>
      </c>
      <c r="J170" s="32">
        <f>ROUND(Table1[[#This Row],[Content.Column13]] * 1000, 0)</f>
        <v>45587</v>
      </c>
      <c r="K170" s="32">
        <f>ROUND(Table1[[#This Row],[Content.Column14]] * 1000, 0)</f>
        <v>47493</v>
      </c>
      <c r="L170" s="30">
        <f>ROUND(Table1[[#This Row],[Content.Column3]] * 1000, 0)</f>
        <v>36697</v>
      </c>
      <c r="M170" s="30">
        <f>ROUND(Table1[[#This Row],[Content.Column4]] * 1000, 0)</f>
        <v>24345</v>
      </c>
      <c r="N170" s="30">
        <f>ROUND(Table1[[#This Row],[Content.Column5]] * 1000, 0)</f>
        <v>61041</v>
      </c>
      <c r="O170" s="30">
        <f>ROUND(Table1[[#This Row],[Content.Column6]] * 1000, 0)</f>
        <v>63147</v>
      </c>
      <c r="P170" s="27"/>
      <c r="Q170" s="27"/>
      <c r="R170"/>
      <c r="S170"/>
    </row>
    <row r="171" spans="1:19" x14ac:dyDescent="0.3">
      <c r="A171">
        <v>2012</v>
      </c>
      <c r="B171" t="s">
        <v>73</v>
      </c>
      <c r="C171" t="s">
        <v>72</v>
      </c>
      <c r="D171" s="34">
        <f>ROUND(Table1[[#This Row],[Content.Column7]] * 1000, 0)</f>
        <v>6488</v>
      </c>
      <c r="E171" s="34">
        <f>ROUND(Table1[[#This Row],[Content.Column8]] * 1000, 0)</f>
        <v>3343</v>
      </c>
      <c r="F171" s="34">
        <f>ROUND(Table1[[#This Row],[Content.Column9]] * 1000, 0)</f>
        <v>9831</v>
      </c>
      <c r="G171" s="34">
        <f>ROUND(Table1[[#This Row],[Content.Column10]] * 1000, 0)</f>
        <v>9839</v>
      </c>
      <c r="H171" s="32">
        <f>ROUND(Table1[[#This Row],[Content.Column11]] * 1000, 0)</f>
        <v>43809</v>
      </c>
      <c r="I171" s="32">
        <f>ROUND(Table1[[#This Row],[Content.Column12]] * 1000, 0)</f>
        <v>20138</v>
      </c>
      <c r="J171" s="32">
        <f>ROUND(Table1[[#This Row],[Content.Column13]] * 1000, 0)</f>
        <v>63947</v>
      </c>
      <c r="K171" s="32">
        <f>ROUND(Table1[[#This Row],[Content.Column14]] * 1000, 0)</f>
        <v>65826</v>
      </c>
      <c r="L171" s="30">
        <f>ROUND(Table1[[#This Row],[Content.Column3]] * 1000, 0)</f>
        <v>50297</v>
      </c>
      <c r="M171" s="30">
        <f>ROUND(Table1[[#This Row],[Content.Column4]] * 1000, 0)</f>
        <v>23482</v>
      </c>
      <c r="N171" s="30">
        <f>ROUND(Table1[[#This Row],[Content.Column5]] * 1000, 0)</f>
        <v>73778</v>
      </c>
      <c r="O171" s="30">
        <f>ROUND(Table1[[#This Row],[Content.Column6]] * 1000, 0)</f>
        <v>75665</v>
      </c>
      <c r="P171" s="27"/>
      <c r="Q171" s="27"/>
      <c r="R171"/>
      <c r="S171"/>
    </row>
    <row r="172" spans="1:19" x14ac:dyDescent="0.3">
      <c r="A172">
        <v>2012</v>
      </c>
      <c r="B172" t="s">
        <v>75</v>
      </c>
      <c r="C172" t="s">
        <v>74</v>
      </c>
      <c r="D172" s="34">
        <f>ROUND(Table1[[#This Row],[Content.Column7]] * 1000, 0)</f>
        <v>17517</v>
      </c>
      <c r="E172" s="34">
        <f>ROUND(Table1[[#This Row],[Content.Column8]] * 1000, 0)</f>
        <v>4706</v>
      </c>
      <c r="F172" s="34">
        <f>ROUND(Table1[[#This Row],[Content.Column9]] * 1000, 0)</f>
        <v>22223</v>
      </c>
      <c r="G172" s="34">
        <f>ROUND(Table1[[#This Row],[Content.Column10]] * 1000, 0)</f>
        <v>22230</v>
      </c>
      <c r="H172" s="32">
        <f>ROUND(Table1[[#This Row],[Content.Column11]] * 1000, 0)</f>
        <v>40410</v>
      </c>
      <c r="I172" s="32">
        <f>ROUND(Table1[[#This Row],[Content.Column12]] * 1000, 0)</f>
        <v>23558</v>
      </c>
      <c r="J172" s="32">
        <f>ROUND(Table1[[#This Row],[Content.Column13]] * 1000, 0)</f>
        <v>63968</v>
      </c>
      <c r="K172" s="32">
        <f>ROUND(Table1[[#This Row],[Content.Column14]] * 1000, 0)</f>
        <v>66062</v>
      </c>
      <c r="L172" s="30">
        <f>ROUND(Table1[[#This Row],[Content.Column3]] * 1000, 0)</f>
        <v>57927</v>
      </c>
      <c r="M172" s="30">
        <f>ROUND(Table1[[#This Row],[Content.Column4]] * 1000, 0)</f>
        <v>28264</v>
      </c>
      <c r="N172" s="30">
        <f>ROUND(Table1[[#This Row],[Content.Column5]] * 1000, 0)</f>
        <v>86191</v>
      </c>
      <c r="O172" s="30">
        <f>ROUND(Table1[[#This Row],[Content.Column6]] * 1000, 0)</f>
        <v>88292</v>
      </c>
      <c r="P172" s="27"/>
      <c r="Q172" s="27"/>
      <c r="R172"/>
      <c r="S172"/>
    </row>
    <row r="173" spans="1:19" x14ac:dyDescent="0.3">
      <c r="A173">
        <v>2012</v>
      </c>
      <c r="B173" t="s">
        <v>77</v>
      </c>
      <c r="C173" t="s">
        <v>76</v>
      </c>
      <c r="D173" s="34">
        <f>ROUND(Table1[[#This Row],[Content.Column7]] * 1000, 0)</f>
        <v>11767</v>
      </c>
      <c r="E173" s="34">
        <f>ROUND(Table1[[#This Row],[Content.Column8]] * 1000, 0)</f>
        <v>7055</v>
      </c>
      <c r="F173" s="34">
        <f>ROUND(Table1[[#This Row],[Content.Column9]] * 1000, 0)</f>
        <v>18822</v>
      </c>
      <c r="G173" s="34">
        <f>ROUND(Table1[[#This Row],[Content.Column10]] * 1000, 0)</f>
        <v>18832</v>
      </c>
      <c r="H173" s="32">
        <f>ROUND(Table1[[#This Row],[Content.Column11]] * 1000, 0)</f>
        <v>32335</v>
      </c>
      <c r="I173" s="32">
        <f>ROUND(Table1[[#This Row],[Content.Column12]] * 1000, 0)</f>
        <v>18148</v>
      </c>
      <c r="J173" s="32">
        <f>ROUND(Table1[[#This Row],[Content.Column13]] * 1000, 0)</f>
        <v>50483</v>
      </c>
      <c r="K173" s="32">
        <f>ROUND(Table1[[#This Row],[Content.Column14]] * 1000, 0)</f>
        <v>52534</v>
      </c>
      <c r="L173" s="30">
        <f>ROUND(Table1[[#This Row],[Content.Column3]] * 1000, 0)</f>
        <v>44102</v>
      </c>
      <c r="M173" s="30">
        <f>ROUND(Table1[[#This Row],[Content.Column4]] * 1000, 0)</f>
        <v>25203</v>
      </c>
      <c r="N173" s="30">
        <f>ROUND(Table1[[#This Row],[Content.Column5]] * 1000, 0)</f>
        <v>69305</v>
      </c>
      <c r="O173" s="30">
        <f>ROUND(Table1[[#This Row],[Content.Column6]] * 1000, 0)</f>
        <v>71366</v>
      </c>
      <c r="P173" s="27"/>
      <c r="Q173" s="27"/>
      <c r="R173"/>
      <c r="S173"/>
    </row>
    <row r="174" spans="1:19" x14ac:dyDescent="0.3">
      <c r="A174">
        <v>2012</v>
      </c>
      <c r="B174" t="s">
        <v>79</v>
      </c>
      <c r="C174" t="s">
        <v>78</v>
      </c>
      <c r="D174" s="34">
        <f>ROUND(Table1[[#This Row],[Content.Column7]] * 1000, 0)</f>
        <v>5953</v>
      </c>
      <c r="E174" s="34">
        <f>ROUND(Table1[[#This Row],[Content.Column8]] * 1000, 0)</f>
        <v>3404</v>
      </c>
      <c r="F174" s="34">
        <f>ROUND(Table1[[#This Row],[Content.Column9]] * 1000, 0)</f>
        <v>9357</v>
      </c>
      <c r="G174" s="34">
        <f>ROUND(Table1[[#This Row],[Content.Column10]] * 1000, 0)</f>
        <v>9362</v>
      </c>
      <c r="H174" s="32">
        <f>ROUND(Table1[[#This Row],[Content.Column11]] * 1000, 0)</f>
        <v>43586</v>
      </c>
      <c r="I174" s="32">
        <f>ROUND(Table1[[#This Row],[Content.Column12]] * 1000, 0)</f>
        <v>18193</v>
      </c>
      <c r="J174" s="32">
        <f>ROUND(Table1[[#This Row],[Content.Column13]] * 1000, 0)</f>
        <v>61779</v>
      </c>
      <c r="K174" s="32">
        <f>ROUND(Table1[[#This Row],[Content.Column14]] * 1000, 0)</f>
        <v>64907</v>
      </c>
      <c r="L174" s="30">
        <f>ROUND(Table1[[#This Row],[Content.Column3]] * 1000, 0)</f>
        <v>49539</v>
      </c>
      <c r="M174" s="30">
        <f>ROUND(Table1[[#This Row],[Content.Column4]] * 1000, 0)</f>
        <v>21597</v>
      </c>
      <c r="N174" s="30">
        <f>ROUND(Table1[[#This Row],[Content.Column5]] * 1000, 0)</f>
        <v>71136</v>
      </c>
      <c r="O174" s="30">
        <f>ROUND(Table1[[#This Row],[Content.Column6]] * 1000, 0)</f>
        <v>74269</v>
      </c>
      <c r="P174" s="27"/>
      <c r="Q174" s="27"/>
      <c r="R174"/>
      <c r="S174"/>
    </row>
    <row r="175" spans="1:19" x14ac:dyDescent="0.3">
      <c r="A175">
        <v>2012</v>
      </c>
      <c r="B175" t="s">
        <v>81</v>
      </c>
      <c r="C175" t="s">
        <v>80</v>
      </c>
      <c r="D175" s="34">
        <f>ROUND(Table1[[#This Row],[Content.Column7]] * 1000, 0)</f>
        <v>34616</v>
      </c>
      <c r="E175" s="34">
        <f>ROUND(Table1[[#This Row],[Content.Column8]] * 1000, 0)</f>
        <v>6967</v>
      </c>
      <c r="F175" s="34">
        <f>ROUND(Table1[[#This Row],[Content.Column9]] * 1000, 0)</f>
        <v>41583</v>
      </c>
      <c r="G175" s="34">
        <f>ROUND(Table1[[#This Row],[Content.Column10]] * 1000, 0)</f>
        <v>41649</v>
      </c>
      <c r="H175" s="32">
        <f>ROUND(Table1[[#This Row],[Content.Column11]] * 1000, 0)</f>
        <v>118411</v>
      </c>
      <c r="I175" s="32">
        <f>ROUND(Table1[[#This Row],[Content.Column12]] * 1000, 0)</f>
        <v>35289</v>
      </c>
      <c r="J175" s="32">
        <f>ROUND(Table1[[#This Row],[Content.Column13]] * 1000, 0)</f>
        <v>153700</v>
      </c>
      <c r="K175" s="32">
        <f>ROUND(Table1[[#This Row],[Content.Column14]] * 1000, 0)</f>
        <v>159797</v>
      </c>
      <c r="L175" s="30">
        <f>ROUND(Table1[[#This Row],[Content.Column3]] * 1000, 0)</f>
        <v>153027</v>
      </c>
      <c r="M175" s="30">
        <f>ROUND(Table1[[#This Row],[Content.Column4]] * 1000, 0)</f>
        <v>42256</v>
      </c>
      <c r="N175" s="30">
        <f>ROUND(Table1[[#This Row],[Content.Column5]] * 1000, 0)</f>
        <v>195283</v>
      </c>
      <c r="O175" s="30">
        <f>ROUND(Table1[[#This Row],[Content.Column6]] * 1000, 0)</f>
        <v>201447</v>
      </c>
      <c r="P175" s="27"/>
      <c r="Q175" s="27"/>
      <c r="R175"/>
      <c r="S175"/>
    </row>
    <row r="176" spans="1:19" x14ac:dyDescent="0.3">
      <c r="A176">
        <v>2012</v>
      </c>
      <c r="B176" t="s">
        <v>83</v>
      </c>
      <c r="C176" t="s">
        <v>82</v>
      </c>
      <c r="D176" s="34">
        <f>ROUND(Table1[[#This Row],[Content.Column7]] * 1000, 0)</f>
        <v>9291</v>
      </c>
      <c r="E176" s="34">
        <f>ROUND(Table1[[#This Row],[Content.Column8]] * 1000, 0)</f>
        <v>4855</v>
      </c>
      <c r="F176" s="34">
        <f>ROUND(Table1[[#This Row],[Content.Column9]] * 1000, 0)</f>
        <v>14146</v>
      </c>
      <c r="G176" s="34">
        <f>ROUND(Table1[[#This Row],[Content.Column10]] * 1000, 0)</f>
        <v>14167</v>
      </c>
      <c r="H176" s="32">
        <f>ROUND(Table1[[#This Row],[Content.Column11]] * 1000, 0)</f>
        <v>35143</v>
      </c>
      <c r="I176" s="32">
        <f>ROUND(Table1[[#This Row],[Content.Column12]] * 1000, 0)</f>
        <v>18987</v>
      </c>
      <c r="J176" s="32">
        <f>ROUND(Table1[[#This Row],[Content.Column13]] * 1000, 0)</f>
        <v>54130</v>
      </c>
      <c r="K176" s="32">
        <f>ROUND(Table1[[#This Row],[Content.Column14]] * 1000, 0)</f>
        <v>55999</v>
      </c>
      <c r="L176" s="30">
        <f>ROUND(Table1[[#This Row],[Content.Column3]] * 1000, 0)</f>
        <v>44434</v>
      </c>
      <c r="M176" s="30">
        <f>ROUND(Table1[[#This Row],[Content.Column4]] * 1000, 0)</f>
        <v>23842</v>
      </c>
      <c r="N176" s="30">
        <f>ROUND(Table1[[#This Row],[Content.Column5]] * 1000, 0)</f>
        <v>68276</v>
      </c>
      <c r="O176" s="30">
        <f>ROUND(Table1[[#This Row],[Content.Column6]] * 1000, 0)</f>
        <v>70166</v>
      </c>
      <c r="P176" s="27"/>
      <c r="Q176" s="27"/>
      <c r="R176"/>
      <c r="S176"/>
    </row>
    <row r="177" spans="1:19" x14ac:dyDescent="0.3">
      <c r="A177">
        <v>2012</v>
      </c>
      <c r="B177" t="s">
        <v>85</v>
      </c>
      <c r="C177" t="s">
        <v>84</v>
      </c>
      <c r="D177" s="34">
        <f>ROUND(Table1[[#This Row],[Content.Column7]] * 1000, 0)</f>
        <v>32222</v>
      </c>
      <c r="E177" s="34">
        <f>ROUND(Table1[[#This Row],[Content.Column8]] * 1000, 0)</f>
        <v>9527</v>
      </c>
      <c r="F177" s="34">
        <f>ROUND(Table1[[#This Row],[Content.Column9]] * 1000, 0)</f>
        <v>41749</v>
      </c>
      <c r="G177" s="34">
        <f>ROUND(Table1[[#This Row],[Content.Column10]] * 1000, 0)</f>
        <v>42025</v>
      </c>
      <c r="H177" s="32">
        <f>ROUND(Table1[[#This Row],[Content.Column11]] * 1000, 0)</f>
        <v>156058</v>
      </c>
      <c r="I177" s="32">
        <f>ROUND(Table1[[#This Row],[Content.Column12]] * 1000, 0)</f>
        <v>38065</v>
      </c>
      <c r="J177" s="32">
        <f>ROUND(Table1[[#This Row],[Content.Column13]] * 1000, 0)</f>
        <v>194123</v>
      </c>
      <c r="K177" s="32">
        <f>ROUND(Table1[[#This Row],[Content.Column14]] * 1000, 0)</f>
        <v>198388</v>
      </c>
      <c r="L177" s="30">
        <f>ROUND(Table1[[#This Row],[Content.Column3]] * 1000, 0)</f>
        <v>188280</v>
      </c>
      <c r="M177" s="30">
        <f>ROUND(Table1[[#This Row],[Content.Column4]] * 1000, 0)</f>
        <v>47592</v>
      </c>
      <c r="N177" s="30">
        <f>ROUND(Table1[[#This Row],[Content.Column5]] * 1000, 0)</f>
        <v>235872</v>
      </c>
      <c r="O177" s="30">
        <f>ROUND(Table1[[#This Row],[Content.Column6]] * 1000, 0)</f>
        <v>240413</v>
      </c>
      <c r="P177" s="27"/>
      <c r="Q177" s="27"/>
      <c r="R177"/>
      <c r="S177"/>
    </row>
    <row r="178" spans="1:19" x14ac:dyDescent="0.3">
      <c r="A178">
        <v>2012</v>
      </c>
      <c r="B178" t="s">
        <v>87</v>
      </c>
      <c r="C178" t="s">
        <v>86</v>
      </c>
      <c r="D178" s="34">
        <f>ROUND(Table1[[#This Row],[Content.Column7]] * 1000, 0)</f>
        <v>11095</v>
      </c>
      <c r="E178" s="34">
        <f>ROUND(Table1[[#This Row],[Content.Column8]] * 1000, 0)</f>
        <v>5268</v>
      </c>
      <c r="F178" s="34">
        <f>ROUND(Table1[[#This Row],[Content.Column9]] * 1000, 0)</f>
        <v>16362</v>
      </c>
      <c r="G178" s="34">
        <f>ROUND(Table1[[#This Row],[Content.Column10]] * 1000, 0)</f>
        <v>16464</v>
      </c>
      <c r="H178" s="32">
        <f>ROUND(Table1[[#This Row],[Content.Column11]] * 1000, 0)</f>
        <v>29769</v>
      </c>
      <c r="I178" s="32">
        <f>ROUND(Table1[[#This Row],[Content.Column12]] * 1000, 0)</f>
        <v>14848</v>
      </c>
      <c r="J178" s="32">
        <f>ROUND(Table1[[#This Row],[Content.Column13]] * 1000, 0)</f>
        <v>44617</v>
      </c>
      <c r="K178" s="32">
        <f>ROUND(Table1[[#This Row],[Content.Column14]] * 1000, 0)</f>
        <v>46528</v>
      </c>
      <c r="L178" s="30">
        <f>ROUND(Table1[[#This Row],[Content.Column3]] * 1000, 0)</f>
        <v>40863</v>
      </c>
      <c r="M178" s="30">
        <f>ROUND(Table1[[#This Row],[Content.Column4]] * 1000, 0)</f>
        <v>20116</v>
      </c>
      <c r="N178" s="30">
        <f>ROUND(Table1[[#This Row],[Content.Column5]] * 1000, 0)</f>
        <v>60979</v>
      </c>
      <c r="O178" s="30">
        <f>ROUND(Table1[[#This Row],[Content.Column6]] * 1000, 0)</f>
        <v>62992</v>
      </c>
      <c r="P178" s="27"/>
      <c r="Q178" s="27"/>
      <c r="R178"/>
      <c r="S178"/>
    </row>
    <row r="179" spans="1:19" x14ac:dyDescent="0.3">
      <c r="A179">
        <v>2012</v>
      </c>
      <c r="B179" t="s">
        <v>89</v>
      </c>
      <c r="C179" t="s">
        <v>88</v>
      </c>
      <c r="D179" s="34">
        <f>ROUND(Table1[[#This Row],[Content.Column7]] * 1000, 0)</f>
        <v>18415</v>
      </c>
      <c r="E179" s="34">
        <f>ROUND(Table1[[#This Row],[Content.Column8]] * 1000, 0)</f>
        <v>6917</v>
      </c>
      <c r="F179" s="34">
        <f>ROUND(Table1[[#This Row],[Content.Column9]] * 1000, 0)</f>
        <v>25332</v>
      </c>
      <c r="G179" s="34">
        <f>ROUND(Table1[[#This Row],[Content.Column10]] * 1000, 0)</f>
        <v>25360</v>
      </c>
      <c r="H179" s="32">
        <f>ROUND(Table1[[#This Row],[Content.Column11]] * 1000, 0)</f>
        <v>56097</v>
      </c>
      <c r="I179" s="32">
        <f>ROUND(Table1[[#This Row],[Content.Column12]] * 1000, 0)</f>
        <v>26080</v>
      </c>
      <c r="J179" s="32">
        <f>ROUND(Table1[[#This Row],[Content.Column13]] * 1000, 0)</f>
        <v>82177</v>
      </c>
      <c r="K179" s="32">
        <f>ROUND(Table1[[#This Row],[Content.Column14]] * 1000, 0)</f>
        <v>85522</v>
      </c>
      <c r="L179" s="30">
        <f>ROUND(Table1[[#This Row],[Content.Column3]] * 1000, 0)</f>
        <v>74513</v>
      </c>
      <c r="M179" s="30">
        <f>ROUND(Table1[[#This Row],[Content.Column4]] * 1000, 0)</f>
        <v>32996</v>
      </c>
      <c r="N179" s="30">
        <f>ROUND(Table1[[#This Row],[Content.Column5]] * 1000, 0)</f>
        <v>107509</v>
      </c>
      <c r="O179" s="30">
        <f>ROUND(Table1[[#This Row],[Content.Column6]] * 1000, 0)</f>
        <v>110882</v>
      </c>
      <c r="P179" s="27"/>
      <c r="Q179" s="27"/>
      <c r="R179"/>
      <c r="S179"/>
    </row>
    <row r="180" spans="1:19" x14ac:dyDescent="0.3">
      <c r="A180">
        <v>2012</v>
      </c>
      <c r="B180" t="s">
        <v>91</v>
      </c>
      <c r="C180" t="s">
        <v>90</v>
      </c>
      <c r="D180" s="34">
        <f>ROUND(Table1[[#This Row],[Content.Column7]] * 1000, 0)</f>
        <v>78376</v>
      </c>
      <c r="E180" s="34">
        <f>ROUND(Table1[[#This Row],[Content.Column8]] * 1000, 0)</f>
        <v>10620</v>
      </c>
      <c r="F180" s="34">
        <f>ROUND(Table1[[#This Row],[Content.Column9]] * 1000, 0)</f>
        <v>88996</v>
      </c>
      <c r="G180" s="34">
        <f>ROUND(Table1[[#This Row],[Content.Column10]] * 1000, 0)</f>
        <v>89574</v>
      </c>
      <c r="H180" s="32">
        <f>ROUND(Table1[[#This Row],[Content.Column11]] * 1000, 0)</f>
        <v>418569</v>
      </c>
      <c r="I180" s="32">
        <f>ROUND(Table1[[#This Row],[Content.Column12]] * 1000, 0)</f>
        <v>131217</v>
      </c>
      <c r="J180" s="32">
        <f>ROUND(Table1[[#This Row],[Content.Column13]] * 1000, 0)</f>
        <v>549786</v>
      </c>
      <c r="K180" s="32">
        <f>ROUND(Table1[[#This Row],[Content.Column14]] * 1000, 0)</f>
        <v>576693</v>
      </c>
      <c r="L180" s="30">
        <f>ROUND(Table1[[#This Row],[Content.Column3]] * 1000, 0)</f>
        <v>496944</v>
      </c>
      <c r="M180" s="30">
        <f>ROUND(Table1[[#This Row],[Content.Column4]] * 1000, 0)</f>
        <v>141837</v>
      </c>
      <c r="N180" s="30">
        <f>ROUND(Table1[[#This Row],[Content.Column5]] * 1000, 0)</f>
        <v>638782</v>
      </c>
      <c r="O180" s="30">
        <f>ROUND(Table1[[#This Row],[Content.Column6]] * 1000, 0)</f>
        <v>666266</v>
      </c>
      <c r="P180" s="27"/>
      <c r="Q180" s="27"/>
      <c r="R180"/>
      <c r="S180"/>
    </row>
    <row r="181" spans="1:19" x14ac:dyDescent="0.3">
      <c r="A181">
        <v>2012</v>
      </c>
      <c r="B181" t="s">
        <v>93</v>
      </c>
      <c r="C181" t="s">
        <v>92</v>
      </c>
      <c r="D181" s="34">
        <f>ROUND(Table1[[#This Row],[Content.Column7]] * 1000, 0)</f>
        <v>351697</v>
      </c>
      <c r="E181" s="34">
        <f>ROUND(Table1[[#This Row],[Content.Column8]] * 1000, 0)</f>
        <v>86900</v>
      </c>
      <c r="F181" s="34">
        <f>ROUND(Table1[[#This Row],[Content.Column9]] * 1000, 0)</f>
        <v>438597</v>
      </c>
      <c r="G181" s="34">
        <f>ROUND(Table1[[#This Row],[Content.Column10]] * 1000, 0)</f>
        <v>440320</v>
      </c>
      <c r="H181" s="32">
        <f>ROUND(Table1[[#This Row],[Content.Column11]] * 1000, 0)</f>
        <v>1741812</v>
      </c>
      <c r="I181" s="32">
        <f>ROUND(Table1[[#This Row],[Content.Column12]] * 1000, 0)</f>
        <v>549973</v>
      </c>
      <c r="J181" s="32">
        <f>ROUND(Table1[[#This Row],[Content.Column13]] * 1000, 0)</f>
        <v>2291784</v>
      </c>
      <c r="K181" s="32">
        <f>ROUND(Table1[[#This Row],[Content.Column14]] * 1000, 0)</f>
        <v>2387335</v>
      </c>
      <c r="L181" s="30">
        <f>ROUND(Table1[[#This Row],[Content.Column3]] * 1000, 0)</f>
        <v>2093509</v>
      </c>
      <c r="M181" s="30">
        <f>ROUND(Table1[[#This Row],[Content.Column4]] * 1000, 0)</f>
        <v>636873</v>
      </c>
      <c r="N181" s="30">
        <f>ROUND(Table1[[#This Row],[Content.Column5]] * 1000, 0)</f>
        <v>2730381</v>
      </c>
      <c r="O181" s="30">
        <f>ROUND(Table1[[#This Row],[Content.Column6]] * 1000, 0)</f>
        <v>2827655</v>
      </c>
      <c r="P181" s="27"/>
      <c r="Q181" s="27"/>
      <c r="R181"/>
      <c r="S181"/>
    </row>
    <row r="182" spans="1:19" x14ac:dyDescent="0.3">
      <c r="A182">
        <v>2012</v>
      </c>
      <c r="B182" t="s">
        <v>95</v>
      </c>
      <c r="C182" t="s">
        <v>94</v>
      </c>
      <c r="D182" s="34">
        <f>ROUND(Table1[[#This Row],[Content.Column7]] * 1000, 0)</f>
        <v>207909</v>
      </c>
      <c r="E182" s="34">
        <f>ROUND(Table1[[#This Row],[Content.Column8]] * 1000, 0)</f>
        <v>117053</v>
      </c>
      <c r="F182" s="34">
        <f>ROUND(Table1[[#This Row],[Content.Column9]] * 1000, 0)</f>
        <v>324962</v>
      </c>
      <c r="G182" s="34">
        <f>ROUND(Table1[[#This Row],[Content.Column10]] * 1000, 0)</f>
        <v>325427</v>
      </c>
      <c r="H182" s="32">
        <f>ROUND(Table1[[#This Row],[Content.Column11]] * 1000, 0)</f>
        <v>946870</v>
      </c>
      <c r="I182" s="32">
        <f>ROUND(Table1[[#This Row],[Content.Column12]] * 1000, 0)</f>
        <v>443924</v>
      </c>
      <c r="J182" s="32">
        <f>ROUND(Table1[[#This Row],[Content.Column13]] * 1000, 0)</f>
        <v>1390793</v>
      </c>
      <c r="K182" s="32">
        <f>ROUND(Table1[[#This Row],[Content.Column14]] * 1000, 0)</f>
        <v>1439607</v>
      </c>
      <c r="L182" s="30">
        <f>ROUND(Table1[[#This Row],[Content.Column3]] * 1000, 0)</f>
        <v>1154779</v>
      </c>
      <c r="M182" s="30">
        <f>ROUND(Table1[[#This Row],[Content.Column4]] * 1000, 0)</f>
        <v>560977</v>
      </c>
      <c r="N182" s="30">
        <f>ROUND(Table1[[#This Row],[Content.Column5]] * 1000, 0)</f>
        <v>1715755</v>
      </c>
      <c r="O182" s="30">
        <f>ROUND(Table1[[#This Row],[Content.Column6]] * 1000, 0)</f>
        <v>1765033</v>
      </c>
      <c r="P182" s="27"/>
      <c r="Q182" s="27"/>
      <c r="R182"/>
      <c r="S182"/>
    </row>
    <row r="183" spans="1:19" x14ac:dyDescent="0.3">
      <c r="A183">
        <v>2012</v>
      </c>
      <c r="B183" t="s">
        <v>97</v>
      </c>
      <c r="C183" t="s">
        <v>96</v>
      </c>
      <c r="D183" s="34">
        <f>ROUND(Table1[[#This Row],[Content.Column7]] * 1000, 0)</f>
        <v>161298</v>
      </c>
      <c r="E183" s="34">
        <f>ROUND(Table1[[#This Row],[Content.Column8]] * 1000, 0)</f>
        <v>98335</v>
      </c>
      <c r="F183" s="34">
        <f>ROUND(Table1[[#This Row],[Content.Column9]] * 1000, 0)</f>
        <v>259633</v>
      </c>
      <c r="G183" s="34">
        <f>ROUND(Table1[[#This Row],[Content.Column10]] * 1000, 0)</f>
        <v>266896</v>
      </c>
      <c r="H183" s="32">
        <f>ROUND(Table1[[#This Row],[Content.Column11]] * 1000, 0)</f>
        <v>495012</v>
      </c>
      <c r="I183" s="32">
        <f>ROUND(Table1[[#This Row],[Content.Column12]] * 1000, 0)</f>
        <v>246394</v>
      </c>
      <c r="J183" s="32">
        <f>ROUND(Table1[[#This Row],[Content.Column13]] * 1000, 0)</f>
        <v>741406</v>
      </c>
      <c r="K183" s="32">
        <f>ROUND(Table1[[#This Row],[Content.Column14]] * 1000, 0)</f>
        <v>764392</v>
      </c>
      <c r="L183" s="30">
        <f>ROUND(Table1[[#This Row],[Content.Column3]] * 1000, 0)</f>
        <v>656310</v>
      </c>
      <c r="M183" s="30">
        <f>ROUND(Table1[[#This Row],[Content.Column4]] * 1000, 0)</f>
        <v>344729</v>
      </c>
      <c r="N183" s="30">
        <f>ROUND(Table1[[#This Row],[Content.Column5]] * 1000, 0)</f>
        <v>1001039</v>
      </c>
      <c r="O183" s="30">
        <f>ROUND(Table1[[#This Row],[Content.Column6]] * 1000, 0)</f>
        <v>1031288</v>
      </c>
      <c r="P183" s="27"/>
      <c r="Q183" s="27"/>
      <c r="R183"/>
      <c r="S183"/>
    </row>
    <row r="184" spans="1:19" x14ac:dyDescent="0.3">
      <c r="A184">
        <v>2012</v>
      </c>
      <c r="B184" t="s">
        <v>99</v>
      </c>
      <c r="C184" t="s">
        <v>98</v>
      </c>
      <c r="D184" s="34">
        <f>ROUND(Table1[[#This Row],[Content.Column7]] * 1000, 0)</f>
        <v>398987</v>
      </c>
      <c r="E184" s="34">
        <f>ROUND(Table1[[#This Row],[Content.Column8]] * 1000, 0)</f>
        <v>257270</v>
      </c>
      <c r="F184" s="34">
        <f>ROUND(Table1[[#This Row],[Content.Column9]] * 1000, 0)</f>
        <v>656257</v>
      </c>
      <c r="G184" s="34">
        <f>ROUND(Table1[[#This Row],[Content.Column10]] * 1000, 0)</f>
        <v>679370</v>
      </c>
      <c r="H184" s="32">
        <f>ROUND(Table1[[#This Row],[Content.Column11]] * 1000, 0)</f>
        <v>1594245</v>
      </c>
      <c r="I184" s="32">
        <f>ROUND(Table1[[#This Row],[Content.Column12]] * 1000, 0)</f>
        <v>736887</v>
      </c>
      <c r="J184" s="32">
        <f>ROUND(Table1[[#This Row],[Content.Column13]] * 1000, 0)</f>
        <v>2331131</v>
      </c>
      <c r="K184" s="32">
        <f>ROUND(Table1[[#This Row],[Content.Column14]] * 1000, 0)</f>
        <v>2425082</v>
      </c>
      <c r="L184" s="30">
        <f>ROUND(Table1[[#This Row],[Content.Column3]] * 1000, 0)</f>
        <v>1993232</v>
      </c>
      <c r="M184" s="30">
        <f>ROUND(Table1[[#This Row],[Content.Column4]] * 1000, 0)</f>
        <v>994157</v>
      </c>
      <c r="N184" s="30">
        <f>ROUND(Table1[[#This Row],[Content.Column5]] * 1000, 0)</f>
        <v>2987389</v>
      </c>
      <c r="O184" s="30">
        <f>ROUND(Table1[[#This Row],[Content.Column6]] * 1000, 0)</f>
        <v>3104452</v>
      </c>
      <c r="P184" s="27"/>
      <c r="Q184" s="27"/>
      <c r="R184"/>
      <c r="S184"/>
    </row>
    <row r="185" spans="1:19" x14ac:dyDescent="0.3">
      <c r="A185">
        <v>2012</v>
      </c>
      <c r="B185" t="s">
        <v>101</v>
      </c>
      <c r="C185" t="s">
        <v>100</v>
      </c>
      <c r="D185" s="34">
        <f>ROUND(Table1[[#This Row],[Content.Column7]] * 1000, 0)</f>
        <v>291353</v>
      </c>
      <c r="E185" s="34">
        <f>ROUND(Table1[[#This Row],[Content.Column8]] * 1000, 0)</f>
        <v>202979</v>
      </c>
      <c r="F185" s="34">
        <f>ROUND(Table1[[#This Row],[Content.Column9]] * 1000, 0)</f>
        <v>494332</v>
      </c>
      <c r="G185" s="34">
        <f>ROUND(Table1[[#This Row],[Content.Column10]] * 1000, 0)</f>
        <v>515802</v>
      </c>
      <c r="H185" s="32">
        <f>ROUND(Table1[[#This Row],[Content.Column11]] * 1000, 0)</f>
        <v>1148885</v>
      </c>
      <c r="I185" s="32">
        <f>ROUND(Table1[[#This Row],[Content.Column12]] * 1000, 0)</f>
        <v>520540</v>
      </c>
      <c r="J185" s="32">
        <f>ROUND(Table1[[#This Row],[Content.Column13]] * 1000, 0)</f>
        <v>1669424</v>
      </c>
      <c r="K185" s="32">
        <f>ROUND(Table1[[#This Row],[Content.Column14]] * 1000, 0)</f>
        <v>1733055</v>
      </c>
      <c r="L185" s="30">
        <f>ROUND(Table1[[#This Row],[Content.Column3]] * 1000, 0)</f>
        <v>1440238</v>
      </c>
      <c r="M185" s="30">
        <f>ROUND(Table1[[#This Row],[Content.Column4]] * 1000, 0)</f>
        <v>723519</v>
      </c>
      <c r="N185" s="30">
        <f>ROUND(Table1[[#This Row],[Content.Column5]] * 1000, 0)</f>
        <v>2163757</v>
      </c>
      <c r="O185" s="30">
        <f>ROUND(Table1[[#This Row],[Content.Column6]] * 1000, 0)</f>
        <v>2248856</v>
      </c>
      <c r="P185" s="27"/>
      <c r="Q185" s="27"/>
      <c r="R185"/>
      <c r="S185"/>
    </row>
    <row r="186" spans="1:19" x14ac:dyDescent="0.3">
      <c r="A186">
        <v>2012</v>
      </c>
      <c r="B186" t="s">
        <v>103</v>
      </c>
      <c r="C186" t="s">
        <v>102</v>
      </c>
      <c r="D186" s="34">
        <f>ROUND(Table1[[#This Row],[Content.Column7]] * 1000, 0)</f>
        <v>209625</v>
      </c>
      <c r="E186" s="34">
        <f>ROUND(Table1[[#This Row],[Content.Column8]] * 1000, 0)</f>
        <v>167828</v>
      </c>
      <c r="F186" s="34">
        <f>ROUND(Table1[[#This Row],[Content.Column9]] * 1000, 0)</f>
        <v>377453</v>
      </c>
      <c r="G186" s="34">
        <f>ROUND(Table1[[#This Row],[Content.Column10]] * 1000, 0)</f>
        <v>397045</v>
      </c>
      <c r="H186" s="32">
        <f>ROUND(Table1[[#This Row],[Content.Column11]] * 1000, 0)</f>
        <v>1062702</v>
      </c>
      <c r="I186" s="32">
        <f>ROUND(Table1[[#This Row],[Content.Column12]] * 1000, 0)</f>
        <v>463259</v>
      </c>
      <c r="J186" s="32">
        <f>ROUND(Table1[[#This Row],[Content.Column13]] * 1000, 0)</f>
        <v>1525961</v>
      </c>
      <c r="K186" s="32">
        <f>ROUND(Table1[[#This Row],[Content.Column14]] * 1000, 0)</f>
        <v>1580641</v>
      </c>
      <c r="L186" s="30">
        <f>ROUND(Table1[[#This Row],[Content.Column3]] * 1000, 0)</f>
        <v>1272327</v>
      </c>
      <c r="M186" s="30">
        <f>ROUND(Table1[[#This Row],[Content.Column4]] * 1000, 0)</f>
        <v>631088</v>
      </c>
      <c r="N186" s="30">
        <f>ROUND(Table1[[#This Row],[Content.Column5]] * 1000, 0)</f>
        <v>1903414</v>
      </c>
      <c r="O186" s="30">
        <f>ROUND(Table1[[#This Row],[Content.Column6]] * 1000, 0)</f>
        <v>1977686</v>
      </c>
      <c r="P186" s="27"/>
      <c r="Q186" s="27"/>
      <c r="R186"/>
      <c r="S186"/>
    </row>
    <row r="187" spans="1:19" x14ac:dyDescent="0.3">
      <c r="A187">
        <v>2012</v>
      </c>
      <c r="B187" t="s">
        <v>105</v>
      </c>
      <c r="C187" t="s">
        <v>104</v>
      </c>
      <c r="D187" s="34">
        <f>ROUND(Table1[[#This Row],[Content.Column7]] * 1000, 0)</f>
        <v>284639</v>
      </c>
      <c r="E187" s="34">
        <f>ROUND(Table1[[#This Row],[Content.Column8]] * 1000, 0)</f>
        <v>202118</v>
      </c>
      <c r="F187" s="34">
        <f>ROUND(Table1[[#This Row],[Content.Column9]] * 1000, 0)</f>
        <v>486757</v>
      </c>
      <c r="G187" s="34">
        <f>ROUND(Table1[[#This Row],[Content.Column10]] * 1000, 0)</f>
        <v>511111</v>
      </c>
      <c r="H187" s="32">
        <f>ROUND(Table1[[#This Row],[Content.Column11]] * 1000, 0)</f>
        <v>1275920</v>
      </c>
      <c r="I187" s="32">
        <f>ROUND(Table1[[#This Row],[Content.Column12]] * 1000, 0)</f>
        <v>560233</v>
      </c>
      <c r="J187" s="32">
        <f>ROUND(Table1[[#This Row],[Content.Column13]] * 1000, 0)</f>
        <v>1836152</v>
      </c>
      <c r="K187" s="32">
        <f>ROUND(Table1[[#This Row],[Content.Column14]] * 1000, 0)</f>
        <v>1909935</v>
      </c>
      <c r="L187" s="30">
        <f>ROUND(Table1[[#This Row],[Content.Column3]] * 1000, 0)</f>
        <v>1560558</v>
      </c>
      <c r="M187" s="30">
        <f>ROUND(Table1[[#This Row],[Content.Column4]] * 1000, 0)</f>
        <v>762351</v>
      </c>
      <c r="N187" s="30">
        <f>ROUND(Table1[[#This Row],[Content.Column5]] * 1000, 0)</f>
        <v>2322909</v>
      </c>
      <c r="O187" s="30">
        <f>ROUND(Table1[[#This Row],[Content.Column6]] * 1000, 0)</f>
        <v>2421046</v>
      </c>
      <c r="P187" s="27"/>
      <c r="Q187" s="27"/>
      <c r="R187"/>
      <c r="S187"/>
    </row>
    <row r="188" spans="1:19" x14ac:dyDescent="0.3">
      <c r="A188">
        <v>2012</v>
      </c>
      <c r="B188" t="s">
        <v>107</v>
      </c>
      <c r="C188" t="s">
        <v>106</v>
      </c>
      <c r="D188" s="34">
        <f>ROUND(Table1[[#This Row],[Content.Column7]] * 1000, 0)</f>
        <v>268347</v>
      </c>
      <c r="E188" s="34">
        <f>ROUND(Table1[[#This Row],[Content.Column8]] * 1000, 0)</f>
        <v>199389</v>
      </c>
      <c r="F188" s="34">
        <f>ROUND(Table1[[#This Row],[Content.Column9]] * 1000, 0)</f>
        <v>467736</v>
      </c>
      <c r="G188" s="34">
        <f>ROUND(Table1[[#This Row],[Content.Column10]] * 1000, 0)</f>
        <v>487606</v>
      </c>
      <c r="H188" s="32">
        <f>ROUND(Table1[[#This Row],[Content.Column11]] * 1000, 0)</f>
        <v>1312320</v>
      </c>
      <c r="I188" s="32">
        <f>ROUND(Table1[[#This Row],[Content.Column12]] * 1000, 0)</f>
        <v>639250</v>
      </c>
      <c r="J188" s="32">
        <f>ROUND(Table1[[#This Row],[Content.Column13]] * 1000, 0)</f>
        <v>1951570</v>
      </c>
      <c r="K188" s="32">
        <f>ROUND(Table1[[#This Row],[Content.Column14]] * 1000, 0)</f>
        <v>2037365</v>
      </c>
      <c r="L188" s="30">
        <f>ROUND(Table1[[#This Row],[Content.Column3]] * 1000, 0)</f>
        <v>1580667</v>
      </c>
      <c r="M188" s="30">
        <f>ROUND(Table1[[#This Row],[Content.Column4]] * 1000, 0)</f>
        <v>838639</v>
      </c>
      <c r="N188" s="30">
        <f>ROUND(Table1[[#This Row],[Content.Column5]] * 1000, 0)</f>
        <v>2419307</v>
      </c>
      <c r="O188" s="30">
        <f>ROUND(Table1[[#This Row],[Content.Column6]] * 1000, 0)</f>
        <v>2524972</v>
      </c>
      <c r="P188" s="27"/>
      <c r="Q188" s="27"/>
      <c r="R188"/>
      <c r="S188"/>
    </row>
    <row r="189" spans="1:19" x14ac:dyDescent="0.3">
      <c r="A189">
        <v>2012</v>
      </c>
      <c r="B189" t="s">
        <v>109</v>
      </c>
      <c r="C189" t="s">
        <v>108</v>
      </c>
      <c r="D189" s="34">
        <f>ROUND(Table1[[#This Row],[Content.Column7]] * 1000, 0)</f>
        <v>560062</v>
      </c>
      <c r="E189" s="34">
        <f>ROUND(Table1[[#This Row],[Content.Column8]] * 1000, 0)</f>
        <v>204058</v>
      </c>
      <c r="F189" s="34">
        <f>ROUND(Table1[[#This Row],[Content.Column9]] * 1000, 0)</f>
        <v>764120</v>
      </c>
      <c r="G189" s="34">
        <f>ROUND(Table1[[#This Row],[Content.Column10]] * 1000, 0)</f>
        <v>766633</v>
      </c>
      <c r="H189" s="32">
        <f>ROUND(Table1[[#This Row],[Content.Column11]] * 1000, 0)</f>
        <v>2688682</v>
      </c>
      <c r="I189" s="32">
        <f>ROUND(Table1[[#This Row],[Content.Column12]] * 1000, 0)</f>
        <v>993898</v>
      </c>
      <c r="J189" s="32">
        <f>ROUND(Table1[[#This Row],[Content.Column13]] * 1000, 0)</f>
        <v>3682577</v>
      </c>
      <c r="K189" s="32">
        <f>ROUND(Table1[[#This Row],[Content.Column14]] * 1000, 0)</f>
        <v>3826942</v>
      </c>
      <c r="L189" s="30">
        <f>ROUND(Table1[[#This Row],[Content.Column3]] * 1000, 0)</f>
        <v>3248744</v>
      </c>
      <c r="M189" s="30">
        <f>ROUND(Table1[[#This Row],[Content.Column4]] * 1000, 0)</f>
        <v>1197956</v>
      </c>
      <c r="N189" s="30">
        <f>ROUND(Table1[[#This Row],[Content.Column5]] * 1000, 0)</f>
        <v>4446697</v>
      </c>
      <c r="O189" s="30">
        <f>ROUND(Table1[[#This Row],[Content.Column6]] * 1000, 0)</f>
        <v>4593575</v>
      </c>
      <c r="P189" s="27"/>
      <c r="Q189" s="27"/>
      <c r="R189"/>
      <c r="S189"/>
    </row>
    <row r="190" spans="1:19" x14ac:dyDescent="0.3">
      <c r="A190">
        <v>2012</v>
      </c>
      <c r="B190" t="s">
        <v>111</v>
      </c>
      <c r="C190" t="s">
        <v>110</v>
      </c>
      <c r="D190" s="34">
        <f>ROUND(Table1[[#This Row],[Content.Column7]] * 1000, 0)</f>
        <v>391001</v>
      </c>
      <c r="E190" s="34">
        <f>ROUND(Table1[[#This Row],[Content.Column8]] * 1000, 0)</f>
        <v>251142</v>
      </c>
      <c r="F190" s="34">
        <f>ROUND(Table1[[#This Row],[Content.Column9]] * 1000, 0)</f>
        <v>642143</v>
      </c>
      <c r="G190" s="34">
        <f>ROUND(Table1[[#This Row],[Content.Column10]] * 1000, 0)</f>
        <v>663866</v>
      </c>
      <c r="H190" s="32">
        <f>ROUND(Table1[[#This Row],[Content.Column11]] * 1000, 0)</f>
        <v>2140755</v>
      </c>
      <c r="I190" s="32">
        <f>ROUND(Table1[[#This Row],[Content.Column12]] * 1000, 0)</f>
        <v>996798</v>
      </c>
      <c r="J190" s="32">
        <f>ROUND(Table1[[#This Row],[Content.Column13]] * 1000, 0)</f>
        <v>3137556</v>
      </c>
      <c r="K190" s="32">
        <f>ROUND(Table1[[#This Row],[Content.Column14]] * 1000, 0)</f>
        <v>3269155</v>
      </c>
      <c r="L190" s="30">
        <f>ROUND(Table1[[#This Row],[Content.Column3]] * 1000, 0)</f>
        <v>2531756</v>
      </c>
      <c r="M190" s="30">
        <f>ROUND(Table1[[#This Row],[Content.Column4]] * 1000, 0)</f>
        <v>1247940</v>
      </c>
      <c r="N190" s="30">
        <f>ROUND(Table1[[#This Row],[Content.Column5]] * 1000, 0)</f>
        <v>3779699</v>
      </c>
      <c r="O190" s="30">
        <f>ROUND(Table1[[#This Row],[Content.Column6]] * 1000, 0)</f>
        <v>3933020</v>
      </c>
      <c r="P190" s="27"/>
      <c r="Q190" s="27"/>
      <c r="R190"/>
      <c r="S190"/>
    </row>
    <row r="191" spans="1:19" x14ac:dyDescent="0.3">
      <c r="A191">
        <v>2012</v>
      </c>
      <c r="B191" t="s">
        <v>113</v>
      </c>
      <c r="C191" t="s">
        <v>112</v>
      </c>
      <c r="D191" s="34">
        <f>ROUND(Table1[[#This Row],[Content.Column7]] * 1000, 0)</f>
        <v>261921</v>
      </c>
      <c r="E191" s="34">
        <f>ROUND(Table1[[#This Row],[Content.Column8]] * 1000, 0)</f>
        <v>198073</v>
      </c>
      <c r="F191" s="34">
        <f>ROUND(Table1[[#This Row],[Content.Column9]] * 1000, 0)</f>
        <v>459994</v>
      </c>
      <c r="G191" s="34">
        <f>ROUND(Table1[[#This Row],[Content.Column10]] * 1000, 0)</f>
        <v>504666</v>
      </c>
      <c r="H191" s="32">
        <f>ROUND(Table1[[#This Row],[Content.Column11]] * 1000, 0)</f>
        <v>1138993</v>
      </c>
      <c r="I191" s="32">
        <f>ROUND(Table1[[#This Row],[Content.Column12]] * 1000, 0)</f>
        <v>632821</v>
      </c>
      <c r="J191" s="32">
        <f>ROUND(Table1[[#This Row],[Content.Column13]] * 1000, 0)</f>
        <v>1771815</v>
      </c>
      <c r="K191" s="32">
        <f>ROUND(Table1[[#This Row],[Content.Column14]] * 1000, 0)</f>
        <v>1868679</v>
      </c>
      <c r="L191" s="30">
        <f>ROUND(Table1[[#This Row],[Content.Column3]] * 1000, 0)</f>
        <v>1400915</v>
      </c>
      <c r="M191" s="30">
        <f>ROUND(Table1[[#This Row],[Content.Column4]] * 1000, 0)</f>
        <v>830893</v>
      </c>
      <c r="N191" s="30">
        <f>ROUND(Table1[[#This Row],[Content.Column5]] * 1000, 0)</f>
        <v>2231809</v>
      </c>
      <c r="O191" s="30">
        <f>ROUND(Table1[[#This Row],[Content.Column6]] * 1000, 0)</f>
        <v>2373345</v>
      </c>
      <c r="P191" s="27"/>
      <c r="Q191" s="27"/>
      <c r="R191"/>
      <c r="S191"/>
    </row>
    <row r="192" spans="1:19" x14ac:dyDescent="0.3">
      <c r="A192">
        <v>2012</v>
      </c>
      <c r="B192" t="s">
        <v>115</v>
      </c>
      <c r="C192" t="s">
        <v>114</v>
      </c>
      <c r="D192" s="34">
        <f>ROUND(Table1[[#This Row],[Content.Column7]] * 1000, 0)</f>
        <v>212909</v>
      </c>
      <c r="E192" s="34">
        <f>ROUND(Table1[[#This Row],[Content.Column8]] * 1000, 0)</f>
        <v>130426</v>
      </c>
      <c r="F192" s="34">
        <f>ROUND(Table1[[#This Row],[Content.Column9]] * 1000, 0)</f>
        <v>343335</v>
      </c>
      <c r="G192" s="34">
        <f>ROUND(Table1[[#This Row],[Content.Column10]] * 1000, 0)</f>
        <v>389047</v>
      </c>
      <c r="H192" s="32">
        <f>ROUND(Table1[[#This Row],[Content.Column11]] * 1000, 0)</f>
        <v>548361</v>
      </c>
      <c r="I192" s="32">
        <f>ROUND(Table1[[#This Row],[Content.Column12]] * 1000, 0)</f>
        <v>286493</v>
      </c>
      <c r="J192" s="32">
        <f>ROUND(Table1[[#This Row],[Content.Column13]] * 1000, 0)</f>
        <v>834855</v>
      </c>
      <c r="K192" s="32">
        <f>ROUND(Table1[[#This Row],[Content.Column14]] * 1000, 0)</f>
        <v>879701</v>
      </c>
      <c r="L192" s="30">
        <f>ROUND(Table1[[#This Row],[Content.Column3]] * 1000, 0)</f>
        <v>761270</v>
      </c>
      <c r="M192" s="30">
        <f>ROUND(Table1[[#This Row],[Content.Column4]] * 1000, 0)</f>
        <v>416919</v>
      </c>
      <c r="N192" s="30">
        <f>ROUND(Table1[[#This Row],[Content.Column5]] * 1000, 0)</f>
        <v>1178189</v>
      </c>
      <c r="O192" s="30">
        <f>ROUND(Table1[[#This Row],[Content.Column6]] * 1000, 0)</f>
        <v>1268748</v>
      </c>
      <c r="P192" s="27"/>
      <c r="Q192" s="27"/>
      <c r="R192"/>
      <c r="S192"/>
    </row>
    <row r="193" spans="1:19" x14ac:dyDescent="0.3">
      <c r="A193">
        <v>2012</v>
      </c>
      <c r="B193" t="s">
        <v>117</v>
      </c>
      <c r="C193" t="s">
        <v>116</v>
      </c>
      <c r="D193" s="34">
        <f>ROUND(Table1[[#This Row],[Content.Column7]] * 1000, 0)</f>
        <v>396988</v>
      </c>
      <c r="E193" s="34">
        <f>ROUND(Table1[[#This Row],[Content.Column8]] * 1000, 0)</f>
        <v>231020</v>
      </c>
      <c r="F193" s="34">
        <f>ROUND(Table1[[#This Row],[Content.Column9]] * 1000, 0)</f>
        <v>628008</v>
      </c>
      <c r="G193" s="34">
        <f>ROUND(Table1[[#This Row],[Content.Column10]] * 1000, 0)</f>
        <v>669530</v>
      </c>
      <c r="H193" s="32">
        <f>ROUND(Table1[[#This Row],[Content.Column11]] * 1000, 0)</f>
        <v>1153874</v>
      </c>
      <c r="I193" s="32">
        <f>ROUND(Table1[[#This Row],[Content.Column12]] * 1000, 0)</f>
        <v>536778</v>
      </c>
      <c r="J193" s="32">
        <f>ROUND(Table1[[#This Row],[Content.Column13]] * 1000, 0)</f>
        <v>1690652</v>
      </c>
      <c r="K193" s="32">
        <f>ROUND(Table1[[#This Row],[Content.Column14]] * 1000, 0)</f>
        <v>1758909</v>
      </c>
      <c r="L193" s="30">
        <f>ROUND(Table1[[#This Row],[Content.Column3]] * 1000, 0)</f>
        <v>1550862</v>
      </c>
      <c r="M193" s="30">
        <f>ROUND(Table1[[#This Row],[Content.Column4]] * 1000, 0)</f>
        <v>767798</v>
      </c>
      <c r="N193" s="30">
        <f>ROUND(Table1[[#This Row],[Content.Column5]] * 1000, 0)</f>
        <v>2318660</v>
      </c>
      <c r="O193" s="30">
        <f>ROUND(Table1[[#This Row],[Content.Column6]] * 1000, 0)</f>
        <v>2428439</v>
      </c>
      <c r="P193" s="27"/>
      <c r="Q193" s="27"/>
      <c r="R193"/>
      <c r="S193"/>
    </row>
    <row r="194" spans="1:19" x14ac:dyDescent="0.3">
      <c r="A194">
        <v>2012</v>
      </c>
      <c r="B194" t="s">
        <v>119</v>
      </c>
      <c r="C194" t="s">
        <v>118</v>
      </c>
      <c r="D194" s="34">
        <f>ROUND(Table1[[#This Row],[Content.Column7]] * 1000, 0)</f>
        <v>2827234</v>
      </c>
      <c r="E194" s="34">
        <f>ROUND(Table1[[#This Row],[Content.Column8]] * 1000, 0)</f>
        <v>1781192</v>
      </c>
      <c r="F194" s="34">
        <f>ROUND(Table1[[#This Row],[Content.Column9]] * 1000, 0)</f>
        <v>4608426</v>
      </c>
      <c r="G194" s="34">
        <f>ROUND(Table1[[#This Row],[Content.Column10]] * 1000, 0)</f>
        <v>4792995</v>
      </c>
      <c r="H194" s="32">
        <f>ROUND(Table1[[#This Row],[Content.Column11]] * 1000, 0)</f>
        <v>12857513</v>
      </c>
      <c r="I194" s="32">
        <f>ROUND(Table1[[#This Row],[Content.Column12]] * 1000, 0)</f>
        <v>5790079</v>
      </c>
      <c r="J194" s="32">
        <f>ROUND(Table1[[#This Row],[Content.Column13]] * 1000, 0)</f>
        <v>18647593</v>
      </c>
      <c r="K194" s="32">
        <f>ROUND(Table1[[#This Row],[Content.Column14]] * 1000, 0)</f>
        <v>19415246</v>
      </c>
      <c r="L194" s="30">
        <f>ROUND(Table1[[#This Row],[Content.Column3]] * 1000, 0)</f>
        <v>15684747</v>
      </c>
      <c r="M194" s="30">
        <f>ROUND(Table1[[#This Row],[Content.Column4]] * 1000, 0)</f>
        <v>7571271</v>
      </c>
      <c r="N194" s="30">
        <f>ROUND(Table1[[#This Row],[Content.Column5]] * 1000, 0)</f>
        <v>23256019</v>
      </c>
      <c r="O194" s="30">
        <f>ROUND(Table1[[#This Row],[Content.Column6]] * 1000, 0)</f>
        <v>24208241</v>
      </c>
      <c r="P194" s="27"/>
      <c r="Q194" s="27"/>
      <c r="R194"/>
      <c r="S194"/>
    </row>
    <row r="195" spans="1:19" x14ac:dyDescent="0.3">
      <c r="A195">
        <v>2012</v>
      </c>
      <c r="B195" t="s">
        <v>121</v>
      </c>
      <c r="C195" t="s">
        <v>120</v>
      </c>
      <c r="D195" s="34">
        <f>ROUND(Table1[[#This Row],[Content.Column7]] * 1000, 0)</f>
        <v>3437131</v>
      </c>
      <c r="E195" s="34">
        <f>ROUND(Table1[[#This Row],[Content.Column8]] * 1000, 0)</f>
        <v>2142637</v>
      </c>
      <c r="F195" s="34">
        <f>ROUND(Table1[[#This Row],[Content.Column9]] * 1000, 0)</f>
        <v>5579769</v>
      </c>
      <c r="G195" s="34">
        <f>ROUND(Table1[[#This Row],[Content.Column10]] * 1000, 0)</f>
        <v>5851572</v>
      </c>
      <c r="H195" s="32">
        <f>ROUND(Table1[[#This Row],[Content.Column11]] * 1000, 0)</f>
        <v>2012000</v>
      </c>
      <c r="I195" s="32">
        <f>ROUND(Table1[[#This Row],[Content.Column12]] * 1000, 0)</f>
        <v>2012000</v>
      </c>
      <c r="J195" s="32">
        <f>ROUND(Table1[[#This Row],[Content.Column13]] * 1000, 0)</f>
        <v>2012000</v>
      </c>
      <c r="K195" s="32">
        <f>ROUND(Table1[[#This Row],[Content.Column14]] * 1000, 0)</f>
        <v>2012000</v>
      </c>
      <c r="L195" s="30">
        <f>ROUND(Table1[[#This Row],[Content.Column3]] * 1000, 0)</f>
        <v>17996880</v>
      </c>
      <c r="M195" s="30">
        <f>ROUND(Table1[[#This Row],[Content.Column4]] * 1000, 0)</f>
        <v>8755988</v>
      </c>
      <c r="N195" s="30">
        <f>ROUND(Table1[[#This Row],[Content.Column5]] * 1000, 0)</f>
        <v>26752869</v>
      </c>
      <c r="O195" s="30">
        <f>ROUND(Table1[[#This Row],[Content.Column6]] * 1000, 0)</f>
        <v>27905428</v>
      </c>
      <c r="P195" s="27"/>
      <c r="Q195" s="27"/>
      <c r="R195"/>
      <c r="S195"/>
    </row>
    <row r="196" spans="1:19" x14ac:dyDescent="0.3">
      <c r="A196">
        <v>2013</v>
      </c>
      <c r="B196" t="s">
        <v>27</v>
      </c>
      <c r="C196" t="s">
        <v>26</v>
      </c>
      <c r="D196" s="34">
        <f>ROUND(Table1[[#This Row],[Content.Column7]] * 1000, 0)</f>
        <v>19239</v>
      </c>
      <c r="E196" s="34">
        <f>ROUND(Table1[[#This Row],[Content.Column8]] * 1000, 0)</f>
        <v>4981</v>
      </c>
      <c r="F196" s="34">
        <f>ROUND(Table1[[#This Row],[Content.Column9]] * 1000, 0)</f>
        <v>24220</v>
      </c>
      <c r="G196" s="34">
        <f>ROUND(Table1[[#This Row],[Content.Column10]] * 1000, 0)</f>
        <v>24252</v>
      </c>
      <c r="H196" s="32">
        <f>ROUND(Table1[[#This Row],[Content.Column11]] * 1000, 0)</f>
        <v>308784</v>
      </c>
      <c r="I196" s="32">
        <f>ROUND(Table1[[#This Row],[Content.Column12]] * 1000, 0)</f>
        <v>43614</v>
      </c>
      <c r="J196" s="32">
        <f>ROUND(Table1[[#This Row],[Content.Column13]] * 1000, 0)</f>
        <v>352397</v>
      </c>
      <c r="K196" s="32">
        <f>ROUND(Table1[[#This Row],[Content.Column14]] * 1000, 0)</f>
        <v>366917</v>
      </c>
      <c r="L196" s="30">
        <f>ROUND(Table1[[#This Row],[Content.Column3]] * 1000, 0)</f>
        <v>328023</v>
      </c>
      <c r="M196" s="30">
        <f>ROUND(Table1[[#This Row],[Content.Column4]] * 1000, 0)</f>
        <v>48595</v>
      </c>
      <c r="N196" s="30">
        <f>ROUND(Table1[[#This Row],[Content.Column5]] * 1000, 0)</f>
        <v>376617</v>
      </c>
      <c r="O196" s="30">
        <f>ROUND(Table1[[#This Row],[Content.Column6]] * 1000, 0)</f>
        <v>391169</v>
      </c>
      <c r="P196" s="27"/>
      <c r="Q196" s="27"/>
      <c r="R196"/>
      <c r="S196"/>
    </row>
    <row r="197" spans="1:19" x14ac:dyDescent="0.3">
      <c r="A197">
        <v>2013</v>
      </c>
      <c r="B197" t="s">
        <v>29</v>
      </c>
      <c r="C197" t="s">
        <v>28</v>
      </c>
      <c r="D197" s="34">
        <f>ROUND(Table1[[#This Row],[Content.Column7]] * 1000, 0)</f>
        <v>5187</v>
      </c>
      <c r="E197" s="34">
        <f>ROUND(Table1[[#This Row],[Content.Column8]] * 1000, 0)</f>
        <v>5944</v>
      </c>
      <c r="F197" s="34">
        <f>ROUND(Table1[[#This Row],[Content.Column9]] * 1000, 0)</f>
        <v>11131</v>
      </c>
      <c r="G197" s="34">
        <f>ROUND(Table1[[#This Row],[Content.Column10]] * 1000, 0)</f>
        <v>11132</v>
      </c>
      <c r="H197" s="32">
        <f>ROUND(Table1[[#This Row],[Content.Column11]] * 1000, 0)</f>
        <v>26805</v>
      </c>
      <c r="I197" s="32">
        <f>ROUND(Table1[[#This Row],[Content.Column12]] * 1000, 0)</f>
        <v>10742</v>
      </c>
      <c r="J197" s="32">
        <f>ROUND(Table1[[#This Row],[Content.Column13]] * 1000, 0)</f>
        <v>37547</v>
      </c>
      <c r="K197" s="32">
        <f>ROUND(Table1[[#This Row],[Content.Column14]] * 1000, 0)</f>
        <v>38657</v>
      </c>
      <c r="L197" s="30">
        <f>ROUND(Table1[[#This Row],[Content.Column3]] * 1000, 0)</f>
        <v>31992</v>
      </c>
      <c r="M197" s="30">
        <f>ROUND(Table1[[#This Row],[Content.Column4]] * 1000, 0)</f>
        <v>16686</v>
      </c>
      <c r="N197" s="30">
        <f>ROUND(Table1[[#This Row],[Content.Column5]] * 1000, 0)</f>
        <v>48678</v>
      </c>
      <c r="O197" s="30">
        <f>ROUND(Table1[[#This Row],[Content.Column6]] * 1000, 0)</f>
        <v>49789</v>
      </c>
      <c r="P197" s="27"/>
      <c r="Q197" s="27"/>
      <c r="R197"/>
      <c r="S197"/>
    </row>
    <row r="198" spans="1:19" x14ac:dyDescent="0.3">
      <c r="A198">
        <v>2013</v>
      </c>
      <c r="B198" t="s">
        <v>31</v>
      </c>
      <c r="C198" t="s">
        <v>30</v>
      </c>
      <c r="D198" s="34">
        <f>ROUND(Table1[[#This Row],[Content.Column7]] * 1000, 0)</f>
        <v>15582</v>
      </c>
      <c r="E198" s="34">
        <f>ROUND(Table1[[#This Row],[Content.Column8]] * 1000, 0)</f>
        <v>7872</v>
      </c>
      <c r="F198" s="34">
        <f>ROUND(Table1[[#This Row],[Content.Column9]] * 1000, 0)</f>
        <v>23454</v>
      </c>
      <c r="G198" s="34">
        <f>ROUND(Table1[[#This Row],[Content.Column10]] * 1000, 0)</f>
        <v>23743</v>
      </c>
      <c r="H198" s="32">
        <f>ROUND(Table1[[#This Row],[Content.Column11]] * 1000, 0)</f>
        <v>61930</v>
      </c>
      <c r="I198" s="32">
        <f>ROUND(Table1[[#This Row],[Content.Column12]] * 1000, 0)</f>
        <v>32857</v>
      </c>
      <c r="J198" s="32">
        <f>ROUND(Table1[[#This Row],[Content.Column13]] * 1000, 0)</f>
        <v>94787</v>
      </c>
      <c r="K198" s="32">
        <f>ROUND(Table1[[#This Row],[Content.Column14]] * 1000, 0)</f>
        <v>99872</v>
      </c>
      <c r="L198" s="30">
        <f>ROUND(Table1[[#This Row],[Content.Column3]] * 1000, 0)</f>
        <v>77512</v>
      </c>
      <c r="M198" s="30">
        <f>ROUND(Table1[[#This Row],[Content.Column4]] * 1000, 0)</f>
        <v>40730</v>
      </c>
      <c r="N198" s="30">
        <f>ROUND(Table1[[#This Row],[Content.Column5]] * 1000, 0)</f>
        <v>118241</v>
      </c>
      <c r="O198" s="30">
        <f>ROUND(Table1[[#This Row],[Content.Column6]] * 1000, 0)</f>
        <v>123615</v>
      </c>
      <c r="P198" s="27"/>
      <c r="Q198" s="27"/>
      <c r="R198"/>
      <c r="S198"/>
    </row>
    <row r="199" spans="1:19" x14ac:dyDescent="0.3">
      <c r="A199">
        <v>2013</v>
      </c>
      <c r="B199" t="s">
        <v>33</v>
      </c>
      <c r="C199" t="s">
        <v>32</v>
      </c>
      <c r="D199" s="34">
        <f>ROUND(Table1[[#This Row],[Content.Column7]] * 1000, 0)</f>
        <v>6891</v>
      </c>
      <c r="E199" s="34">
        <f>ROUND(Table1[[#This Row],[Content.Column8]] * 1000, 0)</f>
        <v>5156</v>
      </c>
      <c r="F199" s="34">
        <f>ROUND(Table1[[#This Row],[Content.Column9]] * 1000, 0)</f>
        <v>12047</v>
      </c>
      <c r="G199" s="34">
        <f>ROUND(Table1[[#This Row],[Content.Column10]] * 1000, 0)</f>
        <v>12051</v>
      </c>
      <c r="H199" s="32">
        <f>ROUND(Table1[[#This Row],[Content.Column11]] * 1000, 0)</f>
        <v>35620</v>
      </c>
      <c r="I199" s="32">
        <f>ROUND(Table1[[#This Row],[Content.Column12]] * 1000, 0)</f>
        <v>19443</v>
      </c>
      <c r="J199" s="32">
        <f>ROUND(Table1[[#This Row],[Content.Column13]] * 1000, 0)</f>
        <v>55062</v>
      </c>
      <c r="K199" s="32">
        <f>ROUND(Table1[[#This Row],[Content.Column14]] * 1000, 0)</f>
        <v>57174</v>
      </c>
      <c r="L199" s="30">
        <f>ROUND(Table1[[#This Row],[Content.Column3]] * 1000, 0)</f>
        <v>42511</v>
      </c>
      <c r="M199" s="30">
        <f>ROUND(Table1[[#This Row],[Content.Column4]] * 1000, 0)</f>
        <v>24599</v>
      </c>
      <c r="N199" s="30">
        <f>ROUND(Table1[[#This Row],[Content.Column5]] * 1000, 0)</f>
        <v>67109</v>
      </c>
      <c r="O199" s="30">
        <f>ROUND(Table1[[#This Row],[Content.Column6]] * 1000, 0)</f>
        <v>69225</v>
      </c>
      <c r="P199" s="27"/>
      <c r="Q199" s="27"/>
      <c r="R199"/>
      <c r="S199"/>
    </row>
    <row r="200" spans="1:19" x14ac:dyDescent="0.3">
      <c r="A200">
        <v>2013</v>
      </c>
      <c r="B200" t="s">
        <v>35</v>
      </c>
      <c r="C200" t="s">
        <v>34</v>
      </c>
      <c r="D200" s="34">
        <f>ROUND(Table1[[#This Row],[Content.Column7]] * 1000, 0)</f>
        <v>14606</v>
      </c>
      <c r="E200" s="34">
        <f>ROUND(Table1[[#This Row],[Content.Column8]] * 1000, 0)</f>
        <v>6581</v>
      </c>
      <c r="F200" s="34">
        <f>ROUND(Table1[[#This Row],[Content.Column9]] * 1000, 0)</f>
        <v>21187</v>
      </c>
      <c r="G200" s="34">
        <f>ROUND(Table1[[#This Row],[Content.Column10]] * 1000, 0)</f>
        <v>21194</v>
      </c>
      <c r="H200" s="32">
        <f>ROUND(Table1[[#This Row],[Content.Column11]] * 1000, 0)</f>
        <v>60663</v>
      </c>
      <c r="I200" s="32">
        <f>ROUND(Table1[[#This Row],[Content.Column12]] * 1000, 0)</f>
        <v>26249</v>
      </c>
      <c r="J200" s="32">
        <f>ROUND(Table1[[#This Row],[Content.Column13]] * 1000, 0)</f>
        <v>86912</v>
      </c>
      <c r="K200" s="32">
        <f>ROUND(Table1[[#This Row],[Content.Column14]] * 1000, 0)</f>
        <v>90074</v>
      </c>
      <c r="L200" s="30">
        <f>ROUND(Table1[[#This Row],[Content.Column3]] * 1000, 0)</f>
        <v>75269</v>
      </c>
      <c r="M200" s="30">
        <f>ROUND(Table1[[#This Row],[Content.Column4]] * 1000, 0)</f>
        <v>32830</v>
      </c>
      <c r="N200" s="30">
        <f>ROUND(Table1[[#This Row],[Content.Column5]] * 1000, 0)</f>
        <v>108099</v>
      </c>
      <c r="O200" s="30">
        <f>ROUND(Table1[[#This Row],[Content.Column6]] * 1000, 0)</f>
        <v>111267</v>
      </c>
      <c r="P200" s="27"/>
      <c r="Q200" s="27"/>
      <c r="R200"/>
      <c r="S200"/>
    </row>
    <row r="201" spans="1:19" x14ac:dyDescent="0.3">
      <c r="A201">
        <v>2013</v>
      </c>
      <c r="B201" t="s">
        <v>37</v>
      </c>
      <c r="C201" t="s">
        <v>36</v>
      </c>
      <c r="D201" s="34">
        <f>ROUND(Table1[[#This Row],[Content.Column7]] * 1000, 0)</f>
        <v>8377</v>
      </c>
      <c r="E201" s="34">
        <f>ROUND(Table1[[#This Row],[Content.Column8]] * 1000, 0)</f>
        <v>6928</v>
      </c>
      <c r="F201" s="34">
        <f>ROUND(Table1[[#This Row],[Content.Column9]] * 1000, 0)</f>
        <v>15305</v>
      </c>
      <c r="G201" s="34">
        <f>ROUND(Table1[[#This Row],[Content.Column10]] * 1000, 0)</f>
        <v>15314</v>
      </c>
      <c r="H201" s="32">
        <f>ROUND(Table1[[#This Row],[Content.Column11]] * 1000, 0)</f>
        <v>54050</v>
      </c>
      <c r="I201" s="32">
        <f>ROUND(Table1[[#This Row],[Content.Column12]] * 1000, 0)</f>
        <v>31595</v>
      </c>
      <c r="J201" s="32">
        <f>ROUND(Table1[[#This Row],[Content.Column13]] * 1000, 0)</f>
        <v>85644</v>
      </c>
      <c r="K201" s="32">
        <f>ROUND(Table1[[#This Row],[Content.Column14]] * 1000, 0)</f>
        <v>89515</v>
      </c>
      <c r="L201" s="30">
        <f>ROUND(Table1[[#This Row],[Content.Column3]] * 1000, 0)</f>
        <v>62427</v>
      </c>
      <c r="M201" s="30">
        <f>ROUND(Table1[[#This Row],[Content.Column4]] * 1000, 0)</f>
        <v>38523</v>
      </c>
      <c r="N201" s="30">
        <f>ROUND(Table1[[#This Row],[Content.Column5]] * 1000, 0)</f>
        <v>100950</v>
      </c>
      <c r="O201" s="30">
        <f>ROUND(Table1[[#This Row],[Content.Column6]] * 1000, 0)</f>
        <v>104829</v>
      </c>
      <c r="P201" s="27"/>
      <c r="Q201" s="27"/>
      <c r="R201"/>
      <c r="S201"/>
    </row>
    <row r="202" spans="1:19" x14ac:dyDescent="0.3">
      <c r="A202">
        <v>2013</v>
      </c>
      <c r="B202" t="s">
        <v>39</v>
      </c>
      <c r="C202" t="s">
        <v>38</v>
      </c>
      <c r="D202" s="34">
        <f>ROUND(Table1[[#This Row],[Content.Column7]] * 1000, 0)</f>
        <v>34443</v>
      </c>
      <c r="E202" s="34">
        <f>ROUND(Table1[[#This Row],[Content.Column8]] * 1000, 0)</f>
        <v>8162</v>
      </c>
      <c r="F202" s="34">
        <f>ROUND(Table1[[#This Row],[Content.Column9]] * 1000, 0)</f>
        <v>42605</v>
      </c>
      <c r="G202" s="34">
        <f>ROUND(Table1[[#This Row],[Content.Column10]] * 1000, 0)</f>
        <v>42688</v>
      </c>
      <c r="H202" s="32">
        <f>ROUND(Table1[[#This Row],[Content.Column11]] * 1000, 0)</f>
        <v>208009</v>
      </c>
      <c r="I202" s="32">
        <f>ROUND(Table1[[#This Row],[Content.Column12]] * 1000, 0)</f>
        <v>66243</v>
      </c>
      <c r="J202" s="32">
        <f>ROUND(Table1[[#This Row],[Content.Column13]] * 1000, 0)</f>
        <v>274251</v>
      </c>
      <c r="K202" s="32">
        <f>ROUND(Table1[[#This Row],[Content.Column14]] * 1000, 0)</f>
        <v>285390</v>
      </c>
      <c r="L202" s="30">
        <f>ROUND(Table1[[#This Row],[Content.Column3]] * 1000, 0)</f>
        <v>242452</v>
      </c>
      <c r="M202" s="30">
        <f>ROUND(Table1[[#This Row],[Content.Column4]] * 1000, 0)</f>
        <v>74405</v>
      </c>
      <c r="N202" s="30">
        <f>ROUND(Table1[[#This Row],[Content.Column5]] * 1000, 0)</f>
        <v>316857</v>
      </c>
      <c r="O202" s="30">
        <f>ROUND(Table1[[#This Row],[Content.Column6]] * 1000, 0)</f>
        <v>328078</v>
      </c>
      <c r="P202" s="27"/>
      <c r="Q202" s="27"/>
      <c r="R202"/>
      <c r="S202"/>
    </row>
    <row r="203" spans="1:19" x14ac:dyDescent="0.3">
      <c r="A203">
        <v>2013</v>
      </c>
      <c r="B203" t="s">
        <v>41</v>
      </c>
      <c r="C203" t="s">
        <v>40</v>
      </c>
      <c r="D203" s="34">
        <f>ROUND(Table1[[#This Row],[Content.Column7]] * 1000, 0)</f>
        <v>13597</v>
      </c>
      <c r="E203" s="34">
        <f>ROUND(Table1[[#This Row],[Content.Column8]] * 1000, 0)</f>
        <v>7941</v>
      </c>
      <c r="F203" s="34">
        <f>ROUND(Table1[[#This Row],[Content.Column9]] * 1000, 0)</f>
        <v>21538</v>
      </c>
      <c r="G203" s="34">
        <f>ROUND(Table1[[#This Row],[Content.Column10]] * 1000, 0)</f>
        <v>21549</v>
      </c>
      <c r="H203" s="32">
        <f>ROUND(Table1[[#This Row],[Content.Column11]] * 1000, 0)</f>
        <v>58290</v>
      </c>
      <c r="I203" s="32">
        <f>ROUND(Table1[[#This Row],[Content.Column12]] * 1000, 0)</f>
        <v>28459</v>
      </c>
      <c r="J203" s="32">
        <f>ROUND(Table1[[#This Row],[Content.Column13]] * 1000, 0)</f>
        <v>86749</v>
      </c>
      <c r="K203" s="32">
        <f>ROUND(Table1[[#This Row],[Content.Column14]] * 1000, 0)</f>
        <v>91355</v>
      </c>
      <c r="L203" s="30">
        <f>ROUND(Table1[[#This Row],[Content.Column3]] * 1000, 0)</f>
        <v>71887</v>
      </c>
      <c r="M203" s="30">
        <f>ROUND(Table1[[#This Row],[Content.Column4]] * 1000, 0)</f>
        <v>36400</v>
      </c>
      <c r="N203" s="30">
        <f>ROUND(Table1[[#This Row],[Content.Column5]] * 1000, 0)</f>
        <v>108287</v>
      </c>
      <c r="O203" s="30">
        <f>ROUND(Table1[[#This Row],[Content.Column6]] * 1000, 0)</f>
        <v>112905</v>
      </c>
      <c r="P203" s="27"/>
      <c r="Q203" s="27"/>
      <c r="R203"/>
      <c r="S203"/>
    </row>
    <row r="204" spans="1:19" x14ac:dyDescent="0.3">
      <c r="A204">
        <v>2013</v>
      </c>
      <c r="B204" t="s">
        <v>43</v>
      </c>
      <c r="C204" t="s">
        <v>42</v>
      </c>
      <c r="D204" s="34">
        <f>ROUND(Table1[[#This Row],[Content.Column7]] * 1000, 0)</f>
        <v>11278</v>
      </c>
      <c r="E204" s="34">
        <f>ROUND(Table1[[#This Row],[Content.Column8]] * 1000, 0)</f>
        <v>8195</v>
      </c>
      <c r="F204" s="34">
        <f>ROUND(Table1[[#This Row],[Content.Column9]] * 1000, 0)</f>
        <v>19473</v>
      </c>
      <c r="G204" s="34">
        <f>ROUND(Table1[[#This Row],[Content.Column10]] * 1000, 0)</f>
        <v>19480</v>
      </c>
      <c r="H204" s="32">
        <f>ROUND(Table1[[#This Row],[Content.Column11]] * 1000, 0)</f>
        <v>73924</v>
      </c>
      <c r="I204" s="32">
        <f>ROUND(Table1[[#This Row],[Content.Column12]] * 1000, 0)</f>
        <v>27377</v>
      </c>
      <c r="J204" s="32">
        <f>ROUND(Table1[[#This Row],[Content.Column13]] * 1000, 0)</f>
        <v>101300</v>
      </c>
      <c r="K204" s="32">
        <f>ROUND(Table1[[#This Row],[Content.Column14]] * 1000, 0)</f>
        <v>104717</v>
      </c>
      <c r="L204" s="30">
        <f>ROUND(Table1[[#This Row],[Content.Column3]] * 1000, 0)</f>
        <v>85202</v>
      </c>
      <c r="M204" s="30">
        <f>ROUND(Table1[[#This Row],[Content.Column4]] * 1000, 0)</f>
        <v>35572</v>
      </c>
      <c r="N204" s="30">
        <f>ROUND(Table1[[#This Row],[Content.Column5]] * 1000, 0)</f>
        <v>120774</v>
      </c>
      <c r="O204" s="30">
        <f>ROUND(Table1[[#This Row],[Content.Column6]] * 1000, 0)</f>
        <v>124198</v>
      </c>
      <c r="P204" s="27"/>
      <c r="Q204" s="27"/>
      <c r="R204"/>
      <c r="S204"/>
    </row>
    <row r="205" spans="1:19" x14ac:dyDescent="0.3">
      <c r="A205">
        <v>2013</v>
      </c>
      <c r="B205" t="s">
        <v>45</v>
      </c>
      <c r="C205" t="s">
        <v>44</v>
      </c>
      <c r="D205" s="34">
        <f>ROUND(Table1[[#This Row],[Content.Column7]] * 1000, 0)</f>
        <v>14876</v>
      </c>
      <c r="E205" s="34">
        <f>ROUND(Table1[[#This Row],[Content.Column8]] * 1000, 0)</f>
        <v>7891</v>
      </c>
      <c r="F205" s="34">
        <f>ROUND(Table1[[#This Row],[Content.Column9]] * 1000, 0)</f>
        <v>22767</v>
      </c>
      <c r="G205" s="34">
        <f>ROUND(Table1[[#This Row],[Content.Column10]] * 1000, 0)</f>
        <v>23060</v>
      </c>
      <c r="H205" s="32">
        <f>ROUND(Table1[[#This Row],[Content.Column11]] * 1000, 0)</f>
        <v>48756</v>
      </c>
      <c r="I205" s="32">
        <f>ROUND(Table1[[#This Row],[Content.Column12]] * 1000, 0)</f>
        <v>23827</v>
      </c>
      <c r="J205" s="32">
        <f>ROUND(Table1[[#This Row],[Content.Column13]] * 1000, 0)</f>
        <v>72582</v>
      </c>
      <c r="K205" s="32">
        <f>ROUND(Table1[[#This Row],[Content.Column14]] * 1000, 0)</f>
        <v>75116</v>
      </c>
      <c r="L205" s="30">
        <f>ROUND(Table1[[#This Row],[Content.Column3]] * 1000, 0)</f>
        <v>63632</v>
      </c>
      <c r="M205" s="30">
        <f>ROUND(Table1[[#This Row],[Content.Column4]] * 1000, 0)</f>
        <v>31718</v>
      </c>
      <c r="N205" s="30">
        <f>ROUND(Table1[[#This Row],[Content.Column5]] * 1000, 0)</f>
        <v>95349</v>
      </c>
      <c r="O205" s="30">
        <f>ROUND(Table1[[#This Row],[Content.Column6]] * 1000, 0)</f>
        <v>98176</v>
      </c>
      <c r="P205" s="27"/>
      <c r="Q205" s="27"/>
      <c r="R205"/>
      <c r="S205"/>
    </row>
    <row r="206" spans="1:19" x14ac:dyDescent="0.3">
      <c r="A206">
        <v>2013</v>
      </c>
      <c r="B206" t="s">
        <v>47</v>
      </c>
      <c r="C206" t="s">
        <v>46</v>
      </c>
      <c r="D206" s="34">
        <f>ROUND(Table1[[#This Row],[Content.Column7]] * 1000, 0)</f>
        <v>13065</v>
      </c>
      <c r="E206" s="34">
        <f>ROUND(Table1[[#This Row],[Content.Column8]] * 1000, 0)</f>
        <v>7374</v>
      </c>
      <c r="F206" s="34">
        <f>ROUND(Table1[[#This Row],[Content.Column9]] * 1000, 0)</f>
        <v>20439</v>
      </c>
      <c r="G206" s="34">
        <f>ROUND(Table1[[#This Row],[Content.Column10]] * 1000, 0)</f>
        <v>20442</v>
      </c>
      <c r="H206" s="32">
        <f>ROUND(Table1[[#This Row],[Content.Column11]] * 1000, 0)</f>
        <v>33089</v>
      </c>
      <c r="I206" s="32">
        <f>ROUND(Table1[[#This Row],[Content.Column12]] * 1000, 0)</f>
        <v>19215</v>
      </c>
      <c r="J206" s="32">
        <f>ROUND(Table1[[#This Row],[Content.Column13]] * 1000, 0)</f>
        <v>52303</v>
      </c>
      <c r="K206" s="32">
        <f>ROUND(Table1[[#This Row],[Content.Column14]] * 1000, 0)</f>
        <v>54061</v>
      </c>
      <c r="L206" s="30">
        <f>ROUND(Table1[[#This Row],[Content.Column3]] * 1000, 0)</f>
        <v>46153</v>
      </c>
      <c r="M206" s="30">
        <f>ROUND(Table1[[#This Row],[Content.Column4]] * 1000, 0)</f>
        <v>26589</v>
      </c>
      <c r="N206" s="30">
        <f>ROUND(Table1[[#This Row],[Content.Column5]] * 1000, 0)</f>
        <v>72742</v>
      </c>
      <c r="O206" s="30">
        <f>ROUND(Table1[[#This Row],[Content.Column6]] * 1000, 0)</f>
        <v>74503</v>
      </c>
      <c r="P206" s="27"/>
      <c r="Q206" s="27"/>
      <c r="R206"/>
      <c r="S206"/>
    </row>
    <row r="207" spans="1:19" x14ac:dyDescent="0.3">
      <c r="A207">
        <v>2013</v>
      </c>
      <c r="B207" t="s">
        <v>49</v>
      </c>
      <c r="C207" t="s">
        <v>48</v>
      </c>
      <c r="D207" s="34">
        <f>ROUND(Table1[[#This Row],[Content.Column7]] * 1000, 0)</f>
        <v>10809</v>
      </c>
      <c r="E207" s="34">
        <f>ROUND(Table1[[#This Row],[Content.Column8]] * 1000, 0)</f>
        <v>3106</v>
      </c>
      <c r="F207" s="34">
        <f>ROUND(Table1[[#This Row],[Content.Column9]] * 1000, 0)</f>
        <v>13915</v>
      </c>
      <c r="G207" s="34">
        <f>ROUND(Table1[[#This Row],[Content.Column10]] * 1000, 0)</f>
        <v>14737</v>
      </c>
      <c r="H207" s="32">
        <f>ROUND(Table1[[#This Row],[Content.Column11]] * 1000, 0)</f>
        <v>54881</v>
      </c>
      <c r="I207" s="32">
        <f>ROUND(Table1[[#This Row],[Content.Column12]] * 1000, 0)</f>
        <v>21034</v>
      </c>
      <c r="J207" s="32">
        <f>ROUND(Table1[[#This Row],[Content.Column13]] * 1000, 0)</f>
        <v>75915</v>
      </c>
      <c r="K207" s="32">
        <f>ROUND(Table1[[#This Row],[Content.Column14]] * 1000, 0)</f>
        <v>80100</v>
      </c>
      <c r="L207" s="30">
        <f>ROUND(Table1[[#This Row],[Content.Column3]] * 1000, 0)</f>
        <v>65690</v>
      </c>
      <c r="M207" s="30">
        <f>ROUND(Table1[[#This Row],[Content.Column4]] * 1000, 0)</f>
        <v>24140</v>
      </c>
      <c r="N207" s="30">
        <f>ROUND(Table1[[#This Row],[Content.Column5]] * 1000, 0)</f>
        <v>89830</v>
      </c>
      <c r="O207" s="30">
        <f>ROUND(Table1[[#This Row],[Content.Column6]] * 1000, 0)</f>
        <v>94837</v>
      </c>
      <c r="P207" s="27"/>
      <c r="Q207" s="27"/>
      <c r="R207"/>
      <c r="S207"/>
    </row>
    <row r="208" spans="1:19" x14ac:dyDescent="0.3">
      <c r="A208">
        <v>2013</v>
      </c>
      <c r="B208" t="s">
        <v>51</v>
      </c>
      <c r="C208" t="s">
        <v>50</v>
      </c>
      <c r="D208" s="34">
        <f>ROUND(Table1[[#This Row],[Content.Column7]] * 1000, 0)</f>
        <v>18521</v>
      </c>
      <c r="E208" s="34">
        <f>ROUND(Table1[[#This Row],[Content.Column8]] * 1000, 0)</f>
        <v>3290</v>
      </c>
      <c r="F208" s="34">
        <f>ROUND(Table1[[#This Row],[Content.Column9]] * 1000, 0)</f>
        <v>21810</v>
      </c>
      <c r="G208" s="34">
        <f>ROUND(Table1[[#This Row],[Content.Column10]] * 1000, 0)</f>
        <v>21839</v>
      </c>
      <c r="H208" s="32">
        <f>ROUND(Table1[[#This Row],[Content.Column11]] * 1000, 0)</f>
        <v>71372</v>
      </c>
      <c r="I208" s="32">
        <f>ROUND(Table1[[#This Row],[Content.Column12]] * 1000, 0)</f>
        <v>33989</v>
      </c>
      <c r="J208" s="32">
        <f>ROUND(Table1[[#This Row],[Content.Column13]] * 1000, 0)</f>
        <v>105361</v>
      </c>
      <c r="K208" s="32">
        <f>ROUND(Table1[[#This Row],[Content.Column14]] * 1000, 0)</f>
        <v>108428</v>
      </c>
      <c r="L208" s="30">
        <f>ROUND(Table1[[#This Row],[Content.Column3]] * 1000, 0)</f>
        <v>89893</v>
      </c>
      <c r="M208" s="30">
        <f>ROUND(Table1[[#This Row],[Content.Column4]] * 1000, 0)</f>
        <v>37278</v>
      </c>
      <c r="N208" s="30">
        <f>ROUND(Table1[[#This Row],[Content.Column5]] * 1000, 0)</f>
        <v>127171</v>
      </c>
      <c r="O208" s="30">
        <f>ROUND(Table1[[#This Row],[Content.Column6]] * 1000, 0)</f>
        <v>130267</v>
      </c>
      <c r="P208" s="27"/>
      <c r="Q208" s="27"/>
      <c r="R208"/>
      <c r="S208"/>
    </row>
    <row r="209" spans="1:19" x14ac:dyDescent="0.3">
      <c r="A209">
        <v>2013</v>
      </c>
      <c r="B209" t="s">
        <v>53</v>
      </c>
      <c r="C209" t="s">
        <v>52</v>
      </c>
      <c r="D209" s="34">
        <f>ROUND(Table1[[#This Row],[Content.Column7]] * 1000, 0)</f>
        <v>8540</v>
      </c>
      <c r="E209" s="34">
        <f>ROUND(Table1[[#This Row],[Content.Column8]] * 1000, 0)</f>
        <v>2847</v>
      </c>
      <c r="F209" s="34">
        <f>ROUND(Table1[[#This Row],[Content.Column9]] * 1000, 0)</f>
        <v>11387</v>
      </c>
      <c r="G209" s="34">
        <f>ROUND(Table1[[#This Row],[Content.Column10]] * 1000, 0)</f>
        <v>11390</v>
      </c>
      <c r="H209" s="32">
        <f>ROUND(Table1[[#This Row],[Content.Column11]] * 1000, 0)</f>
        <v>32092</v>
      </c>
      <c r="I209" s="32">
        <f>ROUND(Table1[[#This Row],[Content.Column12]] * 1000, 0)</f>
        <v>19109</v>
      </c>
      <c r="J209" s="32">
        <f>ROUND(Table1[[#This Row],[Content.Column13]] * 1000, 0)</f>
        <v>51201</v>
      </c>
      <c r="K209" s="32">
        <f>ROUND(Table1[[#This Row],[Content.Column14]] * 1000, 0)</f>
        <v>53576</v>
      </c>
      <c r="L209" s="30">
        <f>ROUND(Table1[[#This Row],[Content.Column3]] * 1000, 0)</f>
        <v>40632</v>
      </c>
      <c r="M209" s="30">
        <f>ROUND(Table1[[#This Row],[Content.Column4]] * 1000, 0)</f>
        <v>21956</v>
      </c>
      <c r="N209" s="30">
        <f>ROUND(Table1[[#This Row],[Content.Column5]] * 1000, 0)</f>
        <v>62588</v>
      </c>
      <c r="O209" s="30">
        <f>ROUND(Table1[[#This Row],[Content.Column6]] * 1000, 0)</f>
        <v>64967</v>
      </c>
      <c r="P209" s="27"/>
      <c r="Q209" s="27"/>
      <c r="R209"/>
      <c r="S209"/>
    </row>
    <row r="210" spans="1:19" x14ac:dyDescent="0.3">
      <c r="A210">
        <v>2013</v>
      </c>
      <c r="B210" t="s">
        <v>55</v>
      </c>
      <c r="C210" t="s">
        <v>54</v>
      </c>
      <c r="D210" s="34">
        <f>ROUND(Table1[[#This Row],[Content.Column7]] * 1000, 0)</f>
        <v>6265</v>
      </c>
      <c r="E210" s="34">
        <f>ROUND(Table1[[#This Row],[Content.Column8]] * 1000, 0)</f>
        <v>4829</v>
      </c>
      <c r="F210" s="34">
        <f>ROUND(Table1[[#This Row],[Content.Column9]] * 1000, 0)</f>
        <v>11094</v>
      </c>
      <c r="G210" s="34">
        <f>ROUND(Table1[[#This Row],[Content.Column10]] * 1000, 0)</f>
        <v>11099</v>
      </c>
      <c r="H210" s="32">
        <f>ROUND(Table1[[#This Row],[Content.Column11]] * 1000, 0)</f>
        <v>39195</v>
      </c>
      <c r="I210" s="32">
        <f>ROUND(Table1[[#This Row],[Content.Column12]] * 1000, 0)</f>
        <v>18332</v>
      </c>
      <c r="J210" s="32">
        <f>ROUND(Table1[[#This Row],[Content.Column13]] * 1000, 0)</f>
        <v>57526</v>
      </c>
      <c r="K210" s="32">
        <f>ROUND(Table1[[#This Row],[Content.Column14]] * 1000, 0)</f>
        <v>60116</v>
      </c>
      <c r="L210" s="30">
        <f>ROUND(Table1[[#This Row],[Content.Column3]] * 1000, 0)</f>
        <v>45460</v>
      </c>
      <c r="M210" s="30">
        <f>ROUND(Table1[[#This Row],[Content.Column4]] * 1000, 0)</f>
        <v>23161</v>
      </c>
      <c r="N210" s="30">
        <f>ROUND(Table1[[#This Row],[Content.Column5]] * 1000, 0)</f>
        <v>68620</v>
      </c>
      <c r="O210" s="30">
        <f>ROUND(Table1[[#This Row],[Content.Column6]] * 1000, 0)</f>
        <v>71215</v>
      </c>
      <c r="P210" s="27"/>
      <c r="Q210" s="27"/>
      <c r="R210"/>
      <c r="S210"/>
    </row>
    <row r="211" spans="1:19" x14ac:dyDescent="0.3">
      <c r="A211">
        <v>2013</v>
      </c>
      <c r="B211" t="s">
        <v>57</v>
      </c>
      <c r="C211" t="s">
        <v>56</v>
      </c>
      <c r="D211" s="34">
        <f>ROUND(Table1[[#This Row],[Content.Column7]] * 1000, 0)</f>
        <v>10851</v>
      </c>
      <c r="E211" s="34">
        <f>ROUND(Table1[[#This Row],[Content.Column8]] * 1000, 0)</f>
        <v>6002</v>
      </c>
      <c r="F211" s="34">
        <f>ROUND(Table1[[#This Row],[Content.Column9]] * 1000, 0)</f>
        <v>16852</v>
      </c>
      <c r="G211" s="34">
        <f>ROUND(Table1[[#This Row],[Content.Column10]] * 1000, 0)</f>
        <v>16855</v>
      </c>
      <c r="H211" s="32">
        <f>ROUND(Table1[[#This Row],[Content.Column11]] * 1000, 0)</f>
        <v>38527</v>
      </c>
      <c r="I211" s="32">
        <f>ROUND(Table1[[#This Row],[Content.Column12]] * 1000, 0)</f>
        <v>19187</v>
      </c>
      <c r="J211" s="32">
        <f>ROUND(Table1[[#This Row],[Content.Column13]] * 1000, 0)</f>
        <v>57713</v>
      </c>
      <c r="K211" s="32">
        <f>ROUND(Table1[[#This Row],[Content.Column14]] * 1000, 0)</f>
        <v>60169</v>
      </c>
      <c r="L211" s="30">
        <f>ROUND(Table1[[#This Row],[Content.Column3]] * 1000, 0)</f>
        <v>49377</v>
      </c>
      <c r="M211" s="30">
        <f>ROUND(Table1[[#This Row],[Content.Column4]] * 1000, 0)</f>
        <v>25189</v>
      </c>
      <c r="N211" s="30">
        <f>ROUND(Table1[[#This Row],[Content.Column5]] * 1000, 0)</f>
        <v>74566</v>
      </c>
      <c r="O211" s="30">
        <f>ROUND(Table1[[#This Row],[Content.Column6]] * 1000, 0)</f>
        <v>77023</v>
      </c>
      <c r="P211" s="27"/>
      <c r="Q211" s="27"/>
      <c r="R211"/>
      <c r="S211"/>
    </row>
    <row r="212" spans="1:19" x14ac:dyDescent="0.3">
      <c r="A212">
        <v>2013</v>
      </c>
      <c r="B212" t="s">
        <v>59</v>
      </c>
      <c r="C212" t="s">
        <v>58</v>
      </c>
      <c r="D212" s="34">
        <f>ROUND(Table1[[#This Row],[Content.Column7]] * 1000, 0)</f>
        <v>15507</v>
      </c>
      <c r="E212" s="34">
        <f>ROUND(Table1[[#This Row],[Content.Column8]] * 1000, 0)</f>
        <v>7470</v>
      </c>
      <c r="F212" s="34">
        <f>ROUND(Table1[[#This Row],[Content.Column9]] * 1000, 0)</f>
        <v>22977</v>
      </c>
      <c r="G212" s="34">
        <f>ROUND(Table1[[#This Row],[Content.Column10]] * 1000, 0)</f>
        <v>22992</v>
      </c>
      <c r="H212" s="32">
        <f>ROUND(Table1[[#This Row],[Content.Column11]] * 1000, 0)</f>
        <v>129359</v>
      </c>
      <c r="I212" s="32">
        <f>ROUND(Table1[[#This Row],[Content.Column12]] * 1000, 0)</f>
        <v>45026</v>
      </c>
      <c r="J212" s="32">
        <f>ROUND(Table1[[#This Row],[Content.Column13]] * 1000, 0)</f>
        <v>174385</v>
      </c>
      <c r="K212" s="32">
        <f>ROUND(Table1[[#This Row],[Content.Column14]] * 1000, 0)</f>
        <v>177031</v>
      </c>
      <c r="L212" s="30">
        <f>ROUND(Table1[[#This Row],[Content.Column3]] * 1000, 0)</f>
        <v>144867</v>
      </c>
      <c r="M212" s="30">
        <f>ROUND(Table1[[#This Row],[Content.Column4]] * 1000, 0)</f>
        <v>52496</v>
      </c>
      <c r="N212" s="30">
        <f>ROUND(Table1[[#This Row],[Content.Column5]] * 1000, 0)</f>
        <v>197362</v>
      </c>
      <c r="O212" s="30">
        <f>ROUND(Table1[[#This Row],[Content.Column6]] * 1000, 0)</f>
        <v>200023</v>
      </c>
      <c r="P212" s="27"/>
      <c r="Q212" s="27"/>
      <c r="R212"/>
      <c r="S212"/>
    </row>
    <row r="213" spans="1:19" x14ac:dyDescent="0.3">
      <c r="A213">
        <v>2013</v>
      </c>
      <c r="B213" t="s">
        <v>61</v>
      </c>
      <c r="C213" t="s">
        <v>60</v>
      </c>
      <c r="D213" s="34">
        <f>ROUND(Table1[[#This Row],[Content.Column7]] * 1000, 0)</f>
        <v>11979</v>
      </c>
      <c r="E213" s="34">
        <f>ROUND(Table1[[#This Row],[Content.Column8]] * 1000, 0)</f>
        <v>5236</v>
      </c>
      <c r="F213" s="34">
        <f>ROUND(Table1[[#This Row],[Content.Column9]] * 1000, 0)</f>
        <v>17215</v>
      </c>
      <c r="G213" s="34">
        <f>ROUND(Table1[[#This Row],[Content.Column10]] * 1000, 0)</f>
        <v>17219</v>
      </c>
      <c r="H213" s="32">
        <f>ROUND(Table1[[#This Row],[Content.Column11]] * 1000, 0)</f>
        <v>95362</v>
      </c>
      <c r="I213" s="32">
        <f>ROUND(Table1[[#This Row],[Content.Column12]] * 1000, 0)</f>
        <v>28504</v>
      </c>
      <c r="J213" s="32">
        <f>ROUND(Table1[[#This Row],[Content.Column13]] * 1000, 0)</f>
        <v>123867</v>
      </c>
      <c r="K213" s="32">
        <f>ROUND(Table1[[#This Row],[Content.Column14]] * 1000, 0)</f>
        <v>126084</v>
      </c>
      <c r="L213" s="30">
        <f>ROUND(Table1[[#This Row],[Content.Column3]] * 1000, 0)</f>
        <v>107341</v>
      </c>
      <c r="M213" s="30">
        <f>ROUND(Table1[[#This Row],[Content.Column4]] * 1000, 0)</f>
        <v>33740</v>
      </c>
      <c r="N213" s="30">
        <f>ROUND(Table1[[#This Row],[Content.Column5]] * 1000, 0)</f>
        <v>141081</v>
      </c>
      <c r="O213" s="30">
        <f>ROUND(Table1[[#This Row],[Content.Column6]] * 1000, 0)</f>
        <v>143304</v>
      </c>
      <c r="P213" s="27"/>
      <c r="Q213" s="27"/>
      <c r="R213"/>
      <c r="S213"/>
    </row>
    <row r="214" spans="1:19" x14ac:dyDescent="0.3">
      <c r="A214">
        <v>2013</v>
      </c>
      <c r="B214" t="s">
        <v>63</v>
      </c>
      <c r="C214" t="s">
        <v>62</v>
      </c>
      <c r="D214" s="34">
        <f>ROUND(Table1[[#This Row],[Content.Column7]] * 1000, 0)</f>
        <v>25751</v>
      </c>
      <c r="E214" s="34">
        <f>ROUND(Table1[[#This Row],[Content.Column8]] * 1000, 0)</f>
        <v>8298</v>
      </c>
      <c r="F214" s="34">
        <f>ROUND(Table1[[#This Row],[Content.Column9]] * 1000, 0)</f>
        <v>34049</v>
      </c>
      <c r="G214" s="34">
        <f>ROUND(Table1[[#This Row],[Content.Column10]] * 1000, 0)</f>
        <v>34080</v>
      </c>
      <c r="H214" s="32">
        <f>ROUND(Table1[[#This Row],[Content.Column11]] * 1000, 0)</f>
        <v>126184</v>
      </c>
      <c r="I214" s="32">
        <f>ROUND(Table1[[#This Row],[Content.Column12]] * 1000, 0)</f>
        <v>41402</v>
      </c>
      <c r="J214" s="32">
        <f>ROUND(Table1[[#This Row],[Content.Column13]] * 1000, 0)</f>
        <v>167586</v>
      </c>
      <c r="K214" s="32">
        <f>ROUND(Table1[[#This Row],[Content.Column14]] * 1000, 0)</f>
        <v>173819</v>
      </c>
      <c r="L214" s="30">
        <f>ROUND(Table1[[#This Row],[Content.Column3]] * 1000, 0)</f>
        <v>151936</v>
      </c>
      <c r="M214" s="30">
        <f>ROUND(Table1[[#This Row],[Content.Column4]] * 1000, 0)</f>
        <v>49699</v>
      </c>
      <c r="N214" s="30">
        <f>ROUND(Table1[[#This Row],[Content.Column5]] * 1000, 0)</f>
        <v>201635</v>
      </c>
      <c r="O214" s="30">
        <f>ROUND(Table1[[#This Row],[Content.Column6]] * 1000, 0)</f>
        <v>207900</v>
      </c>
      <c r="P214" s="27"/>
      <c r="Q214" s="27"/>
      <c r="R214"/>
      <c r="S214"/>
    </row>
    <row r="215" spans="1:19" x14ac:dyDescent="0.3">
      <c r="A215">
        <v>2013</v>
      </c>
      <c r="B215" t="s">
        <v>65</v>
      </c>
      <c r="C215" t="s">
        <v>64</v>
      </c>
      <c r="D215" s="34">
        <f>ROUND(Table1[[#This Row],[Content.Column7]] * 1000, 0)</f>
        <v>15092</v>
      </c>
      <c r="E215" s="34">
        <f>ROUND(Table1[[#This Row],[Content.Column8]] * 1000, 0)</f>
        <v>3443</v>
      </c>
      <c r="F215" s="34">
        <f>ROUND(Table1[[#This Row],[Content.Column9]] * 1000, 0)</f>
        <v>18534</v>
      </c>
      <c r="G215" s="34">
        <f>ROUND(Table1[[#This Row],[Content.Column10]] * 1000, 0)</f>
        <v>18543</v>
      </c>
      <c r="H215" s="32">
        <f>ROUND(Table1[[#This Row],[Content.Column11]] * 1000, 0)</f>
        <v>72511</v>
      </c>
      <c r="I215" s="32">
        <f>ROUND(Table1[[#This Row],[Content.Column12]] * 1000, 0)</f>
        <v>29747</v>
      </c>
      <c r="J215" s="32">
        <f>ROUND(Table1[[#This Row],[Content.Column13]] * 1000, 0)</f>
        <v>102258</v>
      </c>
      <c r="K215" s="32">
        <f>ROUND(Table1[[#This Row],[Content.Column14]] * 1000, 0)</f>
        <v>106559</v>
      </c>
      <c r="L215" s="30">
        <f>ROUND(Table1[[#This Row],[Content.Column3]] * 1000, 0)</f>
        <v>87603</v>
      </c>
      <c r="M215" s="30">
        <f>ROUND(Table1[[#This Row],[Content.Column4]] * 1000, 0)</f>
        <v>33190</v>
      </c>
      <c r="N215" s="30">
        <f>ROUND(Table1[[#This Row],[Content.Column5]] * 1000, 0)</f>
        <v>120793</v>
      </c>
      <c r="O215" s="30">
        <f>ROUND(Table1[[#This Row],[Content.Column6]] * 1000, 0)</f>
        <v>125102</v>
      </c>
      <c r="P215" s="27"/>
      <c r="Q215" s="27"/>
      <c r="R215"/>
      <c r="S215"/>
    </row>
    <row r="216" spans="1:19" x14ac:dyDescent="0.3">
      <c r="A216">
        <v>2013</v>
      </c>
      <c r="B216" t="s">
        <v>67</v>
      </c>
      <c r="C216" t="s">
        <v>66</v>
      </c>
      <c r="D216" s="34">
        <f>ROUND(Table1[[#This Row],[Content.Column7]] * 1000, 0)</f>
        <v>7449</v>
      </c>
      <c r="E216" s="34">
        <f>ROUND(Table1[[#This Row],[Content.Column8]] * 1000, 0)</f>
        <v>5794</v>
      </c>
      <c r="F216" s="34">
        <f>ROUND(Table1[[#This Row],[Content.Column9]] * 1000, 0)</f>
        <v>13243</v>
      </c>
      <c r="G216" s="34">
        <f>ROUND(Table1[[#This Row],[Content.Column10]] * 1000, 0)</f>
        <v>13246</v>
      </c>
      <c r="H216" s="32">
        <f>ROUND(Table1[[#This Row],[Content.Column11]] * 1000, 0)</f>
        <v>37445</v>
      </c>
      <c r="I216" s="32">
        <f>ROUND(Table1[[#This Row],[Content.Column12]] * 1000, 0)</f>
        <v>21380</v>
      </c>
      <c r="J216" s="32">
        <f>ROUND(Table1[[#This Row],[Content.Column13]] * 1000, 0)</f>
        <v>58825</v>
      </c>
      <c r="K216" s="32">
        <f>ROUND(Table1[[#This Row],[Content.Column14]] * 1000, 0)</f>
        <v>60548</v>
      </c>
      <c r="L216" s="30">
        <f>ROUND(Table1[[#This Row],[Content.Column3]] * 1000, 0)</f>
        <v>44894</v>
      </c>
      <c r="M216" s="30">
        <f>ROUND(Table1[[#This Row],[Content.Column4]] * 1000, 0)</f>
        <v>27174</v>
      </c>
      <c r="N216" s="30">
        <f>ROUND(Table1[[#This Row],[Content.Column5]] * 1000, 0)</f>
        <v>72068</v>
      </c>
      <c r="O216" s="30">
        <f>ROUND(Table1[[#This Row],[Content.Column6]] * 1000, 0)</f>
        <v>73794</v>
      </c>
      <c r="P216" s="27"/>
      <c r="Q216" s="27"/>
      <c r="R216"/>
      <c r="S216"/>
    </row>
    <row r="217" spans="1:19" x14ac:dyDescent="0.3">
      <c r="A217">
        <v>2013</v>
      </c>
      <c r="B217" t="s">
        <v>69</v>
      </c>
      <c r="C217" t="s">
        <v>68</v>
      </c>
      <c r="D217" s="34">
        <f>ROUND(Table1[[#This Row],[Content.Column7]] * 1000, 0)</f>
        <v>25370</v>
      </c>
      <c r="E217" s="34">
        <f>ROUND(Table1[[#This Row],[Content.Column8]] * 1000, 0)</f>
        <v>7488</v>
      </c>
      <c r="F217" s="34">
        <f>ROUND(Table1[[#This Row],[Content.Column9]] * 1000, 0)</f>
        <v>32858</v>
      </c>
      <c r="G217" s="34">
        <f>ROUND(Table1[[#This Row],[Content.Column10]] * 1000, 0)</f>
        <v>32989</v>
      </c>
      <c r="H217" s="32">
        <f>ROUND(Table1[[#This Row],[Content.Column11]] * 1000, 0)</f>
        <v>73752</v>
      </c>
      <c r="I217" s="32">
        <f>ROUND(Table1[[#This Row],[Content.Column12]] * 1000, 0)</f>
        <v>33117</v>
      </c>
      <c r="J217" s="32">
        <f>ROUND(Table1[[#This Row],[Content.Column13]] * 1000, 0)</f>
        <v>106869</v>
      </c>
      <c r="K217" s="32">
        <f>ROUND(Table1[[#This Row],[Content.Column14]] * 1000, 0)</f>
        <v>109992</v>
      </c>
      <c r="L217" s="30">
        <f>ROUND(Table1[[#This Row],[Content.Column3]] * 1000, 0)</f>
        <v>99122</v>
      </c>
      <c r="M217" s="30">
        <f>ROUND(Table1[[#This Row],[Content.Column4]] * 1000, 0)</f>
        <v>40605</v>
      </c>
      <c r="N217" s="30">
        <f>ROUND(Table1[[#This Row],[Content.Column5]] * 1000, 0)</f>
        <v>139727</v>
      </c>
      <c r="O217" s="30">
        <f>ROUND(Table1[[#This Row],[Content.Column6]] * 1000, 0)</f>
        <v>142981</v>
      </c>
      <c r="P217" s="27"/>
      <c r="Q217" s="27"/>
      <c r="R217"/>
      <c r="S217"/>
    </row>
    <row r="218" spans="1:19" x14ac:dyDescent="0.3">
      <c r="A218">
        <v>2013</v>
      </c>
      <c r="B218" t="s">
        <v>71</v>
      </c>
      <c r="C218" t="s">
        <v>70</v>
      </c>
      <c r="D218" s="34">
        <f>ROUND(Table1[[#This Row],[Content.Column7]] * 1000, 0)</f>
        <v>9119</v>
      </c>
      <c r="E218" s="34">
        <f>ROUND(Table1[[#This Row],[Content.Column8]] * 1000, 0)</f>
        <v>6694</v>
      </c>
      <c r="F218" s="34">
        <f>ROUND(Table1[[#This Row],[Content.Column9]] * 1000, 0)</f>
        <v>15814</v>
      </c>
      <c r="G218" s="34">
        <f>ROUND(Table1[[#This Row],[Content.Column10]] * 1000, 0)</f>
        <v>16213</v>
      </c>
      <c r="H218" s="32">
        <f>ROUND(Table1[[#This Row],[Content.Column11]] * 1000, 0)</f>
        <v>29983</v>
      </c>
      <c r="I218" s="32">
        <f>ROUND(Table1[[#This Row],[Content.Column12]] * 1000, 0)</f>
        <v>17151</v>
      </c>
      <c r="J218" s="32">
        <f>ROUND(Table1[[#This Row],[Content.Column13]] * 1000, 0)</f>
        <v>47134</v>
      </c>
      <c r="K218" s="32">
        <f>ROUND(Table1[[#This Row],[Content.Column14]] * 1000, 0)</f>
        <v>48899</v>
      </c>
      <c r="L218" s="30">
        <f>ROUND(Table1[[#This Row],[Content.Column3]] * 1000, 0)</f>
        <v>39102</v>
      </c>
      <c r="M218" s="30">
        <f>ROUND(Table1[[#This Row],[Content.Column4]] * 1000, 0)</f>
        <v>23845</v>
      </c>
      <c r="N218" s="30">
        <f>ROUND(Table1[[#This Row],[Content.Column5]] * 1000, 0)</f>
        <v>62947</v>
      </c>
      <c r="O218" s="30">
        <f>ROUND(Table1[[#This Row],[Content.Column6]] * 1000, 0)</f>
        <v>65112</v>
      </c>
      <c r="P218" s="27"/>
      <c r="Q218" s="27"/>
      <c r="R218"/>
      <c r="S218"/>
    </row>
    <row r="219" spans="1:19" x14ac:dyDescent="0.3">
      <c r="A219">
        <v>2013</v>
      </c>
      <c r="B219" t="s">
        <v>73</v>
      </c>
      <c r="C219" t="s">
        <v>72</v>
      </c>
      <c r="D219" s="34">
        <f>ROUND(Table1[[#This Row],[Content.Column7]] * 1000, 0)</f>
        <v>6920</v>
      </c>
      <c r="E219" s="34">
        <f>ROUND(Table1[[#This Row],[Content.Column8]] * 1000, 0)</f>
        <v>3976</v>
      </c>
      <c r="F219" s="34">
        <f>ROUND(Table1[[#This Row],[Content.Column9]] * 1000, 0)</f>
        <v>10896</v>
      </c>
      <c r="G219" s="34">
        <f>ROUND(Table1[[#This Row],[Content.Column10]] * 1000, 0)</f>
        <v>10915</v>
      </c>
      <c r="H219" s="32">
        <f>ROUND(Table1[[#This Row],[Content.Column11]] * 1000, 0)</f>
        <v>47151</v>
      </c>
      <c r="I219" s="32">
        <f>ROUND(Table1[[#This Row],[Content.Column12]] * 1000, 0)</f>
        <v>21002</v>
      </c>
      <c r="J219" s="32">
        <f>ROUND(Table1[[#This Row],[Content.Column13]] * 1000, 0)</f>
        <v>68153</v>
      </c>
      <c r="K219" s="32">
        <f>ROUND(Table1[[#This Row],[Content.Column14]] * 1000, 0)</f>
        <v>70149</v>
      </c>
      <c r="L219" s="30">
        <f>ROUND(Table1[[#This Row],[Content.Column3]] * 1000, 0)</f>
        <v>54071</v>
      </c>
      <c r="M219" s="30">
        <f>ROUND(Table1[[#This Row],[Content.Column4]] * 1000, 0)</f>
        <v>24978</v>
      </c>
      <c r="N219" s="30">
        <f>ROUND(Table1[[#This Row],[Content.Column5]] * 1000, 0)</f>
        <v>79049</v>
      </c>
      <c r="O219" s="30">
        <f>ROUND(Table1[[#This Row],[Content.Column6]] * 1000, 0)</f>
        <v>81064</v>
      </c>
      <c r="P219" s="27"/>
      <c r="Q219" s="27"/>
      <c r="R219"/>
      <c r="S219"/>
    </row>
    <row r="220" spans="1:19" x14ac:dyDescent="0.3">
      <c r="A220">
        <v>2013</v>
      </c>
      <c r="B220" t="s">
        <v>75</v>
      </c>
      <c r="C220" t="s">
        <v>74</v>
      </c>
      <c r="D220" s="34">
        <f>ROUND(Table1[[#This Row],[Content.Column7]] * 1000, 0)</f>
        <v>15958</v>
      </c>
      <c r="E220" s="34">
        <f>ROUND(Table1[[#This Row],[Content.Column8]] * 1000, 0)</f>
        <v>6169</v>
      </c>
      <c r="F220" s="34">
        <f>ROUND(Table1[[#This Row],[Content.Column9]] * 1000, 0)</f>
        <v>22127</v>
      </c>
      <c r="G220" s="34">
        <f>ROUND(Table1[[#This Row],[Content.Column10]] * 1000, 0)</f>
        <v>22139</v>
      </c>
      <c r="H220" s="32">
        <f>ROUND(Table1[[#This Row],[Content.Column11]] * 1000, 0)</f>
        <v>42279</v>
      </c>
      <c r="I220" s="32">
        <f>ROUND(Table1[[#This Row],[Content.Column12]] * 1000, 0)</f>
        <v>23394</v>
      </c>
      <c r="J220" s="32">
        <f>ROUND(Table1[[#This Row],[Content.Column13]] * 1000, 0)</f>
        <v>65673</v>
      </c>
      <c r="K220" s="32">
        <f>ROUND(Table1[[#This Row],[Content.Column14]] * 1000, 0)</f>
        <v>67487</v>
      </c>
      <c r="L220" s="30">
        <f>ROUND(Table1[[#This Row],[Content.Column3]] * 1000, 0)</f>
        <v>58237</v>
      </c>
      <c r="M220" s="30">
        <f>ROUND(Table1[[#This Row],[Content.Column4]] * 1000, 0)</f>
        <v>29563</v>
      </c>
      <c r="N220" s="30">
        <f>ROUND(Table1[[#This Row],[Content.Column5]] * 1000, 0)</f>
        <v>87799</v>
      </c>
      <c r="O220" s="30">
        <f>ROUND(Table1[[#This Row],[Content.Column6]] * 1000, 0)</f>
        <v>89626</v>
      </c>
      <c r="P220" s="27"/>
      <c r="Q220" s="27"/>
      <c r="R220"/>
      <c r="S220"/>
    </row>
    <row r="221" spans="1:19" x14ac:dyDescent="0.3">
      <c r="A221">
        <v>2013</v>
      </c>
      <c r="B221" t="s">
        <v>77</v>
      </c>
      <c r="C221" t="s">
        <v>76</v>
      </c>
      <c r="D221" s="34">
        <f>ROUND(Table1[[#This Row],[Content.Column7]] * 1000, 0)</f>
        <v>11245</v>
      </c>
      <c r="E221" s="34">
        <f>ROUND(Table1[[#This Row],[Content.Column8]] * 1000, 0)</f>
        <v>5967</v>
      </c>
      <c r="F221" s="34">
        <f>ROUND(Table1[[#This Row],[Content.Column9]] * 1000, 0)</f>
        <v>17212</v>
      </c>
      <c r="G221" s="34">
        <f>ROUND(Table1[[#This Row],[Content.Column10]] * 1000, 0)</f>
        <v>17214</v>
      </c>
      <c r="H221" s="32">
        <f>ROUND(Table1[[#This Row],[Content.Column11]] * 1000, 0)</f>
        <v>34214</v>
      </c>
      <c r="I221" s="32">
        <f>ROUND(Table1[[#This Row],[Content.Column12]] * 1000, 0)</f>
        <v>18415</v>
      </c>
      <c r="J221" s="32">
        <f>ROUND(Table1[[#This Row],[Content.Column13]] * 1000, 0)</f>
        <v>52630</v>
      </c>
      <c r="K221" s="32">
        <f>ROUND(Table1[[#This Row],[Content.Column14]] * 1000, 0)</f>
        <v>54743</v>
      </c>
      <c r="L221" s="30">
        <f>ROUND(Table1[[#This Row],[Content.Column3]] * 1000, 0)</f>
        <v>45460</v>
      </c>
      <c r="M221" s="30">
        <f>ROUND(Table1[[#This Row],[Content.Column4]] * 1000, 0)</f>
        <v>24382</v>
      </c>
      <c r="N221" s="30">
        <f>ROUND(Table1[[#This Row],[Content.Column5]] * 1000, 0)</f>
        <v>69842</v>
      </c>
      <c r="O221" s="30">
        <f>ROUND(Table1[[#This Row],[Content.Column6]] * 1000, 0)</f>
        <v>71957</v>
      </c>
      <c r="P221" s="27"/>
      <c r="Q221" s="27"/>
      <c r="R221"/>
      <c r="S221"/>
    </row>
    <row r="222" spans="1:19" x14ac:dyDescent="0.3">
      <c r="A222">
        <v>2013</v>
      </c>
      <c r="B222" t="s">
        <v>79</v>
      </c>
      <c r="C222" t="s">
        <v>78</v>
      </c>
      <c r="D222" s="34">
        <f>ROUND(Table1[[#This Row],[Content.Column7]] * 1000, 0)</f>
        <v>5882</v>
      </c>
      <c r="E222" s="34">
        <f>ROUND(Table1[[#This Row],[Content.Column8]] * 1000, 0)</f>
        <v>2961</v>
      </c>
      <c r="F222" s="34">
        <f>ROUND(Table1[[#This Row],[Content.Column9]] * 1000, 0)</f>
        <v>8843</v>
      </c>
      <c r="G222" s="34">
        <f>ROUND(Table1[[#This Row],[Content.Column10]] * 1000, 0)</f>
        <v>8843</v>
      </c>
      <c r="H222" s="32">
        <f>ROUND(Table1[[#This Row],[Content.Column11]] * 1000, 0)</f>
        <v>46657</v>
      </c>
      <c r="I222" s="32">
        <f>ROUND(Table1[[#This Row],[Content.Column12]] * 1000, 0)</f>
        <v>18479</v>
      </c>
      <c r="J222" s="32">
        <f>ROUND(Table1[[#This Row],[Content.Column13]] * 1000, 0)</f>
        <v>65136</v>
      </c>
      <c r="K222" s="32">
        <f>ROUND(Table1[[#This Row],[Content.Column14]] * 1000, 0)</f>
        <v>68574</v>
      </c>
      <c r="L222" s="30">
        <f>ROUND(Table1[[#This Row],[Content.Column3]] * 1000, 0)</f>
        <v>52539</v>
      </c>
      <c r="M222" s="30">
        <f>ROUND(Table1[[#This Row],[Content.Column4]] * 1000, 0)</f>
        <v>21440</v>
      </c>
      <c r="N222" s="30">
        <f>ROUND(Table1[[#This Row],[Content.Column5]] * 1000, 0)</f>
        <v>73979</v>
      </c>
      <c r="O222" s="30">
        <f>ROUND(Table1[[#This Row],[Content.Column6]] * 1000, 0)</f>
        <v>77418</v>
      </c>
      <c r="P222" s="27"/>
      <c r="Q222" s="27"/>
      <c r="R222"/>
      <c r="S222"/>
    </row>
    <row r="223" spans="1:19" x14ac:dyDescent="0.3">
      <c r="A223">
        <v>2013</v>
      </c>
      <c r="B223" t="s">
        <v>81</v>
      </c>
      <c r="C223" t="s">
        <v>80</v>
      </c>
      <c r="D223" s="34">
        <f>ROUND(Table1[[#This Row],[Content.Column7]] * 1000, 0)</f>
        <v>33675</v>
      </c>
      <c r="E223" s="34">
        <f>ROUND(Table1[[#This Row],[Content.Column8]] * 1000, 0)</f>
        <v>6619</v>
      </c>
      <c r="F223" s="34">
        <f>ROUND(Table1[[#This Row],[Content.Column9]] * 1000, 0)</f>
        <v>40294</v>
      </c>
      <c r="G223" s="34">
        <f>ROUND(Table1[[#This Row],[Content.Column10]] * 1000, 0)</f>
        <v>40321</v>
      </c>
      <c r="H223" s="32">
        <f>ROUND(Table1[[#This Row],[Content.Column11]] * 1000, 0)</f>
        <v>119387</v>
      </c>
      <c r="I223" s="32">
        <f>ROUND(Table1[[#This Row],[Content.Column12]] * 1000, 0)</f>
        <v>37558</v>
      </c>
      <c r="J223" s="32">
        <f>ROUND(Table1[[#This Row],[Content.Column13]] * 1000, 0)</f>
        <v>156946</v>
      </c>
      <c r="K223" s="32">
        <f>ROUND(Table1[[#This Row],[Content.Column14]] * 1000, 0)</f>
        <v>163037</v>
      </c>
      <c r="L223" s="30">
        <f>ROUND(Table1[[#This Row],[Content.Column3]] * 1000, 0)</f>
        <v>153062</v>
      </c>
      <c r="M223" s="30">
        <f>ROUND(Table1[[#This Row],[Content.Column4]] * 1000, 0)</f>
        <v>44178</v>
      </c>
      <c r="N223" s="30">
        <f>ROUND(Table1[[#This Row],[Content.Column5]] * 1000, 0)</f>
        <v>197240</v>
      </c>
      <c r="O223" s="30">
        <f>ROUND(Table1[[#This Row],[Content.Column6]] * 1000, 0)</f>
        <v>203358</v>
      </c>
      <c r="P223" s="27"/>
      <c r="Q223" s="27"/>
      <c r="R223"/>
      <c r="S223"/>
    </row>
    <row r="224" spans="1:19" x14ac:dyDescent="0.3">
      <c r="A224">
        <v>2013</v>
      </c>
      <c r="B224" t="s">
        <v>83</v>
      </c>
      <c r="C224" t="s">
        <v>82</v>
      </c>
      <c r="D224" s="34">
        <f>ROUND(Table1[[#This Row],[Content.Column7]] * 1000, 0)</f>
        <v>9389</v>
      </c>
      <c r="E224" s="34">
        <f>ROUND(Table1[[#This Row],[Content.Column8]] * 1000, 0)</f>
        <v>4718</v>
      </c>
      <c r="F224" s="34">
        <f>ROUND(Table1[[#This Row],[Content.Column9]] * 1000, 0)</f>
        <v>14107</v>
      </c>
      <c r="G224" s="34">
        <f>ROUND(Table1[[#This Row],[Content.Column10]] * 1000, 0)</f>
        <v>14120</v>
      </c>
      <c r="H224" s="32">
        <f>ROUND(Table1[[#This Row],[Content.Column11]] * 1000, 0)</f>
        <v>35390</v>
      </c>
      <c r="I224" s="32">
        <f>ROUND(Table1[[#This Row],[Content.Column12]] * 1000, 0)</f>
        <v>18389</v>
      </c>
      <c r="J224" s="32">
        <f>ROUND(Table1[[#This Row],[Content.Column13]] * 1000, 0)</f>
        <v>53779</v>
      </c>
      <c r="K224" s="32">
        <f>ROUND(Table1[[#This Row],[Content.Column14]] * 1000, 0)</f>
        <v>55675</v>
      </c>
      <c r="L224" s="30">
        <f>ROUND(Table1[[#This Row],[Content.Column3]] * 1000, 0)</f>
        <v>44779</v>
      </c>
      <c r="M224" s="30">
        <f>ROUND(Table1[[#This Row],[Content.Column4]] * 1000, 0)</f>
        <v>23106</v>
      </c>
      <c r="N224" s="30">
        <f>ROUND(Table1[[#This Row],[Content.Column5]] * 1000, 0)</f>
        <v>67885</v>
      </c>
      <c r="O224" s="30">
        <f>ROUND(Table1[[#This Row],[Content.Column6]] * 1000, 0)</f>
        <v>69795</v>
      </c>
      <c r="P224" s="27"/>
      <c r="Q224" s="27"/>
      <c r="R224"/>
      <c r="S224"/>
    </row>
    <row r="225" spans="1:19" x14ac:dyDescent="0.3">
      <c r="A225">
        <v>2013</v>
      </c>
      <c r="B225" t="s">
        <v>85</v>
      </c>
      <c r="C225" t="s">
        <v>84</v>
      </c>
      <c r="D225" s="34">
        <f>ROUND(Table1[[#This Row],[Content.Column7]] * 1000, 0)</f>
        <v>31385</v>
      </c>
      <c r="E225" s="34">
        <f>ROUND(Table1[[#This Row],[Content.Column8]] * 1000, 0)</f>
        <v>8928</v>
      </c>
      <c r="F225" s="34">
        <f>ROUND(Table1[[#This Row],[Content.Column9]] * 1000, 0)</f>
        <v>40313</v>
      </c>
      <c r="G225" s="34">
        <f>ROUND(Table1[[#This Row],[Content.Column10]] * 1000, 0)</f>
        <v>40319</v>
      </c>
      <c r="H225" s="32">
        <f>ROUND(Table1[[#This Row],[Content.Column11]] * 1000, 0)</f>
        <v>166986</v>
      </c>
      <c r="I225" s="32">
        <f>ROUND(Table1[[#This Row],[Content.Column12]] * 1000, 0)</f>
        <v>42864</v>
      </c>
      <c r="J225" s="32">
        <f>ROUND(Table1[[#This Row],[Content.Column13]] * 1000, 0)</f>
        <v>209850</v>
      </c>
      <c r="K225" s="32">
        <f>ROUND(Table1[[#This Row],[Content.Column14]] * 1000, 0)</f>
        <v>213873</v>
      </c>
      <c r="L225" s="30">
        <f>ROUND(Table1[[#This Row],[Content.Column3]] * 1000, 0)</f>
        <v>198371</v>
      </c>
      <c r="M225" s="30">
        <f>ROUND(Table1[[#This Row],[Content.Column4]] * 1000, 0)</f>
        <v>51792</v>
      </c>
      <c r="N225" s="30">
        <f>ROUND(Table1[[#This Row],[Content.Column5]] * 1000, 0)</f>
        <v>250163</v>
      </c>
      <c r="O225" s="30">
        <f>ROUND(Table1[[#This Row],[Content.Column6]] * 1000, 0)</f>
        <v>254192</v>
      </c>
      <c r="P225" s="27"/>
      <c r="Q225" s="27"/>
      <c r="R225"/>
      <c r="S225"/>
    </row>
    <row r="226" spans="1:19" x14ac:dyDescent="0.3">
      <c r="A226">
        <v>2013</v>
      </c>
      <c r="B226" t="s">
        <v>87</v>
      </c>
      <c r="C226" t="s">
        <v>86</v>
      </c>
      <c r="D226" s="34">
        <f>ROUND(Table1[[#This Row],[Content.Column7]] * 1000, 0)</f>
        <v>11598</v>
      </c>
      <c r="E226" s="34">
        <f>ROUND(Table1[[#This Row],[Content.Column8]] * 1000, 0)</f>
        <v>5252</v>
      </c>
      <c r="F226" s="34">
        <f>ROUND(Table1[[#This Row],[Content.Column9]] * 1000, 0)</f>
        <v>16850</v>
      </c>
      <c r="G226" s="34">
        <f>ROUND(Table1[[#This Row],[Content.Column10]] * 1000, 0)</f>
        <v>17034</v>
      </c>
      <c r="H226" s="32">
        <f>ROUND(Table1[[#This Row],[Content.Column11]] * 1000, 0)</f>
        <v>35030</v>
      </c>
      <c r="I226" s="32">
        <f>ROUND(Table1[[#This Row],[Content.Column12]] * 1000, 0)</f>
        <v>15544</v>
      </c>
      <c r="J226" s="32">
        <f>ROUND(Table1[[#This Row],[Content.Column13]] * 1000, 0)</f>
        <v>50574</v>
      </c>
      <c r="K226" s="32">
        <f>ROUND(Table1[[#This Row],[Content.Column14]] * 1000, 0)</f>
        <v>52511</v>
      </c>
      <c r="L226" s="30">
        <f>ROUND(Table1[[#This Row],[Content.Column3]] * 1000, 0)</f>
        <v>46628</v>
      </c>
      <c r="M226" s="30">
        <f>ROUND(Table1[[#This Row],[Content.Column4]] * 1000, 0)</f>
        <v>20796</v>
      </c>
      <c r="N226" s="30">
        <f>ROUND(Table1[[#This Row],[Content.Column5]] * 1000, 0)</f>
        <v>67424</v>
      </c>
      <c r="O226" s="30">
        <f>ROUND(Table1[[#This Row],[Content.Column6]] * 1000, 0)</f>
        <v>69545</v>
      </c>
      <c r="P226" s="27"/>
      <c r="Q226" s="27"/>
      <c r="R226"/>
      <c r="S226"/>
    </row>
    <row r="227" spans="1:19" x14ac:dyDescent="0.3">
      <c r="A227">
        <v>2013</v>
      </c>
      <c r="B227" t="s">
        <v>89</v>
      </c>
      <c r="C227" t="s">
        <v>88</v>
      </c>
      <c r="D227" s="34">
        <f>ROUND(Table1[[#This Row],[Content.Column7]] * 1000, 0)</f>
        <v>17205</v>
      </c>
      <c r="E227" s="34">
        <f>ROUND(Table1[[#This Row],[Content.Column8]] * 1000, 0)</f>
        <v>6717</v>
      </c>
      <c r="F227" s="34">
        <f>ROUND(Table1[[#This Row],[Content.Column9]] * 1000, 0)</f>
        <v>23921</v>
      </c>
      <c r="G227" s="34">
        <f>ROUND(Table1[[#This Row],[Content.Column10]] * 1000, 0)</f>
        <v>23924</v>
      </c>
      <c r="H227" s="32">
        <f>ROUND(Table1[[#This Row],[Content.Column11]] * 1000, 0)</f>
        <v>57955</v>
      </c>
      <c r="I227" s="32">
        <f>ROUND(Table1[[#This Row],[Content.Column12]] * 1000, 0)</f>
        <v>26751</v>
      </c>
      <c r="J227" s="32">
        <f>ROUND(Table1[[#This Row],[Content.Column13]] * 1000, 0)</f>
        <v>84706</v>
      </c>
      <c r="K227" s="32">
        <f>ROUND(Table1[[#This Row],[Content.Column14]] * 1000, 0)</f>
        <v>87585</v>
      </c>
      <c r="L227" s="30">
        <f>ROUND(Table1[[#This Row],[Content.Column3]] * 1000, 0)</f>
        <v>75160</v>
      </c>
      <c r="M227" s="30">
        <f>ROUND(Table1[[#This Row],[Content.Column4]] * 1000, 0)</f>
        <v>33467</v>
      </c>
      <c r="N227" s="30">
        <f>ROUND(Table1[[#This Row],[Content.Column5]] * 1000, 0)</f>
        <v>108627</v>
      </c>
      <c r="O227" s="30">
        <f>ROUND(Table1[[#This Row],[Content.Column6]] * 1000, 0)</f>
        <v>111509</v>
      </c>
      <c r="P227" s="27"/>
      <c r="Q227" s="27"/>
      <c r="R227"/>
      <c r="S227"/>
    </row>
    <row r="228" spans="1:19" x14ac:dyDescent="0.3">
      <c r="A228">
        <v>2013</v>
      </c>
      <c r="B228" t="s">
        <v>91</v>
      </c>
      <c r="C228" t="s">
        <v>90</v>
      </c>
      <c r="D228" s="34">
        <f>ROUND(Table1[[#This Row],[Content.Column7]] * 1000, 0)</f>
        <v>83369</v>
      </c>
      <c r="E228" s="34">
        <f>ROUND(Table1[[#This Row],[Content.Column8]] * 1000, 0)</f>
        <v>10923</v>
      </c>
      <c r="F228" s="34">
        <f>ROUND(Table1[[#This Row],[Content.Column9]] * 1000, 0)</f>
        <v>94292</v>
      </c>
      <c r="G228" s="34">
        <f>ROUND(Table1[[#This Row],[Content.Column10]] * 1000, 0)</f>
        <v>95131</v>
      </c>
      <c r="H228" s="32">
        <f>ROUND(Table1[[#This Row],[Content.Column11]] * 1000, 0)</f>
        <v>441433</v>
      </c>
      <c r="I228" s="32">
        <f>ROUND(Table1[[#This Row],[Content.Column12]] * 1000, 0)</f>
        <v>129514</v>
      </c>
      <c r="J228" s="32">
        <f>ROUND(Table1[[#This Row],[Content.Column13]] * 1000, 0)</f>
        <v>570947</v>
      </c>
      <c r="K228" s="32">
        <f>ROUND(Table1[[#This Row],[Content.Column14]] * 1000, 0)</f>
        <v>598276</v>
      </c>
      <c r="L228" s="30">
        <f>ROUND(Table1[[#This Row],[Content.Column3]] * 1000, 0)</f>
        <v>524803</v>
      </c>
      <c r="M228" s="30">
        <f>ROUND(Table1[[#This Row],[Content.Column4]] * 1000, 0)</f>
        <v>140437</v>
      </c>
      <c r="N228" s="30">
        <f>ROUND(Table1[[#This Row],[Content.Column5]] * 1000, 0)</f>
        <v>665239</v>
      </c>
      <c r="O228" s="30">
        <f>ROUND(Table1[[#This Row],[Content.Column6]] * 1000, 0)</f>
        <v>693407</v>
      </c>
      <c r="P228" s="27"/>
      <c r="Q228" s="27"/>
      <c r="R228"/>
      <c r="S228"/>
    </row>
    <row r="229" spans="1:19" x14ac:dyDescent="0.3">
      <c r="A229">
        <v>2013</v>
      </c>
      <c r="B229" t="s">
        <v>93</v>
      </c>
      <c r="C229" t="s">
        <v>92</v>
      </c>
      <c r="D229" s="34">
        <f>ROUND(Table1[[#This Row],[Content.Column7]] * 1000, 0)</f>
        <v>348475</v>
      </c>
      <c r="E229" s="34">
        <f>ROUND(Table1[[#This Row],[Content.Column8]] * 1000, 0)</f>
        <v>87664</v>
      </c>
      <c r="F229" s="34">
        <f>ROUND(Table1[[#This Row],[Content.Column9]] * 1000, 0)</f>
        <v>436139</v>
      </c>
      <c r="G229" s="34">
        <f>ROUND(Table1[[#This Row],[Content.Column10]] * 1000, 0)</f>
        <v>438565</v>
      </c>
      <c r="H229" s="32">
        <f>ROUND(Table1[[#This Row],[Content.Column11]] * 1000, 0)</f>
        <v>1805610</v>
      </c>
      <c r="I229" s="32">
        <f>ROUND(Table1[[#This Row],[Content.Column12]] * 1000, 0)</f>
        <v>565486</v>
      </c>
      <c r="J229" s="32">
        <f>ROUND(Table1[[#This Row],[Content.Column13]] * 1000, 0)</f>
        <v>2371093</v>
      </c>
      <c r="K229" s="32">
        <f>ROUND(Table1[[#This Row],[Content.Column14]] * 1000, 0)</f>
        <v>2463939</v>
      </c>
      <c r="L229" s="30">
        <f>ROUND(Table1[[#This Row],[Content.Column3]] * 1000, 0)</f>
        <v>2154085</v>
      </c>
      <c r="M229" s="30">
        <f>ROUND(Table1[[#This Row],[Content.Column4]] * 1000, 0)</f>
        <v>653150</v>
      </c>
      <c r="N229" s="30">
        <f>ROUND(Table1[[#This Row],[Content.Column5]] * 1000, 0)</f>
        <v>2807232</v>
      </c>
      <c r="O229" s="30">
        <f>ROUND(Table1[[#This Row],[Content.Column6]] * 1000, 0)</f>
        <v>2902505</v>
      </c>
      <c r="P229" s="27"/>
      <c r="Q229" s="27"/>
      <c r="R229"/>
      <c r="S229"/>
    </row>
    <row r="230" spans="1:19" x14ac:dyDescent="0.3">
      <c r="A230">
        <v>2013</v>
      </c>
      <c r="B230" t="s">
        <v>95</v>
      </c>
      <c r="C230" t="s">
        <v>94</v>
      </c>
      <c r="D230" s="34">
        <f>ROUND(Table1[[#This Row],[Content.Column7]] * 1000, 0)</f>
        <v>200542</v>
      </c>
      <c r="E230" s="34">
        <f>ROUND(Table1[[#This Row],[Content.Column8]] * 1000, 0)</f>
        <v>116087</v>
      </c>
      <c r="F230" s="34">
        <f>ROUND(Table1[[#This Row],[Content.Column9]] * 1000, 0)</f>
        <v>316629</v>
      </c>
      <c r="G230" s="34">
        <f>ROUND(Table1[[#This Row],[Content.Column10]] * 1000, 0)</f>
        <v>317501</v>
      </c>
      <c r="H230" s="32">
        <f>ROUND(Table1[[#This Row],[Content.Column11]] * 1000, 0)</f>
        <v>991458</v>
      </c>
      <c r="I230" s="32">
        <f>ROUND(Table1[[#This Row],[Content.Column12]] * 1000, 0)</f>
        <v>444020</v>
      </c>
      <c r="J230" s="32">
        <f>ROUND(Table1[[#This Row],[Content.Column13]] * 1000, 0)</f>
        <v>1435477</v>
      </c>
      <c r="K230" s="32">
        <f>ROUND(Table1[[#This Row],[Content.Column14]] * 1000, 0)</f>
        <v>1486143</v>
      </c>
      <c r="L230" s="30">
        <f>ROUND(Table1[[#This Row],[Content.Column3]] * 1000, 0)</f>
        <v>1192000</v>
      </c>
      <c r="M230" s="30">
        <f>ROUND(Table1[[#This Row],[Content.Column4]] * 1000, 0)</f>
        <v>560107</v>
      </c>
      <c r="N230" s="30">
        <f>ROUND(Table1[[#This Row],[Content.Column5]] * 1000, 0)</f>
        <v>1752105</v>
      </c>
      <c r="O230" s="30">
        <f>ROUND(Table1[[#This Row],[Content.Column6]] * 1000, 0)</f>
        <v>1803644</v>
      </c>
      <c r="P230" s="27"/>
      <c r="Q230" s="27"/>
      <c r="R230"/>
      <c r="S230"/>
    </row>
    <row r="231" spans="1:19" x14ac:dyDescent="0.3">
      <c r="A231">
        <v>2013</v>
      </c>
      <c r="B231" t="s">
        <v>97</v>
      </c>
      <c r="C231" t="s">
        <v>96</v>
      </c>
      <c r="D231" s="34">
        <f>ROUND(Table1[[#This Row],[Content.Column7]] * 1000, 0)</f>
        <v>157914</v>
      </c>
      <c r="E231" s="34">
        <f>ROUND(Table1[[#This Row],[Content.Column8]] * 1000, 0)</f>
        <v>90671</v>
      </c>
      <c r="F231" s="34">
        <f>ROUND(Table1[[#This Row],[Content.Column9]] * 1000, 0)</f>
        <v>248584</v>
      </c>
      <c r="G231" s="34">
        <f>ROUND(Table1[[#This Row],[Content.Column10]] * 1000, 0)</f>
        <v>256020</v>
      </c>
      <c r="H231" s="32">
        <f>ROUND(Table1[[#This Row],[Content.Column11]] * 1000, 0)</f>
        <v>513540</v>
      </c>
      <c r="I231" s="32">
        <f>ROUND(Table1[[#This Row],[Content.Column12]] * 1000, 0)</f>
        <v>244259</v>
      </c>
      <c r="J231" s="32">
        <f>ROUND(Table1[[#This Row],[Content.Column13]] * 1000, 0)</f>
        <v>757800</v>
      </c>
      <c r="K231" s="32">
        <f>ROUND(Table1[[#This Row],[Content.Column14]] * 1000, 0)</f>
        <v>782906</v>
      </c>
      <c r="L231" s="30">
        <f>ROUND(Table1[[#This Row],[Content.Column3]] * 1000, 0)</f>
        <v>671454</v>
      </c>
      <c r="M231" s="30">
        <f>ROUND(Table1[[#This Row],[Content.Column4]] * 1000, 0)</f>
        <v>334930</v>
      </c>
      <c r="N231" s="30">
        <f>ROUND(Table1[[#This Row],[Content.Column5]] * 1000, 0)</f>
        <v>1006384</v>
      </c>
      <c r="O231" s="30">
        <f>ROUND(Table1[[#This Row],[Content.Column6]] * 1000, 0)</f>
        <v>1038926</v>
      </c>
      <c r="P231" s="27"/>
      <c r="Q231" s="27"/>
      <c r="R231"/>
      <c r="S231"/>
    </row>
    <row r="232" spans="1:19" x14ac:dyDescent="0.3">
      <c r="A232">
        <v>2013</v>
      </c>
      <c r="B232" t="s">
        <v>99</v>
      </c>
      <c r="C232" t="s">
        <v>98</v>
      </c>
      <c r="D232" s="34">
        <f>ROUND(Table1[[#This Row],[Content.Column7]] * 1000, 0)</f>
        <v>399108</v>
      </c>
      <c r="E232" s="34">
        <f>ROUND(Table1[[#This Row],[Content.Column8]] * 1000, 0)</f>
        <v>239708</v>
      </c>
      <c r="F232" s="34">
        <f>ROUND(Table1[[#This Row],[Content.Column9]] * 1000, 0)</f>
        <v>638815</v>
      </c>
      <c r="G232" s="34">
        <f>ROUND(Table1[[#This Row],[Content.Column10]] * 1000, 0)</f>
        <v>661338</v>
      </c>
      <c r="H232" s="32">
        <f>ROUND(Table1[[#This Row],[Content.Column11]] * 1000, 0)</f>
        <v>1646148</v>
      </c>
      <c r="I232" s="32">
        <f>ROUND(Table1[[#This Row],[Content.Column12]] * 1000, 0)</f>
        <v>731779</v>
      </c>
      <c r="J232" s="32">
        <f>ROUND(Table1[[#This Row],[Content.Column13]] * 1000, 0)</f>
        <v>2377926</v>
      </c>
      <c r="K232" s="32">
        <f>ROUND(Table1[[#This Row],[Content.Column14]] * 1000, 0)</f>
        <v>2454234</v>
      </c>
      <c r="L232" s="30">
        <f>ROUND(Table1[[#This Row],[Content.Column3]] * 1000, 0)</f>
        <v>2045255</v>
      </c>
      <c r="M232" s="30">
        <f>ROUND(Table1[[#This Row],[Content.Column4]] * 1000, 0)</f>
        <v>971486</v>
      </c>
      <c r="N232" s="30">
        <f>ROUND(Table1[[#This Row],[Content.Column5]] * 1000, 0)</f>
        <v>3016741</v>
      </c>
      <c r="O232" s="30">
        <f>ROUND(Table1[[#This Row],[Content.Column6]] * 1000, 0)</f>
        <v>3115572</v>
      </c>
      <c r="P232" s="27"/>
      <c r="Q232" s="27"/>
      <c r="R232"/>
      <c r="S232"/>
    </row>
    <row r="233" spans="1:19" x14ac:dyDescent="0.3">
      <c r="A233">
        <v>2013</v>
      </c>
      <c r="B233" t="s">
        <v>101</v>
      </c>
      <c r="C233" t="s">
        <v>100</v>
      </c>
      <c r="D233" s="34">
        <f>ROUND(Table1[[#This Row],[Content.Column7]] * 1000, 0)</f>
        <v>300856</v>
      </c>
      <c r="E233" s="34">
        <f>ROUND(Table1[[#This Row],[Content.Column8]] * 1000, 0)</f>
        <v>185386</v>
      </c>
      <c r="F233" s="34">
        <f>ROUND(Table1[[#This Row],[Content.Column9]] * 1000, 0)</f>
        <v>486242</v>
      </c>
      <c r="G233" s="34">
        <f>ROUND(Table1[[#This Row],[Content.Column10]] * 1000, 0)</f>
        <v>507047</v>
      </c>
      <c r="H233" s="32">
        <f>ROUND(Table1[[#This Row],[Content.Column11]] * 1000, 0)</f>
        <v>1170098</v>
      </c>
      <c r="I233" s="32">
        <f>ROUND(Table1[[#This Row],[Content.Column12]] * 1000, 0)</f>
        <v>536501</v>
      </c>
      <c r="J233" s="32">
        <f>ROUND(Table1[[#This Row],[Content.Column13]] * 1000, 0)</f>
        <v>1706598</v>
      </c>
      <c r="K233" s="32">
        <f>ROUND(Table1[[#This Row],[Content.Column14]] * 1000, 0)</f>
        <v>1777346</v>
      </c>
      <c r="L233" s="30">
        <f>ROUND(Table1[[#This Row],[Content.Column3]] * 1000, 0)</f>
        <v>1470953</v>
      </c>
      <c r="M233" s="30">
        <f>ROUND(Table1[[#This Row],[Content.Column4]] * 1000, 0)</f>
        <v>721887</v>
      </c>
      <c r="N233" s="30">
        <f>ROUND(Table1[[#This Row],[Content.Column5]] * 1000, 0)</f>
        <v>2192840</v>
      </c>
      <c r="O233" s="30">
        <f>ROUND(Table1[[#This Row],[Content.Column6]] * 1000, 0)</f>
        <v>2284393</v>
      </c>
      <c r="P233" s="27"/>
      <c r="Q233" s="27"/>
      <c r="R233"/>
      <c r="S233"/>
    </row>
    <row r="234" spans="1:19" x14ac:dyDescent="0.3">
      <c r="A234">
        <v>2013</v>
      </c>
      <c r="B234" t="s">
        <v>103</v>
      </c>
      <c r="C234" t="s">
        <v>102</v>
      </c>
      <c r="D234" s="34">
        <f>ROUND(Table1[[#This Row],[Content.Column7]] * 1000, 0)</f>
        <v>229831</v>
      </c>
      <c r="E234" s="34">
        <f>ROUND(Table1[[#This Row],[Content.Column8]] * 1000, 0)</f>
        <v>132973</v>
      </c>
      <c r="F234" s="34">
        <f>ROUND(Table1[[#This Row],[Content.Column9]] * 1000, 0)</f>
        <v>362805</v>
      </c>
      <c r="G234" s="34">
        <f>ROUND(Table1[[#This Row],[Content.Column10]] * 1000, 0)</f>
        <v>382122</v>
      </c>
      <c r="H234" s="32">
        <f>ROUND(Table1[[#This Row],[Content.Column11]] * 1000, 0)</f>
        <v>1066869</v>
      </c>
      <c r="I234" s="32">
        <f>ROUND(Table1[[#This Row],[Content.Column12]] * 1000, 0)</f>
        <v>477733</v>
      </c>
      <c r="J234" s="32">
        <f>ROUND(Table1[[#This Row],[Content.Column13]] * 1000, 0)</f>
        <v>1544603</v>
      </c>
      <c r="K234" s="32">
        <f>ROUND(Table1[[#This Row],[Content.Column14]] * 1000, 0)</f>
        <v>1599945</v>
      </c>
      <c r="L234" s="30">
        <f>ROUND(Table1[[#This Row],[Content.Column3]] * 1000, 0)</f>
        <v>1296700</v>
      </c>
      <c r="M234" s="30">
        <f>ROUND(Table1[[#This Row],[Content.Column4]] * 1000, 0)</f>
        <v>610706</v>
      </c>
      <c r="N234" s="30">
        <f>ROUND(Table1[[#This Row],[Content.Column5]] * 1000, 0)</f>
        <v>1907408</v>
      </c>
      <c r="O234" s="30">
        <f>ROUND(Table1[[#This Row],[Content.Column6]] * 1000, 0)</f>
        <v>1982068</v>
      </c>
      <c r="P234" s="27"/>
      <c r="Q234" s="27"/>
      <c r="R234"/>
      <c r="S234"/>
    </row>
    <row r="235" spans="1:19" x14ac:dyDescent="0.3">
      <c r="A235">
        <v>2013</v>
      </c>
      <c r="B235" t="s">
        <v>105</v>
      </c>
      <c r="C235" t="s">
        <v>104</v>
      </c>
      <c r="D235" s="34">
        <f>ROUND(Table1[[#This Row],[Content.Column7]] * 1000, 0)</f>
        <v>289212</v>
      </c>
      <c r="E235" s="34">
        <f>ROUND(Table1[[#This Row],[Content.Column8]] * 1000, 0)</f>
        <v>198203</v>
      </c>
      <c r="F235" s="34">
        <f>ROUND(Table1[[#This Row],[Content.Column9]] * 1000, 0)</f>
        <v>487415</v>
      </c>
      <c r="G235" s="34">
        <f>ROUND(Table1[[#This Row],[Content.Column10]] * 1000, 0)</f>
        <v>511131</v>
      </c>
      <c r="H235" s="32">
        <f>ROUND(Table1[[#This Row],[Content.Column11]] * 1000, 0)</f>
        <v>1297593</v>
      </c>
      <c r="I235" s="32">
        <f>ROUND(Table1[[#This Row],[Content.Column12]] * 1000, 0)</f>
        <v>554928</v>
      </c>
      <c r="J235" s="32">
        <f>ROUND(Table1[[#This Row],[Content.Column13]] * 1000, 0)</f>
        <v>1852521</v>
      </c>
      <c r="K235" s="32">
        <f>ROUND(Table1[[#This Row],[Content.Column14]] * 1000, 0)</f>
        <v>1920404</v>
      </c>
      <c r="L235" s="30">
        <f>ROUND(Table1[[#This Row],[Content.Column3]] * 1000, 0)</f>
        <v>1586805</v>
      </c>
      <c r="M235" s="30">
        <f>ROUND(Table1[[#This Row],[Content.Column4]] * 1000, 0)</f>
        <v>753131</v>
      </c>
      <c r="N235" s="30">
        <f>ROUND(Table1[[#This Row],[Content.Column5]] * 1000, 0)</f>
        <v>2339936</v>
      </c>
      <c r="O235" s="30">
        <f>ROUND(Table1[[#This Row],[Content.Column6]] * 1000, 0)</f>
        <v>2431535</v>
      </c>
      <c r="P235" s="27"/>
      <c r="Q235" s="27"/>
      <c r="R235"/>
      <c r="S235"/>
    </row>
    <row r="236" spans="1:19" x14ac:dyDescent="0.3">
      <c r="A236">
        <v>2013</v>
      </c>
      <c r="B236" t="s">
        <v>107</v>
      </c>
      <c r="C236" t="s">
        <v>106</v>
      </c>
      <c r="D236" s="34">
        <f>ROUND(Table1[[#This Row],[Content.Column7]] * 1000, 0)</f>
        <v>256029</v>
      </c>
      <c r="E236" s="34">
        <f>ROUND(Table1[[#This Row],[Content.Column8]] * 1000, 0)</f>
        <v>197679</v>
      </c>
      <c r="F236" s="34">
        <f>ROUND(Table1[[#This Row],[Content.Column9]] * 1000, 0)</f>
        <v>453708</v>
      </c>
      <c r="G236" s="34">
        <f>ROUND(Table1[[#This Row],[Content.Column10]] * 1000, 0)</f>
        <v>472852</v>
      </c>
      <c r="H236" s="32">
        <f>ROUND(Table1[[#This Row],[Content.Column11]] * 1000, 0)</f>
        <v>1344985</v>
      </c>
      <c r="I236" s="32">
        <f>ROUND(Table1[[#This Row],[Content.Column12]] * 1000, 0)</f>
        <v>648366</v>
      </c>
      <c r="J236" s="32">
        <f>ROUND(Table1[[#This Row],[Content.Column13]] * 1000, 0)</f>
        <v>1993352</v>
      </c>
      <c r="K236" s="32">
        <f>ROUND(Table1[[#This Row],[Content.Column14]] * 1000, 0)</f>
        <v>2079827</v>
      </c>
      <c r="L236" s="30">
        <f>ROUND(Table1[[#This Row],[Content.Column3]] * 1000, 0)</f>
        <v>1601014</v>
      </c>
      <c r="M236" s="30">
        <f>ROUND(Table1[[#This Row],[Content.Column4]] * 1000, 0)</f>
        <v>846045</v>
      </c>
      <c r="N236" s="30">
        <f>ROUND(Table1[[#This Row],[Content.Column5]] * 1000, 0)</f>
        <v>2447060</v>
      </c>
      <c r="O236" s="30">
        <f>ROUND(Table1[[#This Row],[Content.Column6]] * 1000, 0)</f>
        <v>2552679</v>
      </c>
      <c r="P236" s="27"/>
      <c r="Q236" s="27"/>
      <c r="R236"/>
      <c r="S236"/>
    </row>
    <row r="237" spans="1:19" x14ac:dyDescent="0.3">
      <c r="A237">
        <v>2013</v>
      </c>
      <c r="B237" t="s">
        <v>109</v>
      </c>
      <c r="C237" t="s">
        <v>108</v>
      </c>
      <c r="D237" s="34">
        <f>ROUND(Table1[[#This Row],[Content.Column7]] * 1000, 0)</f>
        <v>549451</v>
      </c>
      <c r="E237" s="34">
        <f>ROUND(Table1[[#This Row],[Content.Column8]] * 1000, 0)</f>
        <v>203857</v>
      </c>
      <c r="F237" s="34">
        <f>ROUND(Table1[[#This Row],[Content.Column9]] * 1000, 0)</f>
        <v>753309</v>
      </c>
      <c r="G237" s="34">
        <f>ROUND(Table1[[#This Row],[Content.Column10]] * 1000, 0)</f>
        <v>756901</v>
      </c>
      <c r="H237" s="32">
        <f>ROUND(Table1[[#This Row],[Content.Column11]] * 1000, 0)</f>
        <v>2797068</v>
      </c>
      <c r="I237" s="32">
        <f>ROUND(Table1[[#This Row],[Content.Column12]] * 1000, 0)</f>
        <v>1009506</v>
      </c>
      <c r="J237" s="32">
        <f>ROUND(Table1[[#This Row],[Content.Column13]] * 1000, 0)</f>
        <v>3806569</v>
      </c>
      <c r="K237" s="32">
        <f>ROUND(Table1[[#This Row],[Content.Column14]] * 1000, 0)</f>
        <v>3950083</v>
      </c>
      <c r="L237" s="30">
        <f>ROUND(Table1[[#This Row],[Content.Column3]] * 1000, 0)</f>
        <v>3346519</v>
      </c>
      <c r="M237" s="30">
        <f>ROUND(Table1[[#This Row],[Content.Column4]] * 1000, 0)</f>
        <v>1213363</v>
      </c>
      <c r="N237" s="30">
        <f>ROUND(Table1[[#This Row],[Content.Column5]] * 1000, 0)</f>
        <v>4559878</v>
      </c>
      <c r="O237" s="30">
        <f>ROUND(Table1[[#This Row],[Content.Column6]] * 1000, 0)</f>
        <v>4706983</v>
      </c>
      <c r="P237" s="27"/>
      <c r="Q237" s="27"/>
      <c r="R237"/>
      <c r="S237"/>
    </row>
    <row r="238" spans="1:19" x14ac:dyDescent="0.3">
      <c r="A238">
        <v>2013</v>
      </c>
      <c r="B238" t="s">
        <v>111</v>
      </c>
      <c r="C238" t="s">
        <v>110</v>
      </c>
      <c r="D238" s="34">
        <f>ROUND(Table1[[#This Row],[Content.Column7]] * 1000, 0)</f>
        <v>396466</v>
      </c>
      <c r="E238" s="34">
        <f>ROUND(Table1[[#This Row],[Content.Column8]] * 1000, 0)</f>
        <v>250721</v>
      </c>
      <c r="F238" s="34">
        <f>ROUND(Table1[[#This Row],[Content.Column9]] * 1000, 0)</f>
        <v>647187</v>
      </c>
      <c r="G238" s="34">
        <f>ROUND(Table1[[#This Row],[Content.Column10]] * 1000, 0)</f>
        <v>668432</v>
      </c>
      <c r="H238" s="32">
        <f>ROUND(Table1[[#This Row],[Content.Column11]] * 1000, 0)</f>
        <v>2149012</v>
      </c>
      <c r="I238" s="32">
        <f>ROUND(Table1[[#This Row],[Content.Column12]] * 1000, 0)</f>
        <v>1028433</v>
      </c>
      <c r="J238" s="32">
        <f>ROUND(Table1[[#This Row],[Content.Column13]] * 1000, 0)</f>
        <v>3177446</v>
      </c>
      <c r="K238" s="32">
        <f>ROUND(Table1[[#This Row],[Content.Column14]] * 1000, 0)</f>
        <v>3306772</v>
      </c>
      <c r="L238" s="30">
        <f>ROUND(Table1[[#This Row],[Content.Column3]] * 1000, 0)</f>
        <v>2545478</v>
      </c>
      <c r="M238" s="30">
        <f>ROUND(Table1[[#This Row],[Content.Column4]] * 1000, 0)</f>
        <v>1279154</v>
      </c>
      <c r="N238" s="30">
        <f>ROUND(Table1[[#This Row],[Content.Column5]] * 1000, 0)</f>
        <v>3824633</v>
      </c>
      <c r="O238" s="30">
        <f>ROUND(Table1[[#This Row],[Content.Column6]] * 1000, 0)</f>
        <v>3975204</v>
      </c>
      <c r="P238" s="27"/>
      <c r="Q238" s="27"/>
      <c r="R238"/>
      <c r="S238"/>
    </row>
    <row r="239" spans="1:19" x14ac:dyDescent="0.3">
      <c r="A239">
        <v>2013</v>
      </c>
      <c r="B239" t="s">
        <v>113</v>
      </c>
      <c r="C239" t="s">
        <v>112</v>
      </c>
      <c r="D239" s="34">
        <f>ROUND(Table1[[#This Row],[Content.Column7]] * 1000, 0)</f>
        <v>261079</v>
      </c>
      <c r="E239" s="34">
        <f>ROUND(Table1[[#This Row],[Content.Column8]] * 1000, 0)</f>
        <v>192718</v>
      </c>
      <c r="F239" s="34">
        <f>ROUND(Table1[[#This Row],[Content.Column9]] * 1000, 0)</f>
        <v>453797</v>
      </c>
      <c r="G239" s="34">
        <f>ROUND(Table1[[#This Row],[Content.Column10]] * 1000, 0)</f>
        <v>496617</v>
      </c>
      <c r="H239" s="32">
        <f>ROUND(Table1[[#This Row],[Content.Column11]] * 1000, 0)</f>
        <v>1170459</v>
      </c>
      <c r="I239" s="32">
        <f>ROUND(Table1[[#This Row],[Content.Column12]] * 1000, 0)</f>
        <v>641637</v>
      </c>
      <c r="J239" s="32">
        <f>ROUND(Table1[[#This Row],[Content.Column13]] * 1000, 0)</f>
        <v>1812096</v>
      </c>
      <c r="K239" s="32">
        <f>ROUND(Table1[[#This Row],[Content.Column14]] * 1000, 0)</f>
        <v>1897482</v>
      </c>
      <c r="L239" s="30">
        <f>ROUND(Table1[[#This Row],[Content.Column3]] * 1000, 0)</f>
        <v>1431538</v>
      </c>
      <c r="M239" s="30">
        <f>ROUND(Table1[[#This Row],[Content.Column4]] * 1000, 0)</f>
        <v>834355</v>
      </c>
      <c r="N239" s="30">
        <f>ROUND(Table1[[#This Row],[Content.Column5]] * 1000, 0)</f>
        <v>2265892</v>
      </c>
      <c r="O239" s="30">
        <f>ROUND(Table1[[#This Row],[Content.Column6]] * 1000, 0)</f>
        <v>2394099</v>
      </c>
      <c r="P239" s="27"/>
      <c r="Q239" s="27"/>
      <c r="R239"/>
      <c r="S239"/>
    </row>
    <row r="240" spans="1:19" x14ac:dyDescent="0.3">
      <c r="A240">
        <v>2013</v>
      </c>
      <c r="B240" t="s">
        <v>115</v>
      </c>
      <c r="C240" t="s">
        <v>114</v>
      </c>
      <c r="D240" s="34">
        <f>ROUND(Table1[[#This Row],[Content.Column7]] * 1000, 0)</f>
        <v>206916</v>
      </c>
      <c r="E240" s="34">
        <f>ROUND(Table1[[#This Row],[Content.Column8]] * 1000, 0)</f>
        <v>139567</v>
      </c>
      <c r="F240" s="34">
        <f>ROUND(Table1[[#This Row],[Content.Column9]] * 1000, 0)</f>
        <v>346483</v>
      </c>
      <c r="G240" s="34">
        <f>ROUND(Table1[[#This Row],[Content.Column10]] * 1000, 0)</f>
        <v>387449</v>
      </c>
      <c r="H240" s="32">
        <f>ROUND(Table1[[#This Row],[Content.Column11]] * 1000, 0)</f>
        <v>560863</v>
      </c>
      <c r="I240" s="32">
        <f>ROUND(Table1[[#This Row],[Content.Column12]] * 1000, 0)</f>
        <v>279827</v>
      </c>
      <c r="J240" s="32">
        <f>ROUND(Table1[[#This Row],[Content.Column13]] * 1000, 0)</f>
        <v>840689</v>
      </c>
      <c r="K240" s="32">
        <f>ROUND(Table1[[#This Row],[Content.Column14]] * 1000, 0)</f>
        <v>887493</v>
      </c>
      <c r="L240" s="30">
        <f>ROUND(Table1[[#This Row],[Content.Column3]] * 1000, 0)</f>
        <v>767779</v>
      </c>
      <c r="M240" s="30">
        <f>ROUND(Table1[[#This Row],[Content.Column4]] * 1000, 0)</f>
        <v>419394</v>
      </c>
      <c r="N240" s="30">
        <f>ROUND(Table1[[#This Row],[Content.Column5]] * 1000, 0)</f>
        <v>1187172</v>
      </c>
      <c r="O240" s="30">
        <f>ROUND(Table1[[#This Row],[Content.Column6]] * 1000, 0)</f>
        <v>1274941</v>
      </c>
      <c r="P240" s="27"/>
      <c r="Q240" s="27"/>
      <c r="R240"/>
      <c r="S240"/>
    </row>
    <row r="241" spans="1:19" x14ac:dyDescent="0.3">
      <c r="A241">
        <v>2013</v>
      </c>
      <c r="B241" t="s">
        <v>117</v>
      </c>
      <c r="C241" t="s">
        <v>116</v>
      </c>
      <c r="D241" s="34">
        <f>ROUND(Table1[[#This Row],[Content.Column7]] * 1000, 0)</f>
        <v>392780</v>
      </c>
      <c r="E241" s="34">
        <f>ROUND(Table1[[#This Row],[Content.Column8]] * 1000, 0)</f>
        <v>238205</v>
      </c>
      <c r="F241" s="34">
        <f>ROUND(Table1[[#This Row],[Content.Column9]] * 1000, 0)</f>
        <v>630985</v>
      </c>
      <c r="G241" s="34">
        <f>ROUND(Table1[[#This Row],[Content.Column10]] * 1000, 0)</f>
        <v>670811</v>
      </c>
      <c r="H241" s="32">
        <f>ROUND(Table1[[#This Row],[Content.Column11]] * 1000, 0)</f>
        <v>1171275</v>
      </c>
      <c r="I241" s="32">
        <f>ROUND(Table1[[#This Row],[Content.Column12]] * 1000, 0)</f>
        <v>546123</v>
      </c>
      <c r="J241" s="32">
        <f>ROUND(Table1[[#This Row],[Content.Column13]] * 1000, 0)</f>
        <v>1717397</v>
      </c>
      <c r="K241" s="32">
        <f>ROUND(Table1[[#This Row],[Content.Column14]] * 1000, 0)</f>
        <v>1790244</v>
      </c>
      <c r="L241" s="30">
        <f>ROUND(Table1[[#This Row],[Content.Column3]] * 1000, 0)</f>
        <v>1564055</v>
      </c>
      <c r="M241" s="30">
        <f>ROUND(Table1[[#This Row],[Content.Column4]] * 1000, 0)</f>
        <v>784328</v>
      </c>
      <c r="N241" s="30">
        <f>ROUND(Table1[[#This Row],[Content.Column5]] * 1000, 0)</f>
        <v>2348382</v>
      </c>
      <c r="O241" s="30">
        <f>ROUND(Table1[[#This Row],[Content.Column6]] * 1000, 0)</f>
        <v>2461055</v>
      </c>
      <c r="P241" s="27"/>
      <c r="Q241" s="27"/>
      <c r="R241"/>
      <c r="S241"/>
    </row>
    <row r="242" spans="1:19" x14ac:dyDescent="0.3">
      <c r="A242">
        <v>2013</v>
      </c>
      <c r="B242" t="s">
        <v>119</v>
      </c>
      <c r="C242" t="s">
        <v>118</v>
      </c>
      <c r="D242" s="34">
        <f>ROUND(Table1[[#This Row],[Content.Column7]] * 1000, 0)</f>
        <v>2839945</v>
      </c>
      <c r="E242" s="34">
        <f>ROUND(Table1[[#This Row],[Content.Column8]] * 1000, 0)</f>
        <v>1691915</v>
      </c>
      <c r="F242" s="34">
        <f>ROUND(Table1[[#This Row],[Content.Column9]] * 1000, 0)</f>
        <v>4531862</v>
      </c>
      <c r="G242" s="34">
        <f>ROUND(Table1[[#This Row],[Content.Column10]] * 1000, 0)</f>
        <v>4712460</v>
      </c>
      <c r="H242" s="32">
        <f>ROUND(Table1[[#This Row],[Content.Column11]] * 1000, 0)</f>
        <v>13155772</v>
      </c>
      <c r="I242" s="32">
        <f>ROUND(Table1[[#This Row],[Content.Column12]] * 1000, 0)</f>
        <v>5873141</v>
      </c>
      <c r="J242" s="32">
        <f>ROUND(Table1[[#This Row],[Content.Column13]] * 1000, 0)</f>
        <v>19028910</v>
      </c>
      <c r="K242" s="32">
        <f>ROUND(Table1[[#This Row],[Content.Column14]] * 1000, 0)</f>
        <v>19768998</v>
      </c>
      <c r="L242" s="30">
        <f>ROUND(Table1[[#This Row],[Content.Column3]] * 1000, 0)</f>
        <v>15995717</v>
      </c>
      <c r="M242" s="30">
        <f>ROUND(Table1[[#This Row],[Content.Column4]] * 1000, 0)</f>
        <v>7565056</v>
      </c>
      <c r="N242" s="30">
        <f>ROUND(Table1[[#This Row],[Content.Column5]] * 1000, 0)</f>
        <v>23560772</v>
      </c>
      <c r="O242" s="30">
        <f>ROUND(Table1[[#This Row],[Content.Column6]] * 1000, 0)</f>
        <v>24481459</v>
      </c>
      <c r="P242" s="27"/>
      <c r="Q242" s="27"/>
      <c r="R242"/>
      <c r="S242"/>
    </row>
    <row r="243" spans="1:19" x14ac:dyDescent="0.3">
      <c r="A243">
        <v>2013</v>
      </c>
      <c r="B243" t="s">
        <v>121</v>
      </c>
      <c r="C243" t="s">
        <v>120</v>
      </c>
      <c r="D243" s="34">
        <f>ROUND(Table1[[#This Row],[Content.Column7]] * 1000, 0)</f>
        <v>3439641</v>
      </c>
      <c r="E243" s="34">
        <f>ROUND(Table1[[#This Row],[Content.Column8]] * 1000, 0)</f>
        <v>2069687</v>
      </c>
      <c r="F243" s="34">
        <f>ROUND(Table1[[#This Row],[Content.Column9]] * 1000, 0)</f>
        <v>5509330</v>
      </c>
      <c r="G243" s="34">
        <f>ROUND(Table1[[#This Row],[Content.Column10]] * 1000, 0)</f>
        <v>5770720</v>
      </c>
      <c r="H243" s="32">
        <f>ROUND(Table1[[#This Row],[Content.Column11]] * 1000, 0)</f>
        <v>14887909</v>
      </c>
      <c r="I243" s="32">
        <f>ROUND(Table1[[#This Row],[Content.Column12]] * 1000, 0)</f>
        <v>6699091</v>
      </c>
      <c r="J243" s="32">
        <f>ROUND(Table1[[#This Row],[Content.Column13]] * 1000, 0)</f>
        <v>21586997</v>
      </c>
      <c r="K243" s="32">
        <f>ROUND(Table1[[#This Row],[Content.Column14]] * 1000, 0)</f>
        <v>22446735</v>
      </c>
      <c r="L243" s="30">
        <f>ROUND(Table1[[#This Row],[Content.Column3]] * 1000, 0)</f>
        <v>18327550</v>
      </c>
      <c r="M243" s="30">
        <f>ROUND(Table1[[#This Row],[Content.Column4]] * 1000, 0)</f>
        <v>8768778</v>
      </c>
      <c r="N243" s="30">
        <f>ROUND(Table1[[#This Row],[Content.Column5]] * 1000, 0)</f>
        <v>27096327</v>
      </c>
      <c r="O243" s="30">
        <f>ROUND(Table1[[#This Row],[Content.Column6]] * 1000, 0)</f>
        <v>28217456</v>
      </c>
      <c r="P243" s="27"/>
      <c r="Q243" s="27"/>
      <c r="R243"/>
      <c r="S243"/>
    </row>
    <row r="244" spans="1:19" x14ac:dyDescent="0.3">
      <c r="A244">
        <v>2014</v>
      </c>
      <c r="B244" t="s">
        <v>27</v>
      </c>
      <c r="C244" t="s">
        <v>26</v>
      </c>
      <c r="D244" s="34">
        <f>ROUND(Table1[[#This Row],[Content.Column7]] * 1000, 0)</f>
        <v>12055</v>
      </c>
      <c r="E244" s="34">
        <f>ROUND(Table1[[#This Row],[Content.Column8]] * 1000, 0)</f>
        <v>2071</v>
      </c>
      <c r="F244" s="34">
        <f>ROUND(Table1[[#This Row],[Content.Column9]] * 1000, 0)</f>
        <v>14126</v>
      </c>
      <c r="G244" s="34">
        <f>ROUND(Table1[[#This Row],[Content.Column10]] * 1000, 0)</f>
        <v>14160</v>
      </c>
      <c r="H244" s="32">
        <f>ROUND(Table1[[#This Row],[Content.Column11]] * 1000, 0)</f>
        <v>336903</v>
      </c>
      <c r="I244" s="32">
        <f>ROUND(Table1[[#This Row],[Content.Column12]] * 1000, 0)</f>
        <v>49134</v>
      </c>
      <c r="J244" s="32">
        <f>ROUND(Table1[[#This Row],[Content.Column13]] * 1000, 0)</f>
        <v>386037</v>
      </c>
      <c r="K244" s="32">
        <f>ROUND(Table1[[#This Row],[Content.Column14]] * 1000, 0)</f>
        <v>399345</v>
      </c>
      <c r="L244" s="30">
        <f>ROUND(Table1[[#This Row],[Content.Column3]] * 1000, 0)</f>
        <v>348958</v>
      </c>
      <c r="M244" s="30">
        <f>ROUND(Table1[[#This Row],[Content.Column4]] * 1000, 0)</f>
        <v>51205</v>
      </c>
      <c r="N244" s="30">
        <f>ROUND(Table1[[#This Row],[Content.Column5]] * 1000, 0)</f>
        <v>400163</v>
      </c>
      <c r="O244" s="30">
        <f>ROUND(Table1[[#This Row],[Content.Column6]] * 1000, 0)</f>
        <v>413505</v>
      </c>
      <c r="P244" s="27"/>
      <c r="Q244" s="27"/>
      <c r="R244"/>
      <c r="S244"/>
    </row>
    <row r="245" spans="1:19" x14ac:dyDescent="0.3">
      <c r="A245">
        <v>2014</v>
      </c>
      <c r="B245" t="s">
        <v>29</v>
      </c>
      <c r="C245" t="s">
        <v>28</v>
      </c>
      <c r="D245" s="34">
        <f>ROUND(Table1[[#This Row],[Content.Column7]] * 1000, 0)</f>
        <v>6397</v>
      </c>
      <c r="E245" s="34">
        <f>ROUND(Table1[[#This Row],[Content.Column8]] * 1000, 0)</f>
        <v>4314</v>
      </c>
      <c r="F245" s="34">
        <f>ROUND(Table1[[#This Row],[Content.Column9]] * 1000, 0)</f>
        <v>10711</v>
      </c>
      <c r="G245" s="34">
        <f>ROUND(Table1[[#This Row],[Content.Column10]] * 1000, 0)</f>
        <v>10713</v>
      </c>
      <c r="H245" s="32">
        <f>ROUND(Table1[[#This Row],[Content.Column11]] * 1000, 0)</f>
        <v>27899</v>
      </c>
      <c r="I245" s="32">
        <f>ROUND(Table1[[#This Row],[Content.Column12]] * 1000, 0)</f>
        <v>11157</v>
      </c>
      <c r="J245" s="32">
        <f>ROUND(Table1[[#This Row],[Content.Column13]] * 1000, 0)</f>
        <v>39056</v>
      </c>
      <c r="K245" s="32">
        <f>ROUND(Table1[[#This Row],[Content.Column14]] * 1000, 0)</f>
        <v>39987</v>
      </c>
      <c r="L245" s="30">
        <f>ROUND(Table1[[#This Row],[Content.Column3]] * 1000, 0)</f>
        <v>34296</v>
      </c>
      <c r="M245" s="30">
        <f>ROUND(Table1[[#This Row],[Content.Column4]] * 1000, 0)</f>
        <v>15471</v>
      </c>
      <c r="N245" s="30">
        <f>ROUND(Table1[[#This Row],[Content.Column5]] * 1000, 0)</f>
        <v>49767</v>
      </c>
      <c r="O245" s="30">
        <f>ROUND(Table1[[#This Row],[Content.Column6]] * 1000, 0)</f>
        <v>50701</v>
      </c>
      <c r="P245" s="27"/>
      <c r="Q245" s="27"/>
      <c r="R245"/>
      <c r="S245"/>
    </row>
    <row r="246" spans="1:19" x14ac:dyDescent="0.3">
      <c r="A246">
        <v>2014</v>
      </c>
      <c r="B246" t="s">
        <v>31</v>
      </c>
      <c r="C246" t="s">
        <v>30</v>
      </c>
      <c r="D246" s="34">
        <f>ROUND(Table1[[#This Row],[Content.Column7]] * 1000, 0)</f>
        <v>15301</v>
      </c>
      <c r="E246" s="34">
        <f>ROUND(Table1[[#This Row],[Content.Column8]] * 1000, 0)</f>
        <v>8309</v>
      </c>
      <c r="F246" s="34">
        <f>ROUND(Table1[[#This Row],[Content.Column9]] * 1000, 0)</f>
        <v>23610</v>
      </c>
      <c r="G246" s="34">
        <f>ROUND(Table1[[#This Row],[Content.Column10]] * 1000, 0)</f>
        <v>23764</v>
      </c>
      <c r="H246" s="32">
        <f>ROUND(Table1[[#This Row],[Content.Column11]] * 1000, 0)</f>
        <v>66134</v>
      </c>
      <c r="I246" s="32">
        <f>ROUND(Table1[[#This Row],[Content.Column12]] * 1000, 0)</f>
        <v>33615</v>
      </c>
      <c r="J246" s="32">
        <f>ROUND(Table1[[#This Row],[Content.Column13]] * 1000, 0)</f>
        <v>99749</v>
      </c>
      <c r="K246" s="32">
        <f>ROUND(Table1[[#This Row],[Content.Column14]] * 1000, 0)</f>
        <v>103804</v>
      </c>
      <c r="L246" s="30">
        <f>ROUND(Table1[[#This Row],[Content.Column3]] * 1000, 0)</f>
        <v>81435</v>
      </c>
      <c r="M246" s="30">
        <f>ROUND(Table1[[#This Row],[Content.Column4]] * 1000, 0)</f>
        <v>41924</v>
      </c>
      <c r="N246" s="30">
        <f>ROUND(Table1[[#This Row],[Content.Column5]] * 1000, 0)</f>
        <v>123360</v>
      </c>
      <c r="O246" s="30">
        <f>ROUND(Table1[[#This Row],[Content.Column6]] * 1000, 0)</f>
        <v>127568</v>
      </c>
      <c r="P246" s="27"/>
      <c r="Q246" s="27"/>
      <c r="R246"/>
      <c r="S246"/>
    </row>
    <row r="247" spans="1:19" x14ac:dyDescent="0.3">
      <c r="A247">
        <v>2014</v>
      </c>
      <c r="B247" t="s">
        <v>33</v>
      </c>
      <c r="C247" t="s">
        <v>32</v>
      </c>
      <c r="D247" s="34">
        <f>ROUND(Table1[[#This Row],[Content.Column7]] * 1000, 0)</f>
        <v>6563</v>
      </c>
      <c r="E247" s="34">
        <f>ROUND(Table1[[#This Row],[Content.Column8]] * 1000, 0)</f>
        <v>4554</v>
      </c>
      <c r="F247" s="34">
        <f>ROUND(Table1[[#This Row],[Content.Column9]] * 1000, 0)</f>
        <v>11117</v>
      </c>
      <c r="G247" s="34">
        <f>ROUND(Table1[[#This Row],[Content.Column10]] * 1000, 0)</f>
        <v>11133</v>
      </c>
      <c r="H247" s="32">
        <f>ROUND(Table1[[#This Row],[Content.Column11]] * 1000, 0)</f>
        <v>36968</v>
      </c>
      <c r="I247" s="32">
        <f>ROUND(Table1[[#This Row],[Content.Column12]] * 1000, 0)</f>
        <v>19958</v>
      </c>
      <c r="J247" s="32">
        <f>ROUND(Table1[[#This Row],[Content.Column13]] * 1000, 0)</f>
        <v>56926</v>
      </c>
      <c r="K247" s="32">
        <f>ROUND(Table1[[#This Row],[Content.Column14]] * 1000, 0)</f>
        <v>58780</v>
      </c>
      <c r="L247" s="30">
        <f>ROUND(Table1[[#This Row],[Content.Column3]] * 1000, 0)</f>
        <v>43531</v>
      </c>
      <c r="M247" s="30">
        <f>ROUND(Table1[[#This Row],[Content.Column4]] * 1000, 0)</f>
        <v>24511</v>
      </c>
      <c r="N247" s="30">
        <f>ROUND(Table1[[#This Row],[Content.Column5]] * 1000, 0)</f>
        <v>68042</v>
      </c>
      <c r="O247" s="30">
        <f>ROUND(Table1[[#This Row],[Content.Column6]] * 1000, 0)</f>
        <v>69913</v>
      </c>
      <c r="P247" s="27"/>
      <c r="Q247" s="27"/>
      <c r="R247"/>
      <c r="S247"/>
    </row>
    <row r="248" spans="1:19" x14ac:dyDescent="0.3">
      <c r="A248">
        <v>2014</v>
      </c>
      <c r="B248" t="s">
        <v>35</v>
      </c>
      <c r="C248" t="s">
        <v>34</v>
      </c>
      <c r="D248" s="34">
        <f>ROUND(Table1[[#This Row],[Content.Column7]] * 1000, 0)</f>
        <v>14606</v>
      </c>
      <c r="E248" s="34">
        <f>ROUND(Table1[[#This Row],[Content.Column8]] * 1000, 0)</f>
        <v>5610</v>
      </c>
      <c r="F248" s="34">
        <f>ROUND(Table1[[#This Row],[Content.Column9]] * 1000, 0)</f>
        <v>20216</v>
      </c>
      <c r="G248" s="34">
        <f>ROUND(Table1[[#This Row],[Content.Column10]] * 1000, 0)</f>
        <v>20238</v>
      </c>
      <c r="H248" s="32">
        <f>ROUND(Table1[[#This Row],[Content.Column11]] * 1000, 0)</f>
        <v>63917</v>
      </c>
      <c r="I248" s="32">
        <f>ROUND(Table1[[#This Row],[Content.Column12]] * 1000, 0)</f>
        <v>27834</v>
      </c>
      <c r="J248" s="32">
        <f>ROUND(Table1[[#This Row],[Content.Column13]] * 1000, 0)</f>
        <v>91751</v>
      </c>
      <c r="K248" s="32">
        <f>ROUND(Table1[[#This Row],[Content.Column14]] * 1000, 0)</f>
        <v>94420</v>
      </c>
      <c r="L248" s="30">
        <f>ROUND(Table1[[#This Row],[Content.Column3]] * 1000, 0)</f>
        <v>78523</v>
      </c>
      <c r="M248" s="30">
        <f>ROUND(Table1[[#This Row],[Content.Column4]] * 1000, 0)</f>
        <v>33444</v>
      </c>
      <c r="N248" s="30">
        <f>ROUND(Table1[[#This Row],[Content.Column5]] * 1000, 0)</f>
        <v>111967</v>
      </c>
      <c r="O248" s="30">
        <f>ROUND(Table1[[#This Row],[Content.Column6]] * 1000, 0)</f>
        <v>114658</v>
      </c>
      <c r="P248" s="27"/>
      <c r="Q248" s="27"/>
      <c r="R248"/>
      <c r="S248"/>
    </row>
    <row r="249" spans="1:19" x14ac:dyDescent="0.3">
      <c r="A249">
        <v>2014</v>
      </c>
      <c r="B249" t="s">
        <v>37</v>
      </c>
      <c r="C249" t="s">
        <v>36</v>
      </c>
      <c r="D249" s="34">
        <f>ROUND(Table1[[#This Row],[Content.Column7]] * 1000, 0)</f>
        <v>8011</v>
      </c>
      <c r="E249" s="34">
        <f>ROUND(Table1[[#This Row],[Content.Column8]] * 1000, 0)</f>
        <v>6710</v>
      </c>
      <c r="F249" s="34">
        <f>ROUND(Table1[[#This Row],[Content.Column9]] * 1000, 0)</f>
        <v>14722</v>
      </c>
      <c r="G249" s="34">
        <f>ROUND(Table1[[#This Row],[Content.Column10]] * 1000, 0)</f>
        <v>14752</v>
      </c>
      <c r="H249" s="32">
        <f>ROUND(Table1[[#This Row],[Content.Column11]] * 1000, 0)</f>
        <v>56807</v>
      </c>
      <c r="I249" s="32">
        <f>ROUND(Table1[[#This Row],[Content.Column12]] * 1000, 0)</f>
        <v>31541</v>
      </c>
      <c r="J249" s="32">
        <f>ROUND(Table1[[#This Row],[Content.Column13]] * 1000, 0)</f>
        <v>88348</v>
      </c>
      <c r="K249" s="32">
        <f>ROUND(Table1[[#This Row],[Content.Column14]] * 1000, 0)</f>
        <v>91311</v>
      </c>
      <c r="L249" s="30">
        <f>ROUND(Table1[[#This Row],[Content.Column3]] * 1000, 0)</f>
        <v>64818</v>
      </c>
      <c r="M249" s="30">
        <f>ROUND(Table1[[#This Row],[Content.Column4]] * 1000, 0)</f>
        <v>38252</v>
      </c>
      <c r="N249" s="30">
        <f>ROUND(Table1[[#This Row],[Content.Column5]] * 1000, 0)</f>
        <v>103070</v>
      </c>
      <c r="O249" s="30">
        <f>ROUND(Table1[[#This Row],[Content.Column6]] * 1000, 0)</f>
        <v>106063</v>
      </c>
      <c r="P249" s="27"/>
      <c r="Q249" s="27"/>
      <c r="R249"/>
      <c r="S249"/>
    </row>
    <row r="250" spans="1:19" x14ac:dyDescent="0.3">
      <c r="A250">
        <v>2014</v>
      </c>
      <c r="B250" t="s">
        <v>39</v>
      </c>
      <c r="C250" t="s">
        <v>38</v>
      </c>
      <c r="D250" s="34">
        <f>ROUND(Table1[[#This Row],[Content.Column7]] * 1000, 0)</f>
        <v>35476</v>
      </c>
      <c r="E250" s="34">
        <f>ROUND(Table1[[#This Row],[Content.Column8]] * 1000, 0)</f>
        <v>8613</v>
      </c>
      <c r="F250" s="34">
        <f>ROUND(Table1[[#This Row],[Content.Column9]] * 1000, 0)</f>
        <v>44089</v>
      </c>
      <c r="G250" s="34">
        <f>ROUND(Table1[[#This Row],[Content.Column10]] * 1000, 0)</f>
        <v>44117</v>
      </c>
      <c r="H250" s="32">
        <f>ROUND(Table1[[#This Row],[Content.Column11]] * 1000, 0)</f>
        <v>220751</v>
      </c>
      <c r="I250" s="32">
        <f>ROUND(Table1[[#This Row],[Content.Column12]] * 1000, 0)</f>
        <v>73355</v>
      </c>
      <c r="J250" s="32">
        <f>ROUND(Table1[[#This Row],[Content.Column13]] * 1000, 0)</f>
        <v>294106</v>
      </c>
      <c r="K250" s="32">
        <f>ROUND(Table1[[#This Row],[Content.Column14]] * 1000, 0)</f>
        <v>303762</v>
      </c>
      <c r="L250" s="30">
        <f>ROUND(Table1[[#This Row],[Content.Column3]] * 1000, 0)</f>
        <v>256227</v>
      </c>
      <c r="M250" s="30">
        <f>ROUND(Table1[[#This Row],[Content.Column4]] * 1000, 0)</f>
        <v>81968</v>
      </c>
      <c r="N250" s="30">
        <f>ROUND(Table1[[#This Row],[Content.Column5]] * 1000, 0)</f>
        <v>338195</v>
      </c>
      <c r="O250" s="30">
        <f>ROUND(Table1[[#This Row],[Content.Column6]] * 1000, 0)</f>
        <v>347879</v>
      </c>
      <c r="P250" s="27"/>
      <c r="Q250" s="27"/>
      <c r="R250"/>
      <c r="S250"/>
    </row>
    <row r="251" spans="1:19" x14ac:dyDescent="0.3">
      <c r="A251">
        <v>2014</v>
      </c>
      <c r="B251" t="s">
        <v>41</v>
      </c>
      <c r="C251" t="s">
        <v>40</v>
      </c>
      <c r="D251" s="34">
        <f>ROUND(Table1[[#This Row],[Content.Column7]] * 1000, 0)</f>
        <v>15804</v>
      </c>
      <c r="E251" s="34">
        <f>ROUND(Table1[[#This Row],[Content.Column8]] * 1000, 0)</f>
        <v>7875</v>
      </c>
      <c r="F251" s="34">
        <f>ROUND(Table1[[#This Row],[Content.Column9]] * 1000, 0)</f>
        <v>23679</v>
      </c>
      <c r="G251" s="34">
        <f>ROUND(Table1[[#This Row],[Content.Column10]] * 1000, 0)</f>
        <v>23708</v>
      </c>
      <c r="H251" s="32">
        <f>ROUND(Table1[[#This Row],[Content.Column11]] * 1000, 0)</f>
        <v>61904</v>
      </c>
      <c r="I251" s="32">
        <f>ROUND(Table1[[#This Row],[Content.Column12]] * 1000, 0)</f>
        <v>29586</v>
      </c>
      <c r="J251" s="32">
        <f>ROUND(Table1[[#This Row],[Content.Column13]] * 1000, 0)</f>
        <v>91490</v>
      </c>
      <c r="K251" s="32">
        <f>ROUND(Table1[[#This Row],[Content.Column14]] * 1000, 0)</f>
        <v>94153</v>
      </c>
      <c r="L251" s="30">
        <f>ROUND(Table1[[#This Row],[Content.Column3]] * 1000, 0)</f>
        <v>77708</v>
      </c>
      <c r="M251" s="30">
        <f>ROUND(Table1[[#This Row],[Content.Column4]] * 1000, 0)</f>
        <v>37460</v>
      </c>
      <c r="N251" s="30">
        <f>ROUND(Table1[[#This Row],[Content.Column5]] * 1000, 0)</f>
        <v>115169</v>
      </c>
      <c r="O251" s="30">
        <f>ROUND(Table1[[#This Row],[Content.Column6]] * 1000, 0)</f>
        <v>117861</v>
      </c>
      <c r="P251" s="27"/>
      <c r="Q251" s="27"/>
      <c r="R251"/>
      <c r="S251"/>
    </row>
    <row r="252" spans="1:19" x14ac:dyDescent="0.3">
      <c r="A252">
        <v>2014</v>
      </c>
      <c r="B252" t="s">
        <v>43</v>
      </c>
      <c r="C252" t="s">
        <v>42</v>
      </c>
      <c r="D252" s="34">
        <f>ROUND(Table1[[#This Row],[Content.Column7]] * 1000, 0)</f>
        <v>12174</v>
      </c>
      <c r="E252" s="34">
        <f>ROUND(Table1[[#This Row],[Content.Column8]] * 1000, 0)</f>
        <v>5765</v>
      </c>
      <c r="F252" s="34">
        <f>ROUND(Table1[[#This Row],[Content.Column9]] * 1000, 0)</f>
        <v>17940</v>
      </c>
      <c r="G252" s="34">
        <f>ROUND(Table1[[#This Row],[Content.Column10]] * 1000, 0)</f>
        <v>18006</v>
      </c>
      <c r="H252" s="32">
        <f>ROUND(Table1[[#This Row],[Content.Column11]] * 1000, 0)</f>
        <v>81205</v>
      </c>
      <c r="I252" s="32">
        <f>ROUND(Table1[[#This Row],[Content.Column12]] * 1000, 0)</f>
        <v>30664</v>
      </c>
      <c r="J252" s="32">
        <f>ROUND(Table1[[#This Row],[Content.Column13]] * 1000, 0)</f>
        <v>111869</v>
      </c>
      <c r="K252" s="32">
        <f>ROUND(Table1[[#This Row],[Content.Column14]] * 1000, 0)</f>
        <v>114528</v>
      </c>
      <c r="L252" s="30">
        <f>ROUND(Table1[[#This Row],[Content.Column3]] * 1000, 0)</f>
        <v>93379</v>
      </c>
      <c r="M252" s="30">
        <f>ROUND(Table1[[#This Row],[Content.Column4]] * 1000, 0)</f>
        <v>36429</v>
      </c>
      <c r="N252" s="30">
        <f>ROUND(Table1[[#This Row],[Content.Column5]] * 1000, 0)</f>
        <v>129809</v>
      </c>
      <c r="O252" s="30">
        <f>ROUND(Table1[[#This Row],[Content.Column6]] * 1000, 0)</f>
        <v>132534</v>
      </c>
      <c r="P252" s="27"/>
      <c r="Q252" s="27"/>
      <c r="R252"/>
      <c r="S252"/>
    </row>
    <row r="253" spans="1:19" x14ac:dyDescent="0.3">
      <c r="A253">
        <v>2014</v>
      </c>
      <c r="B253" t="s">
        <v>45</v>
      </c>
      <c r="C253" t="s">
        <v>44</v>
      </c>
      <c r="D253" s="34">
        <f>ROUND(Table1[[#This Row],[Content.Column7]] * 1000, 0)</f>
        <v>15300</v>
      </c>
      <c r="E253" s="34">
        <f>ROUND(Table1[[#This Row],[Content.Column8]] * 1000, 0)</f>
        <v>6708</v>
      </c>
      <c r="F253" s="34">
        <f>ROUND(Table1[[#This Row],[Content.Column9]] * 1000, 0)</f>
        <v>22008</v>
      </c>
      <c r="G253" s="34">
        <f>ROUND(Table1[[#This Row],[Content.Column10]] * 1000, 0)</f>
        <v>22020</v>
      </c>
      <c r="H253" s="32">
        <f>ROUND(Table1[[#This Row],[Content.Column11]] * 1000, 0)</f>
        <v>51817</v>
      </c>
      <c r="I253" s="32">
        <f>ROUND(Table1[[#This Row],[Content.Column12]] * 1000, 0)</f>
        <v>25588</v>
      </c>
      <c r="J253" s="32">
        <f>ROUND(Table1[[#This Row],[Content.Column13]] * 1000, 0)</f>
        <v>77404</v>
      </c>
      <c r="K253" s="32">
        <f>ROUND(Table1[[#This Row],[Content.Column14]] * 1000, 0)</f>
        <v>79474</v>
      </c>
      <c r="L253" s="30">
        <f>ROUND(Table1[[#This Row],[Content.Column3]] * 1000, 0)</f>
        <v>67117</v>
      </c>
      <c r="M253" s="30">
        <f>ROUND(Table1[[#This Row],[Content.Column4]] * 1000, 0)</f>
        <v>32295</v>
      </c>
      <c r="N253" s="30">
        <f>ROUND(Table1[[#This Row],[Content.Column5]] * 1000, 0)</f>
        <v>99412</v>
      </c>
      <c r="O253" s="30">
        <f>ROUND(Table1[[#This Row],[Content.Column6]] * 1000, 0)</f>
        <v>101494</v>
      </c>
      <c r="P253" s="27"/>
      <c r="Q253" s="27"/>
      <c r="R253"/>
      <c r="S253"/>
    </row>
    <row r="254" spans="1:19" x14ac:dyDescent="0.3">
      <c r="A254">
        <v>2014</v>
      </c>
      <c r="B254" t="s">
        <v>47</v>
      </c>
      <c r="C254" t="s">
        <v>46</v>
      </c>
      <c r="D254" s="34">
        <f>ROUND(Table1[[#This Row],[Content.Column7]] * 1000, 0)</f>
        <v>12320</v>
      </c>
      <c r="E254" s="34">
        <f>ROUND(Table1[[#This Row],[Content.Column8]] * 1000, 0)</f>
        <v>8205</v>
      </c>
      <c r="F254" s="34">
        <f>ROUND(Table1[[#This Row],[Content.Column9]] * 1000, 0)</f>
        <v>20525</v>
      </c>
      <c r="G254" s="34">
        <f>ROUND(Table1[[#This Row],[Content.Column10]] * 1000, 0)</f>
        <v>20527</v>
      </c>
      <c r="H254" s="32">
        <f>ROUND(Table1[[#This Row],[Content.Column11]] * 1000, 0)</f>
        <v>33524</v>
      </c>
      <c r="I254" s="32">
        <f>ROUND(Table1[[#This Row],[Content.Column12]] * 1000, 0)</f>
        <v>19573</v>
      </c>
      <c r="J254" s="32">
        <f>ROUND(Table1[[#This Row],[Content.Column13]] * 1000, 0)</f>
        <v>53097</v>
      </c>
      <c r="K254" s="32">
        <f>ROUND(Table1[[#This Row],[Content.Column14]] * 1000, 0)</f>
        <v>54667</v>
      </c>
      <c r="L254" s="30">
        <f>ROUND(Table1[[#This Row],[Content.Column3]] * 1000, 0)</f>
        <v>45843</v>
      </c>
      <c r="M254" s="30">
        <f>ROUND(Table1[[#This Row],[Content.Column4]] * 1000, 0)</f>
        <v>27779</v>
      </c>
      <c r="N254" s="30">
        <f>ROUND(Table1[[#This Row],[Content.Column5]] * 1000, 0)</f>
        <v>73622</v>
      </c>
      <c r="O254" s="30">
        <f>ROUND(Table1[[#This Row],[Content.Column6]] * 1000, 0)</f>
        <v>75194</v>
      </c>
      <c r="P254" s="27"/>
      <c r="Q254" s="27"/>
      <c r="R254"/>
      <c r="S254"/>
    </row>
    <row r="255" spans="1:19" x14ac:dyDescent="0.3">
      <c r="A255">
        <v>2014</v>
      </c>
      <c r="B255" t="s">
        <v>49</v>
      </c>
      <c r="C255" t="s">
        <v>48</v>
      </c>
      <c r="D255" s="34">
        <f>ROUND(Table1[[#This Row],[Content.Column7]] * 1000, 0)</f>
        <v>13635</v>
      </c>
      <c r="E255" s="34">
        <f>ROUND(Table1[[#This Row],[Content.Column8]] * 1000, 0)</f>
        <v>5552</v>
      </c>
      <c r="F255" s="34">
        <f>ROUND(Table1[[#This Row],[Content.Column9]] * 1000, 0)</f>
        <v>19187</v>
      </c>
      <c r="G255" s="34">
        <f>ROUND(Table1[[#This Row],[Content.Column10]] * 1000, 0)</f>
        <v>19191</v>
      </c>
      <c r="H255" s="32">
        <f>ROUND(Table1[[#This Row],[Content.Column11]] * 1000, 0)</f>
        <v>60834</v>
      </c>
      <c r="I255" s="32">
        <f>ROUND(Table1[[#This Row],[Content.Column12]] * 1000, 0)</f>
        <v>22457</v>
      </c>
      <c r="J255" s="32">
        <f>ROUND(Table1[[#This Row],[Content.Column13]] * 1000, 0)</f>
        <v>83291</v>
      </c>
      <c r="K255" s="32">
        <f>ROUND(Table1[[#This Row],[Content.Column14]] * 1000, 0)</f>
        <v>86959</v>
      </c>
      <c r="L255" s="30">
        <f>ROUND(Table1[[#This Row],[Content.Column3]] * 1000, 0)</f>
        <v>74469</v>
      </c>
      <c r="M255" s="30">
        <f>ROUND(Table1[[#This Row],[Content.Column4]] * 1000, 0)</f>
        <v>28009</v>
      </c>
      <c r="N255" s="30">
        <f>ROUND(Table1[[#This Row],[Content.Column5]] * 1000, 0)</f>
        <v>102478</v>
      </c>
      <c r="O255" s="30">
        <f>ROUND(Table1[[#This Row],[Content.Column6]] * 1000, 0)</f>
        <v>106150</v>
      </c>
      <c r="P255" s="27"/>
      <c r="Q255" s="27"/>
      <c r="R255"/>
      <c r="S255"/>
    </row>
    <row r="256" spans="1:19" x14ac:dyDescent="0.3">
      <c r="A256">
        <v>2014</v>
      </c>
      <c r="B256" t="s">
        <v>51</v>
      </c>
      <c r="C256" t="s">
        <v>50</v>
      </c>
      <c r="D256" s="34">
        <f>ROUND(Table1[[#This Row],[Content.Column7]] * 1000, 0)</f>
        <v>18275</v>
      </c>
      <c r="E256" s="34">
        <f>ROUND(Table1[[#This Row],[Content.Column8]] * 1000, 0)</f>
        <v>3168</v>
      </c>
      <c r="F256" s="34">
        <f>ROUND(Table1[[#This Row],[Content.Column9]] * 1000, 0)</f>
        <v>21443</v>
      </c>
      <c r="G256" s="34">
        <f>ROUND(Table1[[#This Row],[Content.Column10]] * 1000, 0)</f>
        <v>21456</v>
      </c>
      <c r="H256" s="32">
        <f>ROUND(Table1[[#This Row],[Content.Column11]] * 1000, 0)</f>
        <v>72791</v>
      </c>
      <c r="I256" s="32">
        <f>ROUND(Table1[[#This Row],[Content.Column12]] * 1000, 0)</f>
        <v>33648</v>
      </c>
      <c r="J256" s="32">
        <f>ROUND(Table1[[#This Row],[Content.Column13]] * 1000, 0)</f>
        <v>106439</v>
      </c>
      <c r="K256" s="32">
        <f>ROUND(Table1[[#This Row],[Content.Column14]] * 1000, 0)</f>
        <v>108970</v>
      </c>
      <c r="L256" s="30">
        <f>ROUND(Table1[[#This Row],[Content.Column3]] * 1000, 0)</f>
        <v>91066</v>
      </c>
      <c r="M256" s="30">
        <f>ROUND(Table1[[#This Row],[Content.Column4]] * 1000, 0)</f>
        <v>36816</v>
      </c>
      <c r="N256" s="30">
        <f>ROUND(Table1[[#This Row],[Content.Column5]] * 1000, 0)</f>
        <v>127882</v>
      </c>
      <c r="O256" s="30">
        <f>ROUND(Table1[[#This Row],[Content.Column6]] * 1000, 0)</f>
        <v>130426</v>
      </c>
      <c r="P256" s="27"/>
      <c r="Q256" s="27"/>
      <c r="R256"/>
      <c r="S256"/>
    </row>
    <row r="257" spans="1:19" x14ac:dyDescent="0.3">
      <c r="A257">
        <v>2014</v>
      </c>
      <c r="B257" t="s">
        <v>53</v>
      </c>
      <c r="C257" t="s">
        <v>52</v>
      </c>
      <c r="D257" s="34">
        <f>ROUND(Table1[[#This Row],[Content.Column7]] * 1000, 0)</f>
        <v>8742</v>
      </c>
      <c r="E257" s="34">
        <f>ROUND(Table1[[#This Row],[Content.Column8]] * 1000, 0)</f>
        <v>3701</v>
      </c>
      <c r="F257" s="34">
        <f>ROUND(Table1[[#This Row],[Content.Column9]] * 1000, 0)</f>
        <v>12443</v>
      </c>
      <c r="G257" s="34">
        <f>ROUND(Table1[[#This Row],[Content.Column10]] * 1000, 0)</f>
        <v>12458</v>
      </c>
      <c r="H257" s="32">
        <f>ROUND(Table1[[#This Row],[Content.Column11]] * 1000, 0)</f>
        <v>36037</v>
      </c>
      <c r="I257" s="32">
        <f>ROUND(Table1[[#This Row],[Content.Column12]] * 1000, 0)</f>
        <v>19648</v>
      </c>
      <c r="J257" s="32">
        <f>ROUND(Table1[[#This Row],[Content.Column13]] * 1000, 0)</f>
        <v>55685</v>
      </c>
      <c r="K257" s="32">
        <f>ROUND(Table1[[#This Row],[Content.Column14]] * 1000, 0)</f>
        <v>57772</v>
      </c>
      <c r="L257" s="30">
        <f>ROUND(Table1[[#This Row],[Content.Column3]] * 1000, 0)</f>
        <v>44779</v>
      </c>
      <c r="M257" s="30">
        <f>ROUND(Table1[[#This Row],[Content.Column4]] * 1000, 0)</f>
        <v>23349</v>
      </c>
      <c r="N257" s="30">
        <f>ROUND(Table1[[#This Row],[Content.Column5]] * 1000, 0)</f>
        <v>68128</v>
      </c>
      <c r="O257" s="30">
        <f>ROUND(Table1[[#This Row],[Content.Column6]] * 1000, 0)</f>
        <v>70230</v>
      </c>
      <c r="P257" s="27"/>
      <c r="Q257" s="27"/>
      <c r="R257"/>
      <c r="S257"/>
    </row>
    <row r="258" spans="1:19" x14ac:dyDescent="0.3">
      <c r="A258">
        <v>2014</v>
      </c>
      <c r="B258" t="s">
        <v>55</v>
      </c>
      <c r="C258" t="s">
        <v>54</v>
      </c>
      <c r="D258" s="34">
        <f>ROUND(Table1[[#This Row],[Content.Column7]] * 1000, 0)</f>
        <v>5882</v>
      </c>
      <c r="E258" s="34">
        <f>ROUND(Table1[[#This Row],[Content.Column8]] * 1000, 0)</f>
        <v>4852</v>
      </c>
      <c r="F258" s="34">
        <f>ROUND(Table1[[#This Row],[Content.Column9]] * 1000, 0)</f>
        <v>10734</v>
      </c>
      <c r="G258" s="34">
        <f>ROUND(Table1[[#This Row],[Content.Column10]] * 1000, 0)</f>
        <v>10744</v>
      </c>
      <c r="H258" s="32">
        <f>ROUND(Table1[[#This Row],[Content.Column11]] * 1000, 0)</f>
        <v>41387</v>
      </c>
      <c r="I258" s="32">
        <f>ROUND(Table1[[#This Row],[Content.Column12]] * 1000, 0)</f>
        <v>19674</v>
      </c>
      <c r="J258" s="32">
        <f>ROUND(Table1[[#This Row],[Content.Column13]] * 1000, 0)</f>
        <v>61061</v>
      </c>
      <c r="K258" s="32">
        <f>ROUND(Table1[[#This Row],[Content.Column14]] * 1000, 0)</f>
        <v>63320</v>
      </c>
      <c r="L258" s="30">
        <f>ROUND(Table1[[#This Row],[Content.Column3]] * 1000, 0)</f>
        <v>47269</v>
      </c>
      <c r="M258" s="30">
        <f>ROUND(Table1[[#This Row],[Content.Column4]] * 1000, 0)</f>
        <v>24526</v>
      </c>
      <c r="N258" s="30">
        <f>ROUND(Table1[[#This Row],[Content.Column5]] * 1000, 0)</f>
        <v>71795</v>
      </c>
      <c r="O258" s="30">
        <f>ROUND(Table1[[#This Row],[Content.Column6]] * 1000, 0)</f>
        <v>74064</v>
      </c>
      <c r="P258" s="27"/>
      <c r="Q258" s="27"/>
      <c r="R258"/>
      <c r="S258"/>
    </row>
    <row r="259" spans="1:19" x14ac:dyDescent="0.3">
      <c r="A259">
        <v>2014</v>
      </c>
      <c r="B259" t="s">
        <v>57</v>
      </c>
      <c r="C259" t="s">
        <v>56</v>
      </c>
      <c r="D259" s="34">
        <f>ROUND(Table1[[#This Row],[Content.Column7]] * 1000, 0)</f>
        <v>10605</v>
      </c>
      <c r="E259" s="34">
        <f>ROUND(Table1[[#This Row],[Content.Column8]] * 1000, 0)</f>
        <v>5791</v>
      </c>
      <c r="F259" s="34">
        <f>ROUND(Table1[[#This Row],[Content.Column9]] * 1000, 0)</f>
        <v>16396</v>
      </c>
      <c r="G259" s="34">
        <f>ROUND(Table1[[#This Row],[Content.Column10]] * 1000, 0)</f>
        <v>16402</v>
      </c>
      <c r="H259" s="32">
        <f>ROUND(Table1[[#This Row],[Content.Column11]] * 1000, 0)</f>
        <v>40136</v>
      </c>
      <c r="I259" s="32">
        <f>ROUND(Table1[[#This Row],[Content.Column12]] * 1000, 0)</f>
        <v>20860</v>
      </c>
      <c r="J259" s="32">
        <f>ROUND(Table1[[#This Row],[Content.Column13]] * 1000, 0)</f>
        <v>60996</v>
      </c>
      <c r="K259" s="32">
        <f>ROUND(Table1[[#This Row],[Content.Column14]] * 1000, 0)</f>
        <v>62895</v>
      </c>
      <c r="L259" s="30">
        <f>ROUND(Table1[[#This Row],[Content.Column3]] * 1000, 0)</f>
        <v>50741</v>
      </c>
      <c r="M259" s="30">
        <f>ROUND(Table1[[#This Row],[Content.Column4]] * 1000, 0)</f>
        <v>26651</v>
      </c>
      <c r="N259" s="30">
        <f>ROUND(Table1[[#This Row],[Content.Column5]] * 1000, 0)</f>
        <v>77392</v>
      </c>
      <c r="O259" s="30">
        <f>ROUND(Table1[[#This Row],[Content.Column6]] * 1000, 0)</f>
        <v>79298</v>
      </c>
      <c r="P259" s="27"/>
      <c r="Q259" s="27"/>
      <c r="R259"/>
      <c r="S259"/>
    </row>
    <row r="260" spans="1:19" x14ac:dyDescent="0.3">
      <c r="A260">
        <v>2014</v>
      </c>
      <c r="B260" t="s">
        <v>59</v>
      </c>
      <c r="C260" t="s">
        <v>58</v>
      </c>
      <c r="D260" s="34">
        <f>ROUND(Table1[[#This Row],[Content.Column7]] * 1000, 0)</f>
        <v>16159</v>
      </c>
      <c r="E260" s="34">
        <f>ROUND(Table1[[#This Row],[Content.Column8]] * 1000, 0)</f>
        <v>7097</v>
      </c>
      <c r="F260" s="34">
        <f>ROUND(Table1[[#This Row],[Content.Column9]] * 1000, 0)</f>
        <v>23256</v>
      </c>
      <c r="G260" s="34">
        <f>ROUND(Table1[[#This Row],[Content.Column10]] * 1000, 0)</f>
        <v>23308</v>
      </c>
      <c r="H260" s="32">
        <f>ROUND(Table1[[#This Row],[Content.Column11]] * 1000, 0)</f>
        <v>134672</v>
      </c>
      <c r="I260" s="32">
        <f>ROUND(Table1[[#This Row],[Content.Column12]] * 1000, 0)</f>
        <v>43910</v>
      </c>
      <c r="J260" s="32">
        <f>ROUND(Table1[[#This Row],[Content.Column13]] * 1000, 0)</f>
        <v>178582</v>
      </c>
      <c r="K260" s="32">
        <f>ROUND(Table1[[#This Row],[Content.Column14]] * 1000, 0)</f>
        <v>180950</v>
      </c>
      <c r="L260" s="30">
        <f>ROUND(Table1[[#This Row],[Content.Column3]] * 1000, 0)</f>
        <v>150831</v>
      </c>
      <c r="M260" s="30">
        <f>ROUND(Table1[[#This Row],[Content.Column4]] * 1000, 0)</f>
        <v>51007</v>
      </c>
      <c r="N260" s="30">
        <f>ROUND(Table1[[#This Row],[Content.Column5]] * 1000, 0)</f>
        <v>201838</v>
      </c>
      <c r="O260" s="30">
        <f>ROUND(Table1[[#This Row],[Content.Column6]] * 1000, 0)</f>
        <v>204258</v>
      </c>
      <c r="P260" s="27"/>
      <c r="Q260" s="27"/>
      <c r="R260"/>
      <c r="S260"/>
    </row>
    <row r="261" spans="1:19" x14ac:dyDescent="0.3">
      <c r="A261">
        <v>2014</v>
      </c>
      <c r="B261" t="s">
        <v>61</v>
      </c>
      <c r="C261" t="s">
        <v>60</v>
      </c>
      <c r="D261" s="34">
        <f>ROUND(Table1[[#This Row],[Content.Column7]] * 1000, 0)</f>
        <v>11710</v>
      </c>
      <c r="E261" s="34">
        <f>ROUND(Table1[[#This Row],[Content.Column8]] * 1000, 0)</f>
        <v>4956</v>
      </c>
      <c r="F261" s="34">
        <f>ROUND(Table1[[#This Row],[Content.Column9]] * 1000, 0)</f>
        <v>16665</v>
      </c>
      <c r="G261" s="34">
        <f>ROUND(Table1[[#This Row],[Content.Column10]] * 1000, 0)</f>
        <v>16678</v>
      </c>
      <c r="H261" s="32">
        <f>ROUND(Table1[[#This Row],[Content.Column11]] * 1000, 0)</f>
        <v>92866</v>
      </c>
      <c r="I261" s="32">
        <f>ROUND(Table1[[#This Row],[Content.Column12]] * 1000, 0)</f>
        <v>28901</v>
      </c>
      <c r="J261" s="32">
        <f>ROUND(Table1[[#This Row],[Content.Column13]] * 1000, 0)</f>
        <v>121768</v>
      </c>
      <c r="K261" s="32">
        <f>ROUND(Table1[[#This Row],[Content.Column14]] * 1000, 0)</f>
        <v>123804</v>
      </c>
      <c r="L261" s="30">
        <f>ROUND(Table1[[#This Row],[Content.Column3]] * 1000, 0)</f>
        <v>104576</v>
      </c>
      <c r="M261" s="30">
        <f>ROUND(Table1[[#This Row],[Content.Column4]] * 1000, 0)</f>
        <v>33857</v>
      </c>
      <c r="N261" s="30">
        <f>ROUND(Table1[[#This Row],[Content.Column5]] * 1000, 0)</f>
        <v>138433</v>
      </c>
      <c r="O261" s="30">
        <f>ROUND(Table1[[#This Row],[Content.Column6]] * 1000, 0)</f>
        <v>140482</v>
      </c>
      <c r="P261" s="27"/>
      <c r="Q261" s="27"/>
      <c r="R261"/>
      <c r="S261"/>
    </row>
    <row r="262" spans="1:19" x14ac:dyDescent="0.3">
      <c r="A262">
        <v>2014</v>
      </c>
      <c r="B262" t="s">
        <v>63</v>
      </c>
      <c r="C262" t="s">
        <v>62</v>
      </c>
      <c r="D262" s="34">
        <f>ROUND(Table1[[#This Row],[Content.Column7]] * 1000, 0)</f>
        <v>21694</v>
      </c>
      <c r="E262" s="34">
        <f>ROUND(Table1[[#This Row],[Content.Column8]] * 1000, 0)</f>
        <v>9272</v>
      </c>
      <c r="F262" s="34">
        <f>ROUND(Table1[[#This Row],[Content.Column9]] * 1000, 0)</f>
        <v>30966</v>
      </c>
      <c r="G262" s="34">
        <f>ROUND(Table1[[#This Row],[Content.Column10]] * 1000, 0)</f>
        <v>30971</v>
      </c>
      <c r="H262" s="32">
        <f>ROUND(Table1[[#This Row],[Content.Column11]] * 1000, 0)</f>
        <v>135290</v>
      </c>
      <c r="I262" s="32">
        <f>ROUND(Table1[[#This Row],[Content.Column12]] * 1000, 0)</f>
        <v>42203</v>
      </c>
      <c r="J262" s="32">
        <f>ROUND(Table1[[#This Row],[Content.Column13]] * 1000, 0)</f>
        <v>177493</v>
      </c>
      <c r="K262" s="32">
        <f>ROUND(Table1[[#This Row],[Content.Column14]] * 1000, 0)</f>
        <v>182669</v>
      </c>
      <c r="L262" s="30">
        <f>ROUND(Table1[[#This Row],[Content.Column3]] * 1000, 0)</f>
        <v>156985</v>
      </c>
      <c r="M262" s="30">
        <f>ROUND(Table1[[#This Row],[Content.Column4]] * 1000, 0)</f>
        <v>51475</v>
      </c>
      <c r="N262" s="30">
        <f>ROUND(Table1[[#This Row],[Content.Column5]] * 1000, 0)</f>
        <v>208459</v>
      </c>
      <c r="O262" s="30">
        <f>ROUND(Table1[[#This Row],[Content.Column6]] * 1000, 0)</f>
        <v>213640</v>
      </c>
      <c r="P262" s="27"/>
      <c r="Q262" s="27"/>
      <c r="R262"/>
      <c r="S262"/>
    </row>
    <row r="263" spans="1:19" x14ac:dyDescent="0.3">
      <c r="A263">
        <v>2014</v>
      </c>
      <c r="B263" t="s">
        <v>65</v>
      </c>
      <c r="C263" t="s">
        <v>64</v>
      </c>
      <c r="D263" s="34">
        <f>ROUND(Table1[[#This Row],[Content.Column7]] * 1000, 0)</f>
        <v>14692</v>
      </c>
      <c r="E263" s="34">
        <f>ROUND(Table1[[#This Row],[Content.Column8]] * 1000, 0)</f>
        <v>3572</v>
      </c>
      <c r="F263" s="34">
        <f>ROUND(Table1[[#This Row],[Content.Column9]] * 1000, 0)</f>
        <v>18264</v>
      </c>
      <c r="G263" s="34">
        <f>ROUND(Table1[[#This Row],[Content.Column10]] * 1000, 0)</f>
        <v>18546</v>
      </c>
      <c r="H263" s="32">
        <f>ROUND(Table1[[#This Row],[Content.Column11]] * 1000, 0)</f>
        <v>74179</v>
      </c>
      <c r="I263" s="32">
        <f>ROUND(Table1[[#This Row],[Content.Column12]] * 1000, 0)</f>
        <v>29758</v>
      </c>
      <c r="J263" s="32">
        <f>ROUND(Table1[[#This Row],[Content.Column13]] * 1000, 0)</f>
        <v>103937</v>
      </c>
      <c r="K263" s="32">
        <f>ROUND(Table1[[#This Row],[Content.Column14]] * 1000, 0)</f>
        <v>107077</v>
      </c>
      <c r="L263" s="30">
        <f>ROUND(Table1[[#This Row],[Content.Column3]] * 1000, 0)</f>
        <v>88872</v>
      </c>
      <c r="M263" s="30">
        <f>ROUND(Table1[[#This Row],[Content.Column4]] * 1000, 0)</f>
        <v>33330</v>
      </c>
      <c r="N263" s="30">
        <f>ROUND(Table1[[#This Row],[Content.Column5]] * 1000, 0)</f>
        <v>122202</v>
      </c>
      <c r="O263" s="30">
        <f>ROUND(Table1[[#This Row],[Content.Column6]] * 1000, 0)</f>
        <v>125623</v>
      </c>
      <c r="P263" s="27"/>
      <c r="Q263" s="27"/>
      <c r="R263"/>
      <c r="S263"/>
    </row>
    <row r="264" spans="1:19" x14ac:dyDescent="0.3">
      <c r="A264">
        <v>2014</v>
      </c>
      <c r="B264" t="s">
        <v>67</v>
      </c>
      <c r="C264" t="s">
        <v>66</v>
      </c>
      <c r="D264" s="34">
        <f>ROUND(Table1[[#This Row],[Content.Column7]] * 1000, 0)</f>
        <v>7450</v>
      </c>
      <c r="E264" s="34">
        <f>ROUND(Table1[[#This Row],[Content.Column8]] * 1000, 0)</f>
        <v>4940</v>
      </c>
      <c r="F264" s="34">
        <f>ROUND(Table1[[#This Row],[Content.Column9]] * 1000, 0)</f>
        <v>12389</v>
      </c>
      <c r="G264" s="34">
        <f>ROUND(Table1[[#This Row],[Content.Column10]] * 1000, 0)</f>
        <v>12405</v>
      </c>
      <c r="H264" s="32">
        <f>ROUND(Table1[[#This Row],[Content.Column11]] * 1000, 0)</f>
        <v>38103</v>
      </c>
      <c r="I264" s="32">
        <f>ROUND(Table1[[#This Row],[Content.Column12]] * 1000, 0)</f>
        <v>20563</v>
      </c>
      <c r="J264" s="32">
        <f>ROUND(Table1[[#This Row],[Content.Column13]] * 1000, 0)</f>
        <v>58666</v>
      </c>
      <c r="K264" s="32">
        <f>ROUND(Table1[[#This Row],[Content.Column14]] * 1000, 0)</f>
        <v>60112</v>
      </c>
      <c r="L264" s="30">
        <f>ROUND(Table1[[#This Row],[Content.Column3]] * 1000, 0)</f>
        <v>45553</v>
      </c>
      <c r="M264" s="30">
        <f>ROUND(Table1[[#This Row],[Content.Column4]] * 1000, 0)</f>
        <v>25502</v>
      </c>
      <c r="N264" s="30">
        <f>ROUND(Table1[[#This Row],[Content.Column5]] * 1000, 0)</f>
        <v>71055</v>
      </c>
      <c r="O264" s="30">
        <f>ROUND(Table1[[#This Row],[Content.Column6]] * 1000, 0)</f>
        <v>72516</v>
      </c>
      <c r="P264" s="27"/>
      <c r="Q264" s="27"/>
      <c r="R264"/>
      <c r="S264"/>
    </row>
    <row r="265" spans="1:19" x14ac:dyDescent="0.3">
      <c r="A265">
        <v>2014</v>
      </c>
      <c r="B265" t="s">
        <v>69</v>
      </c>
      <c r="C265" t="s">
        <v>68</v>
      </c>
      <c r="D265" s="34">
        <f>ROUND(Table1[[#This Row],[Content.Column7]] * 1000, 0)</f>
        <v>26931</v>
      </c>
      <c r="E265" s="34">
        <f>ROUND(Table1[[#This Row],[Content.Column8]] * 1000, 0)</f>
        <v>7629</v>
      </c>
      <c r="F265" s="34">
        <f>ROUND(Table1[[#This Row],[Content.Column9]] * 1000, 0)</f>
        <v>34559</v>
      </c>
      <c r="G265" s="34">
        <f>ROUND(Table1[[#This Row],[Content.Column10]] * 1000, 0)</f>
        <v>34564</v>
      </c>
      <c r="H265" s="32">
        <f>ROUND(Table1[[#This Row],[Content.Column11]] * 1000, 0)</f>
        <v>77237</v>
      </c>
      <c r="I265" s="32">
        <f>ROUND(Table1[[#This Row],[Content.Column12]] * 1000, 0)</f>
        <v>35118</v>
      </c>
      <c r="J265" s="32">
        <f>ROUND(Table1[[#This Row],[Content.Column13]] * 1000, 0)</f>
        <v>112356</v>
      </c>
      <c r="K265" s="32">
        <f>ROUND(Table1[[#This Row],[Content.Column14]] * 1000, 0)</f>
        <v>114893</v>
      </c>
      <c r="L265" s="30">
        <f>ROUND(Table1[[#This Row],[Content.Column3]] * 1000, 0)</f>
        <v>104168</v>
      </c>
      <c r="M265" s="30">
        <f>ROUND(Table1[[#This Row],[Content.Column4]] * 1000, 0)</f>
        <v>42747</v>
      </c>
      <c r="N265" s="30">
        <f>ROUND(Table1[[#This Row],[Content.Column5]] * 1000, 0)</f>
        <v>146915</v>
      </c>
      <c r="O265" s="30">
        <f>ROUND(Table1[[#This Row],[Content.Column6]] * 1000, 0)</f>
        <v>149457</v>
      </c>
      <c r="P265" s="27"/>
      <c r="Q265" s="27"/>
      <c r="R265"/>
      <c r="S265"/>
    </row>
    <row r="266" spans="1:19" x14ac:dyDescent="0.3">
      <c r="A266">
        <v>2014</v>
      </c>
      <c r="B266" t="s">
        <v>71</v>
      </c>
      <c r="C266" t="s">
        <v>70</v>
      </c>
      <c r="D266" s="34">
        <f>ROUND(Table1[[#This Row],[Content.Column7]] * 1000, 0)</f>
        <v>10048</v>
      </c>
      <c r="E266" s="34">
        <f>ROUND(Table1[[#This Row],[Content.Column8]] * 1000, 0)</f>
        <v>6304</v>
      </c>
      <c r="F266" s="34">
        <f>ROUND(Table1[[#This Row],[Content.Column9]] * 1000, 0)</f>
        <v>16352</v>
      </c>
      <c r="G266" s="34">
        <f>ROUND(Table1[[#This Row],[Content.Column10]] * 1000, 0)</f>
        <v>16357</v>
      </c>
      <c r="H266" s="32">
        <f>ROUND(Table1[[#This Row],[Content.Column11]] * 1000, 0)</f>
        <v>30746</v>
      </c>
      <c r="I266" s="32">
        <f>ROUND(Table1[[#This Row],[Content.Column12]] * 1000, 0)</f>
        <v>17364</v>
      </c>
      <c r="J266" s="32">
        <f>ROUND(Table1[[#This Row],[Content.Column13]] * 1000, 0)</f>
        <v>48110</v>
      </c>
      <c r="K266" s="32">
        <f>ROUND(Table1[[#This Row],[Content.Column14]] * 1000, 0)</f>
        <v>49800</v>
      </c>
      <c r="L266" s="30">
        <f>ROUND(Table1[[#This Row],[Content.Column3]] * 1000, 0)</f>
        <v>40794</v>
      </c>
      <c r="M266" s="30">
        <f>ROUND(Table1[[#This Row],[Content.Column4]] * 1000, 0)</f>
        <v>23668</v>
      </c>
      <c r="N266" s="30">
        <f>ROUND(Table1[[#This Row],[Content.Column5]] * 1000, 0)</f>
        <v>64462</v>
      </c>
      <c r="O266" s="30">
        <f>ROUND(Table1[[#This Row],[Content.Column6]] * 1000, 0)</f>
        <v>66157</v>
      </c>
      <c r="P266" s="27"/>
      <c r="Q266" s="27"/>
      <c r="R266"/>
      <c r="S266"/>
    </row>
    <row r="267" spans="1:19" x14ac:dyDescent="0.3">
      <c r="A267">
        <v>2014</v>
      </c>
      <c r="B267" t="s">
        <v>73</v>
      </c>
      <c r="C267" t="s">
        <v>72</v>
      </c>
      <c r="D267" s="34">
        <f>ROUND(Table1[[#This Row],[Content.Column7]] * 1000, 0)</f>
        <v>6727</v>
      </c>
      <c r="E267" s="34">
        <f>ROUND(Table1[[#This Row],[Content.Column8]] * 1000, 0)</f>
        <v>3077</v>
      </c>
      <c r="F267" s="34">
        <f>ROUND(Table1[[#This Row],[Content.Column9]] * 1000, 0)</f>
        <v>9803</v>
      </c>
      <c r="G267" s="34">
        <f>ROUND(Table1[[#This Row],[Content.Column10]] * 1000, 0)</f>
        <v>9806</v>
      </c>
      <c r="H267" s="32">
        <f>ROUND(Table1[[#This Row],[Content.Column11]] * 1000, 0)</f>
        <v>47767</v>
      </c>
      <c r="I267" s="32">
        <f>ROUND(Table1[[#This Row],[Content.Column12]] * 1000, 0)</f>
        <v>21035</v>
      </c>
      <c r="J267" s="32">
        <f>ROUND(Table1[[#This Row],[Content.Column13]] * 1000, 0)</f>
        <v>68802</v>
      </c>
      <c r="K267" s="32">
        <f>ROUND(Table1[[#This Row],[Content.Column14]] * 1000, 0)</f>
        <v>70277</v>
      </c>
      <c r="L267" s="30">
        <f>ROUND(Table1[[#This Row],[Content.Column3]] * 1000, 0)</f>
        <v>54494</v>
      </c>
      <c r="M267" s="30">
        <f>ROUND(Table1[[#This Row],[Content.Column4]] * 1000, 0)</f>
        <v>24112</v>
      </c>
      <c r="N267" s="30">
        <f>ROUND(Table1[[#This Row],[Content.Column5]] * 1000, 0)</f>
        <v>78605</v>
      </c>
      <c r="O267" s="30">
        <f>ROUND(Table1[[#This Row],[Content.Column6]] * 1000, 0)</f>
        <v>80084</v>
      </c>
      <c r="P267" s="27"/>
      <c r="Q267" s="27"/>
      <c r="R267"/>
      <c r="S267"/>
    </row>
    <row r="268" spans="1:19" x14ac:dyDescent="0.3">
      <c r="A268">
        <v>2014</v>
      </c>
      <c r="B268" t="s">
        <v>75</v>
      </c>
      <c r="C268" t="s">
        <v>74</v>
      </c>
      <c r="D268" s="34">
        <f>ROUND(Table1[[#This Row],[Content.Column7]] * 1000, 0)</f>
        <v>16070</v>
      </c>
      <c r="E268" s="34">
        <f>ROUND(Table1[[#This Row],[Content.Column8]] * 1000, 0)</f>
        <v>5999</v>
      </c>
      <c r="F268" s="34">
        <f>ROUND(Table1[[#This Row],[Content.Column9]] * 1000, 0)</f>
        <v>22069</v>
      </c>
      <c r="G268" s="34">
        <f>ROUND(Table1[[#This Row],[Content.Column10]] * 1000, 0)</f>
        <v>22090</v>
      </c>
      <c r="H268" s="32">
        <f>ROUND(Table1[[#This Row],[Content.Column11]] * 1000, 0)</f>
        <v>48576</v>
      </c>
      <c r="I268" s="32">
        <f>ROUND(Table1[[#This Row],[Content.Column12]] * 1000, 0)</f>
        <v>24141</v>
      </c>
      <c r="J268" s="32">
        <f>ROUND(Table1[[#This Row],[Content.Column13]] * 1000, 0)</f>
        <v>72717</v>
      </c>
      <c r="K268" s="32">
        <f>ROUND(Table1[[#This Row],[Content.Column14]] * 1000, 0)</f>
        <v>74402</v>
      </c>
      <c r="L268" s="30">
        <f>ROUND(Table1[[#This Row],[Content.Column3]] * 1000, 0)</f>
        <v>64647</v>
      </c>
      <c r="M268" s="30">
        <f>ROUND(Table1[[#This Row],[Content.Column4]] * 1000, 0)</f>
        <v>30140</v>
      </c>
      <c r="N268" s="30">
        <f>ROUND(Table1[[#This Row],[Content.Column5]] * 1000, 0)</f>
        <v>94786</v>
      </c>
      <c r="O268" s="30">
        <f>ROUND(Table1[[#This Row],[Content.Column6]] * 1000, 0)</f>
        <v>96492</v>
      </c>
      <c r="P268" s="27"/>
      <c r="Q268" s="27"/>
      <c r="R268"/>
      <c r="S268"/>
    </row>
    <row r="269" spans="1:19" x14ac:dyDescent="0.3">
      <c r="A269">
        <v>2014</v>
      </c>
      <c r="B269" t="s">
        <v>77</v>
      </c>
      <c r="C269" t="s">
        <v>76</v>
      </c>
      <c r="D269" s="34">
        <f>ROUND(Table1[[#This Row],[Content.Column7]] * 1000, 0)</f>
        <v>11418</v>
      </c>
      <c r="E269" s="34">
        <f>ROUND(Table1[[#This Row],[Content.Column8]] * 1000, 0)</f>
        <v>6045</v>
      </c>
      <c r="F269" s="34">
        <f>ROUND(Table1[[#This Row],[Content.Column9]] * 1000, 0)</f>
        <v>17463</v>
      </c>
      <c r="G269" s="34">
        <f>ROUND(Table1[[#This Row],[Content.Column10]] * 1000, 0)</f>
        <v>17475</v>
      </c>
      <c r="H269" s="32">
        <f>ROUND(Table1[[#This Row],[Content.Column11]] * 1000, 0)</f>
        <v>37860</v>
      </c>
      <c r="I269" s="32">
        <f>ROUND(Table1[[#This Row],[Content.Column12]] * 1000, 0)</f>
        <v>19086</v>
      </c>
      <c r="J269" s="32">
        <f>ROUND(Table1[[#This Row],[Content.Column13]] * 1000, 0)</f>
        <v>56946</v>
      </c>
      <c r="K269" s="32">
        <f>ROUND(Table1[[#This Row],[Content.Column14]] * 1000, 0)</f>
        <v>58850</v>
      </c>
      <c r="L269" s="30">
        <f>ROUND(Table1[[#This Row],[Content.Column3]] * 1000, 0)</f>
        <v>49278</v>
      </c>
      <c r="M269" s="30">
        <f>ROUND(Table1[[#This Row],[Content.Column4]] * 1000, 0)</f>
        <v>25131</v>
      </c>
      <c r="N269" s="30">
        <f>ROUND(Table1[[#This Row],[Content.Column5]] * 1000, 0)</f>
        <v>74409</v>
      </c>
      <c r="O269" s="30">
        <f>ROUND(Table1[[#This Row],[Content.Column6]] * 1000, 0)</f>
        <v>76325</v>
      </c>
      <c r="P269" s="27"/>
      <c r="Q269" s="27"/>
      <c r="R269"/>
      <c r="S269"/>
    </row>
    <row r="270" spans="1:19" x14ac:dyDescent="0.3">
      <c r="A270">
        <v>2014</v>
      </c>
      <c r="B270" t="s">
        <v>79</v>
      </c>
      <c r="C270" t="s">
        <v>78</v>
      </c>
      <c r="D270" s="34">
        <f>ROUND(Table1[[#This Row],[Content.Column7]] * 1000, 0)</f>
        <v>5662</v>
      </c>
      <c r="E270" s="34">
        <f>ROUND(Table1[[#This Row],[Content.Column8]] * 1000, 0)</f>
        <v>3095</v>
      </c>
      <c r="F270" s="34">
        <f>ROUND(Table1[[#This Row],[Content.Column9]] * 1000, 0)</f>
        <v>8758</v>
      </c>
      <c r="G270" s="34">
        <f>ROUND(Table1[[#This Row],[Content.Column10]] * 1000, 0)</f>
        <v>8770</v>
      </c>
      <c r="H270" s="32">
        <f>ROUND(Table1[[#This Row],[Content.Column11]] * 1000, 0)</f>
        <v>48168</v>
      </c>
      <c r="I270" s="32">
        <f>ROUND(Table1[[#This Row],[Content.Column12]] * 1000, 0)</f>
        <v>19285</v>
      </c>
      <c r="J270" s="32">
        <f>ROUND(Table1[[#This Row],[Content.Column13]] * 1000, 0)</f>
        <v>67453</v>
      </c>
      <c r="K270" s="32">
        <f>ROUND(Table1[[#This Row],[Content.Column14]] * 1000, 0)</f>
        <v>69693</v>
      </c>
      <c r="L270" s="30">
        <f>ROUND(Table1[[#This Row],[Content.Column3]] * 1000, 0)</f>
        <v>53830</v>
      </c>
      <c r="M270" s="30">
        <f>ROUND(Table1[[#This Row],[Content.Column4]] * 1000, 0)</f>
        <v>22380</v>
      </c>
      <c r="N270" s="30">
        <f>ROUND(Table1[[#This Row],[Content.Column5]] * 1000, 0)</f>
        <v>76210</v>
      </c>
      <c r="O270" s="30">
        <f>ROUND(Table1[[#This Row],[Content.Column6]] * 1000, 0)</f>
        <v>78463</v>
      </c>
      <c r="P270" s="27"/>
      <c r="Q270" s="27"/>
      <c r="R270"/>
      <c r="S270"/>
    </row>
    <row r="271" spans="1:19" x14ac:dyDescent="0.3">
      <c r="A271">
        <v>2014</v>
      </c>
      <c r="B271" t="s">
        <v>81</v>
      </c>
      <c r="C271" t="s">
        <v>80</v>
      </c>
      <c r="D271" s="34">
        <f>ROUND(Table1[[#This Row],[Content.Column7]] * 1000, 0)</f>
        <v>33674</v>
      </c>
      <c r="E271" s="34">
        <f>ROUND(Table1[[#This Row],[Content.Column8]] * 1000, 0)</f>
        <v>6730</v>
      </c>
      <c r="F271" s="34">
        <f>ROUND(Table1[[#This Row],[Content.Column9]] * 1000, 0)</f>
        <v>40404</v>
      </c>
      <c r="G271" s="34">
        <f>ROUND(Table1[[#This Row],[Content.Column10]] * 1000, 0)</f>
        <v>40455</v>
      </c>
      <c r="H271" s="32">
        <f>ROUND(Table1[[#This Row],[Content.Column11]] * 1000, 0)</f>
        <v>132133</v>
      </c>
      <c r="I271" s="32">
        <f>ROUND(Table1[[#This Row],[Content.Column12]] * 1000, 0)</f>
        <v>37875</v>
      </c>
      <c r="J271" s="32">
        <f>ROUND(Table1[[#This Row],[Content.Column13]] * 1000, 0)</f>
        <v>170008</v>
      </c>
      <c r="K271" s="32">
        <f>ROUND(Table1[[#This Row],[Content.Column14]] * 1000, 0)</f>
        <v>175221</v>
      </c>
      <c r="L271" s="30">
        <f>ROUND(Table1[[#This Row],[Content.Column3]] * 1000, 0)</f>
        <v>165807</v>
      </c>
      <c r="M271" s="30">
        <f>ROUND(Table1[[#This Row],[Content.Column4]] * 1000, 0)</f>
        <v>44605</v>
      </c>
      <c r="N271" s="30">
        <f>ROUND(Table1[[#This Row],[Content.Column5]] * 1000, 0)</f>
        <v>210411</v>
      </c>
      <c r="O271" s="30">
        <f>ROUND(Table1[[#This Row],[Content.Column6]] * 1000, 0)</f>
        <v>215677</v>
      </c>
      <c r="P271" s="27"/>
      <c r="Q271" s="27"/>
      <c r="R271"/>
      <c r="S271"/>
    </row>
    <row r="272" spans="1:19" x14ac:dyDescent="0.3">
      <c r="A272">
        <v>2014</v>
      </c>
      <c r="B272" t="s">
        <v>83</v>
      </c>
      <c r="C272" t="s">
        <v>82</v>
      </c>
      <c r="D272" s="34">
        <f>ROUND(Table1[[#This Row],[Content.Column7]] * 1000, 0)</f>
        <v>8603</v>
      </c>
      <c r="E272" s="34">
        <f>ROUND(Table1[[#This Row],[Content.Column8]] * 1000, 0)</f>
        <v>4663</v>
      </c>
      <c r="F272" s="34">
        <f>ROUND(Table1[[#This Row],[Content.Column9]] * 1000, 0)</f>
        <v>13266</v>
      </c>
      <c r="G272" s="34">
        <f>ROUND(Table1[[#This Row],[Content.Column10]] * 1000, 0)</f>
        <v>13295</v>
      </c>
      <c r="H272" s="32">
        <f>ROUND(Table1[[#This Row],[Content.Column11]] * 1000, 0)</f>
        <v>35840</v>
      </c>
      <c r="I272" s="32">
        <f>ROUND(Table1[[#This Row],[Content.Column12]] * 1000, 0)</f>
        <v>19795</v>
      </c>
      <c r="J272" s="32">
        <f>ROUND(Table1[[#This Row],[Content.Column13]] * 1000, 0)</f>
        <v>55635</v>
      </c>
      <c r="K272" s="32">
        <f>ROUND(Table1[[#This Row],[Content.Column14]] * 1000, 0)</f>
        <v>57201</v>
      </c>
      <c r="L272" s="30">
        <f>ROUND(Table1[[#This Row],[Content.Column3]] * 1000, 0)</f>
        <v>44444</v>
      </c>
      <c r="M272" s="30">
        <f>ROUND(Table1[[#This Row],[Content.Column4]] * 1000, 0)</f>
        <v>24458</v>
      </c>
      <c r="N272" s="30">
        <f>ROUND(Table1[[#This Row],[Content.Column5]] * 1000, 0)</f>
        <v>68902</v>
      </c>
      <c r="O272" s="30">
        <f>ROUND(Table1[[#This Row],[Content.Column6]] * 1000, 0)</f>
        <v>70496</v>
      </c>
      <c r="P272" s="27"/>
      <c r="Q272" s="27"/>
      <c r="R272"/>
      <c r="S272"/>
    </row>
    <row r="273" spans="1:19" x14ac:dyDescent="0.3">
      <c r="A273">
        <v>2014</v>
      </c>
      <c r="B273" t="s">
        <v>85</v>
      </c>
      <c r="C273" t="s">
        <v>84</v>
      </c>
      <c r="D273" s="34">
        <f>ROUND(Table1[[#This Row],[Content.Column7]] * 1000, 0)</f>
        <v>33142</v>
      </c>
      <c r="E273" s="34">
        <f>ROUND(Table1[[#This Row],[Content.Column8]] * 1000, 0)</f>
        <v>8837</v>
      </c>
      <c r="F273" s="34">
        <f>ROUND(Table1[[#This Row],[Content.Column9]] * 1000, 0)</f>
        <v>41979</v>
      </c>
      <c r="G273" s="34">
        <f>ROUND(Table1[[#This Row],[Content.Column10]] * 1000, 0)</f>
        <v>42078</v>
      </c>
      <c r="H273" s="32">
        <f>ROUND(Table1[[#This Row],[Content.Column11]] * 1000, 0)</f>
        <v>170739</v>
      </c>
      <c r="I273" s="32">
        <f>ROUND(Table1[[#This Row],[Content.Column12]] * 1000, 0)</f>
        <v>42806</v>
      </c>
      <c r="J273" s="32">
        <f>ROUND(Table1[[#This Row],[Content.Column13]] * 1000, 0)</f>
        <v>213545</v>
      </c>
      <c r="K273" s="32">
        <f>ROUND(Table1[[#This Row],[Content.Column14]] * 1000, 0)</f>
        <v>217930</v>
      </c>
      <c r="L273" s="30">
        <f>ROUND(Table1[[#This Row],[Content.Column3]] * 1000, 0)</f>
        <v>203881</v>
      </c>
      <c r="M273" s="30">
        <f>ROUND(Table1[[#This Row],[Content.Column4]] * 1000, 0)</f>
        <v>51644</v>
      </c>
      <c r="N273" s="30">
        <f>ROUND(Table1[[#This Row],[Content.Column5]] * 1000, 0)</f>
        <v>255525</v>
      </c>
      <c r="O273" s="30">
        <f>ROUND(Table1[[#This Row],[Content.Column6]] * 1000, 0)</f>
        <v>260008</v>
      </c>
      <c r="P273" s="27"/>
      <c r="Q273" s="27"/>
      <c r="R273"/>
      <c r="S273"/>
    </row>
    <row r="274" spans="1:19" x14ac:dyDescent="0.3">
      <c r="A274">
        <v>2014</v>
      </c>
      <c r="B274" t="s">
        <v>87</v>
      </c>
      <c r="C274" t="s">
        <v>86</v>
      </c>
      <c r="D274" s="34">
        <f>ROUND(Table1[[#This Row],[Content.Column7]] * 1000, 0)</f>
        <v>11293</v>
      </c>
      <c r="E274" s="34">
        <f>ROUND(Table1[[#This Row],[Content.Column8]] * 1000, 0)</f>
        <v>5261</v>
      </c>
      <c r="F274" s="34">
        <f>ROUND(Table1[[#This Row],[Content.Column9]] * 1000, 0)</f>
        <v>16554</v>
      </c>
      <c r="G274" s="34">
        <f>ROUND(Table1[[#This Row],[Content.Column10]] * 1000, 0)</f>
        <v>16661</v>
      </c>
      <c r="H274" s="32">
        <f>ROUND(Table1[[#This Row],[Content.Column11]] * 1000, 0)</f>
        <v>37639</v>
      </c>
      <c r="I274" s="32">
        <f>ROUND(Table1[[#This Row],[Content.Column12]] * 1000, 0)</f>
        <v>16497</v>
      </c>
      <c r="J274" s="32">
        <f>ROUND(Table1[[#This Row],[Content.Column13]] * 1000, 0)</f>
        <v>54135</v>
      </c>
      <c r="K274" s="32">
        <f>ROUND(Table1[[#This Row],[Content.Column14]] * 1000, 0)</f>
        <v>55828</v>
      </c>
      <c r="L274" s="30">
        <f>ROUND(Table1[[#This Row],[Content.Column3]] * 1000, 0)</f>
        <v>48931</v>
      </c>
      <c r="M274" s="30">
        <f>ROUND(Table1[[#This Row],[Content.Column4]] * 1000, 0)</f>
        <v>21758</v>
      </c>
      <c r="N274" s="30">
        <f>ROUND(Table1[[#This Row],[Content.Column5]] * 1000, 0)</f>
        <v>70689</v>
      </c>
      <c r="O274" s="30">
        <f>ROUND(Table1[[#This Row],[Content.Column6]] * 1000, 0)</f>
        <v>72489</v>
      </c>
      <c r="P274" s="27"/>
      <c r="Q274" s="27"/>
      <c r="R274"/>
      <c r="S274"/>
    </row>
    <row r="275" spans="1:19" x14ac:dyDescent="0.3">
      <c r="A275">
        <v>2014</v>
      </c>
      <c r="B275" t="s">
        <v>89</v>
      </c>
      <c r="C275" t="s">
        <v>88</v>
      </c>
      <c r="D275" s="34">
        <f>ROUND(Table1[[#This Row],[Content.Column7]] * 1000, 0)</f>
        <v>17340</v>
      </c>
      <c r="E275" s="34">
        <f>ROUND(Table1[[#This Row],[Content.Column8]] * 1000, 0)</f>
        <v>7289</v>
      </c>
      <c r="F275" s="34">
        <f>ROUND(Table1[[#This Row],[Content.Column9]] * 1000, 0)</f>
        <v>24628</v>
      </c>
      <c r="G275" s="34">
        <f>ROUND(Table1[[#This Row],[Content.Column10]] * 1000, 0)</f>
        <v>24636</v>
      </c>
      <c r="H275" s="32">
        <f>ROUND(Table1[[#This Row],[Content.Column11]] * 1000, 0)</f>
        <v>59850</v>
      </c>
      <c r="I275" s="32">
        <f>ROUND(Table1[[#This Row],[Content.Column12]] * 1000, 0)</f>
        <v>27511</v>
      </c>
      <c r="J275" s="32">
        <f>ROUND(Table1[[#This Row],[Content.Column13]] * 1000, 0)</f>
        <v>87361</v>
      </c>
      <c r="K275" s="32">
        <f>ROUND(Table1[[#This Row],[Content.Column14]] * 1000, 0)</f>
        <v>90058</v>
      </c>
      <c r="L275" s="30">
        <f>ROUND(Table1[[#This Row],[Content.Column3]] * 1000, 0)</f>
        <v>77189</v>
      </c>
      <c r="M275" s="30">
        <f>ROUND(Table1[[#This Row],[Content.Column4]] * 1000, 0)</f>
        <v>34800</v>
      </c>
      <c r="N275" s="30">
        <f>ROUND(Table1[[#This Row],[Content.Column5]] * 1000, 0)</f>
        <v>111989</v>
      </c>
      <c r="O275" s="30">
        <f>ROUND(Table1[[#This Row],[Content.Column6]] * 1000, 0)</f>
        <v>114693</v>
      </c>
      <c r="P275" s="27"/>
      <c r="Q275" s="27"/>
      <c r="R275"/>
      <c r="S275"/>
    </row>
    <row r="276" spans="1:19" x14ac:dyDescent="0.3">
      <c r="A276">
        <v>2014</v>
      </c>
      <c r="B276" t="s">
        <v>91</v>
      </c>
      <c r="C276" t="s">
        <v>90</v>
      </c>
      <c r="D276" s="34">
        <f>ROUND(Table1[[#This Row],[Content.Column7]] * 1000, 0)</f>
        <v>82582</v>
      </c>
      <c r="E276" s="34">
        <f>ROUND(Table1[[#This Row],[Content.Column8]] * 1000, 0)</f>
        <v>10360</v>
      </c>
      <c r="F276" s="34">
        <f>ROUND(Table1[[#This Row],[Content.Column9]] * 1000, 0)</f>
        <v>92942</v>
      </c>
      <c r="G276" s="34">
        <f>ROUND(Table1[[#This Row],[Content.Column10]] * 1000, 0)</f>
        <v>93289</v>
      </c>
      <c r="H276" s="32">
        <f>ROUND(Table1[[#This Row],[Content.Column11]] * 1000, 0)</f>
        <v>457360</v>
      </c>
      <c r="I276" s="32">
        <f>ROUND(Table1[[#This Row],[Content.Column12]] * 1000, 0)</f>
        <v>130693</v>
      </c>
      <c r="J276" s="32">
        <f>ROUND(Table1[[#This Row],[Content.Column13]] * 1000, 0)</f>
        <v>588053</v>
      </c>
      <c r="K276" s="32">
        <f>ROUND(Table1[[#This Row],[Content.Column14]] * 1000, 0)</f>
        <v>608819</v>
      </c>
      <c r="L276" s="30">
        <f>ROUND(Table1[[#This Row],[Content.Column3]] * 1000, 0)</f>
        <v>539941</v>
      </c>
      <c r="M276" s="30">
        <f>ROUND(Table1[[#This Row],[Content.Column4]] * 1000, 0)</f>
        <v>141053</v>
      </c>
      <c r="N276" s="30">
        <f>ROUND(Table1[[#This Row],[Content.Column5]] * 1000, 0)</f>
        <v>680995</v>
      </c>
      <c r="O276" s="30">
        <f>ROUND(Table1[[#This Row],[Content.Column6]] * 1000, 0)</f>
        <v>702108</v>
      </c>
      <c r="P276" s="27"/>
      <c r="Q276" s="27"/>
      <c r="R276"/>
      <c r="S276"/>
    </row>
    <row r="277" spans="1:19" x14ac:dyDescent="0.3">
      <c r="A277">
        <v>2014</v>
      </c>
      <c r="B277" t="s">
        <v>93</v>
      </c>
      <c r="C277" t="s">
        <v>92</v>
      </c>
      <c r="D277" s="34">
        <f>ROUND(Table1[[#This Row],[Content.Column7]] * 1000, 0)</f>
        <v>344356</v>
      </c>
      <c r="E277" s="34">
        <f>ROUND(Table1[[#This Row],[Content.Column8]] * 1000, 0)</f>
        <v>89097</v>
      </c>
      <c r="F277" s="34">
        <f>ROUND(Table1[[#This Row],[Content.Column9]] * 1000, 0)</f>
        <v>433452</v>
      </c>
      <c r="G277" s="34">
        <f>ROUND(Table1[[#This Row],[Content.Column10]] * 1000, 0)</f>
        <v>434369</v>
      </c>
      <c r="H277" s="32">
        <f>ROUND(Table1[[#This Row],[Content.Column11]] * 1000, 0)</f>
        <v>1913427</v>
      </c>
      <c r="I277" s="32">
        <f>ROUND(Table1[[#This Row],[Content.Column12]] * 1000, 0)</f>
        <v>585712</v>
      </c>
      <c r="J277" s="32">
        <f>ROUND(Table1[[#This Row],[Content.Column13]] * 1000, 0)</f>
        <v>2499138</v>
      </c>
      <c r="K277" s="32">
        <f>ROUND(Table1[[#This Row],[Content.Column14]] * 1000, 0)</f>
        <v>2577677</v>
      </c>
      <c r="L277" s="30">
        <f>ROUND(Table1[[#This Row],[Content.Column3]] * 1000, 0)</f>
        <v>2257782</v>
      </c>
      <c r="M277" s="30">
        <f>ROUND(Table1[[#This Row],[Content.Column4]] * 1000, 0)</f>
        <v>674809</v>
      </c>
      <c r="N277" s="30">
        <f>ROUND(Table1[[#This Row],[Content.Column5]] * 1000, 0)</f>
        <v>2932590</v>
      </c>
      <c r="O277" s="30">
        <f>ROUND(Table1[[#This Row],[Content.Column6]] * 1000, 0)</f>
        <v>3012045</v>
      </c>
      <c r="P277" s="27"/>
      <c r="Q277" s="27"/>
      <c r="R277"/>
      <c r="S277"/>
    </row>
    <row r="278" spans="1:19" x14ac:dyDescent="0.3">
      <c r="A278">
        <v>2014</v>
      </c>
      <c r="B278" t="s">
        <v>95</v>
      </c>
      <c r="C278" t="s">
        <v>94</v>
      </c>
      <c r="D278" s="34">
        <f>ROUND(Table1[[#This Row],[Content.Column7]] * 1000, 0)</f>
        <v>201986</v>
      </c>
      <c r="E278" s="34">
        <f>ROUND(Table1[[#This Row],[Content.Column8]] * 1000, 0)</f>
        <v>107826</v>
      </c>
      <c r="F278" s="34">
        <f>ROUND(Table1[[#This Row],[Content.Column9]] * 1000, 0)</f>
        <v>309812</v>
      </c>
      <c r="G278" s="34">
        <f>ROUND(Table1[[#This Row],[Content.Column10]] * 1000, 0)</f>
        <v>310405</v>
      </c>
      <c r="H278" s="32">
        <f>ROUND(Table1[[#This Row],[Content.Column11]] * 1000, 0)</f>
        <v>1034614</v>
      </c>
      <c r="I278" s="32">
        <f>ROUND(Table1[[#This Row],[Content.Column12]] * 1000, 0)</f>
        <v>459121</v>
      </c>
      <c r="J278" s="32">
        <f>ROUND(Table1[[#This Row],[Content.Column13]] * 1000, 0)</f>
        <v>1493734</v>
      </c>
      <c r="K278" s="32">
        <f>ROUND(Table1[[#This Row],[Content.Column14]] * 1000, 0)</f>
        <v>1534055</v>
      </c>
      <c r="L278" s="30">
        <f>ROUND(Table1[[#This Row],[Content.Column3]] * 1000, 0)</f>
        <v>1236600</v>
      </c>
      <c r="M278" s="30">
        <f>ROUND(Table1[[#This Row],[Content.Column4]] * 1000, 0)</f>
        <v>566947</v>
      </c>
      <c r="N278" s="30">
        <f>ROUND(Table1[[#This Row],[Content.Column5]] * 1000, 0)</f>
        <v>1803546</v>
      </c>
      <c r="O278" s="30">
        <f>ROUND(Table1[[#This Row],[Content.Column6]] * 1000, 0)</f>
        <v>1844460</v>
      </c>
      <c r="P278" s="27"/>
      <c r="Q278" s="27"/>
      <c r="R278"/>
      <c r="S278"/>
    </row>
    <row r="279" spans="1:19" x14ac:dyDescent="0.3">
      <c r="A279">
        <v>2014</v>
      </c>
      <c r="B279" t="s">
        <v>97</v>
      </c>
      <c r="C279" t="s">
        <v>96</v>
      </c>
      <c r="D279" s="34">
        <f>ROUND(Table1[[#This Row],[Content.Column7]] * 1000, 0)</f>
        <v>150050</v>
      </c>
      <c r="E279" s="34">
        <f>ROUND(Table1[[#This Row],[Content.Column8]] * 1000, 0)</f>
        <v>91241</v>
      </c>
      <c r="F279" s="34">
        <f>ROUND(Table1[[#This Row],[Content.Column9]] * 1000, 0)</f>
        <v>241291</v>
      </c>
      <c r="G279" s="34">
        <f>ROUND(Table1[[#This Row],[Content.Column10]] * 1000, 0)</f>
        <v>248756</v>
      </c>
      <c r="H279" s="32">
        <f>ROUND(Table1[[#This Row],[Content.Column11]] * 1000, 0)</f>
        <v>535840</v>
      </c>
      <c r="I279" s="32">
        <f>ROUND(Table1[[#This Row],[Content.Column12]] * 1000, 0)</f>
        <v>256595</v>
      </c>
      <c r="J279" s="32">
        <f>ROUND(Table1[[#This Row],[Content.Column13]] * 1000, 0)</f>
        <v>792436</v>
      </c>
      <c r="K279" s="32">
        <f>ROUND(Table1[[#This Row],[Content.Column14]] * 1000, 0)</f>
        <v>817176</v>
      </c>
      <c r="L279" s="30">
        <f>ROUND(Table1[[#This Row],[Content.Column3]] * 1000, 0)</f>
        <v>685890</v>
      </c>
      <c r="M279" s="30">
        <f>ROUND(Table1[[#This Row],[Content.Column4]] * 1000, 0)</f>
        <v>347836</v>
      </c>
      <c r="N279" s="30">
        <f>ROUND(Table1[[#This Row],[Content.Column5]] * 1000, 0)</f>
        <v>1033726</v>
      </c>
      <c r="O279" s="30">
        <f>ROUND(Table1[[#This Row],[Content.Column6]] * 1000, 0)</f>
        <v>1065932</v>
      </c>
      <c r="P279" s="27"/>
      <c r="Q279" s="27"/>
      <c r="R279"/>
      <c r="S279"/>
    </row>
    <row r="280" spans="1:19" x14ac:dyDescent="0.3">
      <c r="A280">
        <v>2014</v>
      </c>
      <c r="B280" t="s">
        <v>99</v>
      </c>
      <c r="C280" t="s">
        <v>98</v>
      </c>
      <c r="D280" s="34">
        <f>ROUND(Table1[[#This Row],[Content.Column7]] * 1000, 0)</f>
        <v>380717</v>
      </c>
      <c r="E280" s="34">
        <f>ROUND(Table1[[#This Row],[Content.Column8]] * 1000, 0)</f>
        <v>229649</v>
      </c>
      <c r="F280" s="34">
        <f>ROUND(Table1[[#This Row],[Content.Column9]] * 1000, 0)</f>
        <v>610366</v>
      </c>
      <c r="G280" s="34">
        <f>ROUND(Table1[[#This Row],[Content.Column10]] * 1000, 0)</f>
        <v>634221</v>
      </c>
      <c r="H280" s="32">
        <f>ROUND(Table1[[#This Row],[Content.Column11]] * 1000, 0)</f>
        <v>1709176</v>
      </c>
      <c r="I280" s="32">
        <f>ROUND(Table1[[#This Row],[Content.Column12]] * 1000, 0)</f>
        <v>766094</v>
      </c>
      <c r="J280" s="32">
        <f>ROUND(Table1[[#This Row],[Content.Column13]] * 1000, 0)</f>
        <v>2475270</v>
      </c>
      <c r="K280" s="32">
        <f>ROUND(Table1[[#This Row],[Content.Column14]] * 1000, 0)</f>
        <v>2549683</v>
      </c>
      <c r="L280" s="30">
        <f>ROUND(Table1[[#This Row],[Content.Column3]] * 1000, 0)</f>
        <v>2089893</v>
      </c>
      <c r="M280" s="30">
        <f>ROUND(Table1[[#This Row],[Content.Column4]] * 1000, 0)</f>
        <v>995743</v>
      </c>
      <c r="N280" s="30">
        <f>ROUND(Table1[[#This Row],[Content.Column5]] * 1000, 0)</f>
        <v>3085636</v>
      </c>
      <c r="O280" s="30">
        <f>ROUND(Table1[[#This Row],[Content.Column6]] * 1000, 0)</f>
        <v>3183904</v>
      </c>
      <c r="P280" s="27"/>
      <c r="Q280" s="27"/>
      <c r="R280"/>
      <c r="S280"/>
    </row>
    <row r="281" spans="1:19" x14ac:dyDescent="0.3">
      <c r="A281">
        <v>2014</v>
      </c>
      <c r="B281" t="s">
        <v>101</v>
      </c>
      <c r="C281" t="s">
        <v>100</v>
      </c>
      <c r="D281" s="34">
        <f>ROUND(Table1[[#This Row],[Content.Column7]] * 1000, 0)</f>
        <v>282011</v>
      </c>
      <c r="E281" s="34">
        <f>ROUND(Table1[[#This Row],[Content.Column8]] * 1000, 0)</f>
        <v>177839</v>
      </c>
      <c r="F281" s="34">
        <f>ROUND(Table1[[#This Row],[Content.Column9]] * 1000, 0)</f>
        <v>459851</v>
      </c>
      <c r="G281" s="34">
        <f>ROUND(Table1[[#This Row],[Content.Column10]] * 1000, 0)</f>
        <v>481328</v>
      </c>
      <c r="H281" s="32">
        <f>ROUND(Table1[[#This Row],[Content.Column11]] * 1000, 0)</f>
        <v>1242834</v>
      </c>
      <c r="I281" s="32">
        <f>ROUND(Table1[[#This Row],[Content.Column12]] * 1000, 0)</f>
        <v>558512</v>
      </c>
      <c r="J281" s="32">
        <f>ROUND(Table1[[#This Row],[Content.Column13]] * 1000, 0)</f>
        <v>1801346</v>
      </c>
      <c r="K281" s="32">
        <f>ROUND(Table1[[#This Row],[Content.Column14]] * 1000, 0)</f>
        <v>1860534</v>
      </c>
      <c r="L281" s="30">
        <f>ROUND(Table1[[#This Row],[Content.Column3]] * 1000, 0)</f>
        <v>1524845</v>
      </c>
      <c r="M281" s="30">
        <f>ROUND(Table1[[#This Row],[Content.Column4]] * 1000, 0)</f>
        <v>736351</v>
      </c>
      <c r="N281" s="30">
        <f>ROUND(Table1[[#This Row],[Content.Column5]] * 1000, 0)</f>
        <v>2261197</v>
      </c>
      <c r="O281" s="30">
        <f>ROUND(Table1[[#This Row],[Content.Column6]] * 1000, 0)</f>
        <v>2341861</v>
      </c>
      <c r="P281" s="27"/>
      <c r="Q281" s="27"/>
      <c r="R281"/>
      <c r="S281"/>
    </row>
    <row r="282" spans="1:19" x14ac:dyDescent="0.3">
      <c r="A282">
        <v>2014</v>
      </c>
      <c r="B282" t="s">
        <v>103</v>
      </c>
      <c r="C282" t="s">
        <v>102</v>
      </c>
      <c r="D282" s="34">
        <f>ROUND(Table1[[#This Row],[Content.Column7]] * 1000, 0)</f>
        <v>218870</v>
      </c>
      <c r="E282" s="34">
        <f>ROUND(Table1[[#This Row],[Content.Column8]] * 1000, 0)</f>
        <v>129342</v>
      </c>
      <c r="F282" s="34">
        <f>ROUND(Table1[[#This Row],[Content.Column9]] * 1000, 0)</f>
        <v>348212</v>
      </c>
      <c r="G282" s="34">
        <f>ROUND(Table1[[#This Row],[Content.Column10]] * 1000, 0)</f>
        <v>368096</v>
      </c>
      <c r="H282" s="32">
        <f>ROUND(Table1[[#This Row],[Content.Column11]] * 1000, 0)</f>
        <v>1121307</v>
      </c>
      <c r="I282" s="32">
        <f>ROUND(Table1[[#This Row],[Content.Column12]] * 1000, 0)</f>
        <v>477828</v>
      </c>
      <c r="J282" s="32">
        <f>ROUND(Table1[[#This Row],[Content.Column13]] * 1000, 0)</f>
        <v>1599136</v>
      </c>
      <c r="K282" s="32">
        <f>ROUND(Table1[[#This Row],[Content.Column14]] * 1000, 0)</f>
        <v>1649105</v>
      </c>
      <c r="L282" s="30">
        <f>ROUND(Table1[[#This Row],[Content.Column3]] * 1000, 0)</f>
        <v>1340177</v>
      </c>
      <c r="M282" s="30">
        <f>ROUND(Table1[[#This Row],[Content.Column4]] * 1000, 0)</f>
        <v>607170</v>
      </c>
      <c r="N282" s="30">
        <f>ROUND(Table1[[#This Row],[Content.Column5]] * 1000, 0)</f>
        <v>1947348</v>
      </c>
      <c r="O282" s="30">
        <f>ROUND(Table1[[#This Row],[Content.Column6]] * 1000, 0)</f>
        <v>2017200</v>
      </c>
      <c r="P282" s="27"/>
      <c r="Q282" s="27"/>
      <c r="R282"/>
      <c r="S282"/>
    </row>
    <row r="283" spans="1:19" x14ac:dyDescent="0.3">
      <c r="A283">
        <v>2014</v>
      </c>
      <c r="B283" t="s">
        <v>105</v>
      </c>
      <c r="C283" t="s">
        <v>104</v>
      </c>
      <c r="D283" s="34">
        <f>ROUND(Table1[[#This Row],[Content.Column7]] * 1000, 0)</f>
        <v>276884</v>
      </c>
      <c r="E283" s="34">
        <f>ROUND(Table1[[#This Row],[Content.Column8]] * 1000, 0)</f>
        <v>180903</v>
      </c>
      <c r="F283" s="34">
        <f>ROUND(Table1[[#This Row],[Content.Column9]] * 1000, 0)</f>
        <v>457787</v>
      </c>
      <c r="G283" s="34">
        <f>ROUND(Table1[[#This Row],[Content.Column10]] * 1000, 0)</f>
        <v>481645</v>
      </c>
      <c r="H283" s="32">
        <f>ROUND(Table1[[#This Row],[Content.Column11]] * 1000, 0)</f>
        <v>1375035</v>
      </c>
      <c r="I283" s="32">
        <f>ROUND(Table1[[#This Row],[Content.Column12]] * 1000, 0)</f>
        <v>571149</v>
      </c>
      <c r="J283" s="32">
        <f>ROUND(Table1[[#This Row],[Content.Column13]] * 1000, 0)</f>
        <v>1946184</v>
      </c>
      <c r="K283" s="32">
        <f>ROUND(Table1[[#This Row],[Content.Column14]] * 1000, 0)</f>
        <v>2005107</v>
      </c>
      <c r="L283" s="30">
        <f>ROUND(Table1[[#This Row],[Content.Column3]] * 1000, 0)</f>
        <v>1651919</v>
      </c>
      <c r="M283" s="30">
        <f>ROUND(Table1[[#This Row],[Content.Column4]] * 1000, 0)</f>
        <v>752052</v>
      </c>
      <c r="N283" s="30">
        <f>ROUND(Table1[[#This Row],[Content.Column5]] * 1000, 0)</f>
        <v>2403970</v>
      </c>
      <c r="O283" s="30">
        <f>ROUND(Table1[[#This Row],[Content.Column6]] * 1000, 0)</f>
        <v>2486752</v>
      </c>
      <c r="P283" s="27"/>
      <c r="Q283" s="27"/>
      <c r="R283"/>
      <c r="S283"/>
    </row>
    <row r="284" spans="1:19" x14ac:dyDescent="0.3">
      <c r="A284">
        <v>2014</v>
      </c>
      <c r="B284" t="s">
        <v>107</v>
      </c>
      <c r="C284" t="s">
        <v>106</v>
      </c>
      <c r="D284" s="34">
        <f>ROUND(Table1[[#This Row],[Content.Column7]] * 1000, 0)</f>
        <v>243557</v>
      </c>
      <c r="E284" s="34">
        <f>ROUND(Table1[[#This Row],[Content.Column8]] * 1000, 0)</f>
        <v>186169</v>
      </c>
      <c r="F284" s="34">
        <f>ROUND(Table1[[#This Row],[Content.Column9]] * 1000, 0)</f>
        <v>429726</v>
      </c>
      <c r="G284" s="34">
        <f>ROUND(Table1[[#This Row],[Content.Column10]] * 1000, 0)</f>
        <v>449431</v>
      </c>
      <c r="H284" s="32">
        <f>ROUND(Table1[[#This Row],[Content.Column11]] * 1000, 0)</f>
        <v>1446664</v>
      </c>
      <c r="I284" s="32">
        <f>ROUND(Table1[[#This Row],[Content.Column12]] * 1000, 0)</f>
        <v>680442</v>
      </c>
      <c r="J284" s="32">
        <f>ROUND(Table1[[#This Row],[Content.Column13]] * 1000, 0)</f>
        <v>2127105</v>
      </c>
      <c r="K284" s="32">
        <f>ROUND(Table1[[#This Row],[Content.Column14]] * 1000, 0)</f>
        <v>2209877</v>
      </c>
      <c r="L284" s="30">
        <f>ROUND(Table1[[#This Row],[Content.Column3]] * 1000, 0)</f>
        <v>1690222</v>
      </c>
      <c r="M284" s="30">
        <f>ROUND(Table1[[#This Row],[Content.Column4]] * 1000, 0)</f>
        <v>866611</v>
      </c>
      <c r="N284" s="30">
        <f>ROUND(Table1[[#This Row],[Content.Column5]] * 1000, 0)</f>
        <v>2556831</v>
      </c>
      <c r="O284" s="30">
        <f>ROUND(Table1[[#This Row],[Content.Column6]] * 1000, 0)</f>
        <v>2659308</v>
      </c>
      <c r="P284" s="27"/>
      <c r="Q284" s="27"/>
      <c r="R284"/>
      <c r="S284"/>
    </row>
    <row r="285" spans="1:19" x14ac:dyDescent="0.3">
      <c r="A285">
        <v>2014</v>
      </c>
      <c r="B285" t="s">
        <v>109</v>
      </c>
      <c r="C285" t="s">
        <v>108</v>
      </c>
      <c r="D285" s="34">
        <f>ROUND(Table1[[#This Row],[Content.Column7]] * 1000, 0)</f>
        <v>546771</v>
      </c>
      <c r="E285" s="34">
        <f>ROUND(Table1[[#This Row],[Content.Column8]] * 1000, 0)</f>
        <v>197019</v>
      </c>
      <c r="F285" s="34">
        <f>ROUND(Table1[[#This Row],[Content.Column9]] * 1000, 0)</f>
        <v>743790</v>
      </c>
      <c r="G285" s="34">
        <f>ROUND(Table1[[#This Row],[Content.Column10]] * 1000, 0)</f>
        <v>745580</v>
      </c>
      <c r="H285" s="32">
        <f>ROUND(Table1[[#This Row],[Content.Column11]] * 1000, 0)</f>
        <v>2948041</v>
      </c>
      <c r="I285" s="32">
        <f>ROUND(Table1[[#This Row],[Content.Column12]] * 1000, 0)</f>
        <v>1044833</v>
      </c>
      <c r="J285" s="32">
        <f>ROUND(Table1[[#This Row],[Content.Column13]] * 1000, 0)</f>
        <v>3992872</v>
      </c>
      <c r="K285" s="32">
        <f>ROUND(Table1[[#This Row],[Content.Column14]] * 1000, 0)</f>
        <v>4111732</v>
      </c>
      <c r="L285" s="30">
        <f>ROUND(Table1[[#This Row],[Content.Column3]] * 1000, 0)</f>
        <v>3494811</v>
      </c>
      <c r="M285" s="30">
        <f>ROUND(Table1[[#This Row],[Content.Column4]] * 1000, 0)</f>
        <v>1241852</v>
      </c>
      <c r="N285" s="30">
        <f>ROUND(Table1[[#This Row],[Content.Column5]] * 1000, 0)</f>
        <v>4736662</v>
      </c>
      <c r="O285" s="30">
        <f>ROUND(Table1[[#This Row],[Content.Column6]] * 1000, 0)</f>
        <v>4857311</v>
      </c>
      <c r="P285" s="27"/>
      <c r="Q285" s="27"/>
      <c r="R285"/>
      <c r="S285"/>
    </row>
    <row r="286" spans="1:19" x14ac:dyDescent="0.3">
      <c r="A286">
        <v>2014</v>
      </c>
      <c r="B286" t="s">
        <v>111</v>
      </c>
      <c r="C286" t="s">
        <v>110</v>
      </c>
      <c r="D286" s="34">
        <f>ROUND(Table1[[#This Row],[Content.Column7]] * 1000, 0)</f>
        <v>368402</v>
      </c>
      <c r="E286" s="34">
        <f>ROUND(Table1[[#This Row],[Content.Column8]] * 1000, 0)</f>
        <v>246491</v>
      </c>
      <c r="F286" s="34">
        <f>ROUND(Table1[[#This Row],[Content.Column9]] * 1000, 0)</f>
        <v>614893</v>
      </c>
      <c r="G286" s="34">
        <f>ROUND(Table1[[#This Row],[Content.Column10]] * 1000, 0)</f>
        <v>636070</v>
      </c>
      <c r="H286" s="32">
        <f>ROUND(Table1[[#This Row],[Content.Column11]] * 1000, 0)</f>
        <v>2281395</v>
      </c>
      <c r="I286" s="32">
        <f>ROUND(Table1[[#This Row],[Content.Column12]] * 1000, 0)</f>
        <v>1011750</v>
      </c>
      <c r="J286" s="32">
        <f>ROUND(Table1[[#This Row],[Content.Column13]] * 1000, 0)</f>
        <v>3293145</v>
      </c>
      <c r="K286" s="32">
        <f>ROUND(Table1[[#This Row],[Content.Column14]] * 1000, 0)</f>
        <v>3410620</v>
      </c>
      <c r="L286" s="30">
        <f>ROUND(Table1[[#This Row],[Content.Column3]] * 1000, 0)</f>
        <v>2649797</v>
      </c>
      <c r="M286" s="30">
        <f>ROUND(Table1[[#This Row],[Content.Column4]] * 1000, 0)</f>
        <v>1258241</v>
      </c>
      <c r="N286" s="30">
        <f>ROUND(Table1[[#This Row],[Content.Column5]] * 1000, 0)</f>
        <v>3908038</v>
      </c>
      <c r="O286" s="30">
        <f>ROUND(Table1[[#This Row],[Content.Column6]] * 1000, 0)</f>
        <v>4046690</v>
      </c>
      <c r="P286" s="27"/>
      <c r="Q286" s="27"/>
      <c r="R286"/>
      <c r="S286"/>
    </row>
    <row r="287" spans="1:19" x14ac:dyDescent="0.3">
      <c r="A287">
        <v>2014</v>
      </c>
      <c r="B287" t="s">
        <v>113</v>
      </c>
      <c r="C287" t="s">
        <v>112</v>
      </c>
      <c r="D287" s="34">
        <f>ROUND(Table1[[#This Row],[Content.Column7]] * 1000, 0)</f>
        <v>246179</v>
      </c>
      <c r="E287" s="34">
        <f>ROUND(Table1[[#This Row],[Content.Column8]] * 1000, 0)</f>
        <v>180255</v>
      </c>
      <c r="F287" s="34">
        <f>ROUND(Table1[[#This Row],[Content.Column9]] * 1000, 0)</f>
        <v>426435</v>
      </c>
      <c r="G287" s="34">
        <f>ROUND(Table1[[#This Row],[Content.Column10]] * 1000, 0)</f>
        <v>469976</v>
      </c>
      <c r="H287" s="32">
        <f>ROUND(Table1[[#This Row],[Content.Column11]] * 1000, 0)</f>
        <v>1276542</v>
      </c>
      <c r="I287" s="32">
        <f>ROUND(Table1[[#This Row],[Content.Column12]] * 1000, 0)</f>
        <v>649455</v>
      </c>
      <c r="J287" s="32">
        <f>ROUND(Table1[[#This Row],[Content.Column13]] * 1000, 0)</f>
        <v>1925997</v>
      </c>
      <c r="K287" s="32">
        <f>ROUND(Table1[[#This Row],[Content.Column14]] * 1000, 0)</f>
        <v>2008243</v>
      </c>
      <c r="L287" s="30">
        <f>ROUND(Table1[[#This Row],[Content.Column3]] * 1000, 0)</f>
        <v>1522721</v>
      </c>
      <c r="M287" s="30">
        <f>ROUND(Table1[[#This Row],[Content.Column4]] * 1000, 0)</f>
        <v>829710</v>
      </c>
      <c r="N287" s="30">
        <f>ROUND(Table1[[#This Row],[Content.Column5]] * 1000, 0)</f>
        <v>2352432</v>
      </c>
      <c r="O287" s="30">
        <f>ROUND(Table1[[#This Row],[Content.Column6]] * 1000, 0)</f>
        <v>2478219</v>
      </c>
      <c r="P287" s="27"/>
      <c r="Q287" s="27"/>
      <c r="R287"/>
      <c r="S287"/>
    </row>
    <row r="288" spans="1:19" x14ac:dyDescent="0.3">
      <c r="A288">
        <v>2014</v>
      </c>
      <c r="B288" t="s">
        <v>115</v>
      </c>
      <c r="C288" t="s">
        <v>114</v>
      </c>
      <c r="D288" s="34">
        <f>ROUND(Table1[[#This Row],[Content.Column7]] * 1000, 0)</f>
        <v>192275</v>
      </c>
      <c r="E288" s="34">
        <f>ROUND(Table1[[#This Row],[Content.Column8]] * 1000, 0)</f>
        <v>136481</v>
      </c>
      <c r="F288" s="34">
        <f>ROUND(Table1[[#This Row],[Content.Column9]] * 1000, 0)</f>
        <v>328756</v>
      </c>
      <c r="G288" s="34">
        <f>ROUND(Table1[[#This Row],[Content.Column10]] * 1000, 0)</f>
        <v>371668</v>
      </c>
      <c r="H288" s="32">
        <f>ROUND(Table1[[#This Row],[Content.Column11]] * 1000, 0)</f>
        <v>594577</v>
      </c>
      <c r="I288" s="32">
        <f>ROUND(Table1[[#This Row],[Content.Column12]] * 1000, 0)</f>
        <v>285351</v>
      </c>
      <c r="J288" s="32">
        <f>ROUND(Table1[[#This Row],[Content.Column13]] * 1000, 0)</f>
        <v>879929</v>
      </c>
      <c r="K288" s="32">
        <f>ROUND(Table1[[#This Row],[Content.Column14]] * 1000, 0)</f>
        <v>921004</v>
      </c>
      <c r="L288" s="30">
        <f>ROUND(Table1[[#This Row],[Content.Column3]] * 1000, 0)</f>
        <v>786853</v>
      </c>
      <c r="M288" s="30">
        <f>ROUND(Table1[[#This Row],[Content.Column4]] * 1000, 0)</f>
        <v>421832</v>
      </c>
      <c r="N288" s="30">
        <f>ROUND(Table1[[#This Row],[Content.Column5]] * 1000, 0)</f>
        <v>1208684</v>
      </c>
      <c r="O288" s="30">
        <f>ROUND(Table1[[#This Row],[Content.Column6]] * 1000, 0)</f>
        <v>1292672</v>
      </c>
      <c r="P288" s="27"/>
      <c r="Q288" s="27"/>
      <c r="R288"/>
      <c r="S288"/>
    </row>
    <row r="289" spans="1:19" x14ac:dyDescent="0.3">
      <c r="A289">
        <v>2014</v>
      </c>
      <c r="B289" t="s">
        <v>117</v>
      </c>
      <c r="C289" t="s">
        <v>116</v>
      </c>
      <c r="D289" s="34">
        <f>ROUND(Table1[[#This Row],[Content.Column7]] * 1000, 0)</f>
        <v>376825</v>
      </c>
      <c r="E289" s="34">
        <f>ROUND(Table1[[#This Row],[Content.Column8]] * 1000, 0)</f>
        <v>222300</v>
      </c>
      <c r="F289" s="34">
        <f>ROUND(Table1[[#This Row],[Content.Column9]] * 1000, 0)</f>
        <v>599125</v>
      </c>
      <c r="G289" s="34">
        <f>ROUND(Table1[[#This Row],[Content.Column10]] * 1000, 0)</f>
        <v>638597</v>
      </c>
      <c r="H289" s="32">
        <f>ROUND(Table1[[#This Row],[Content.Column11]] * 1000, 0)</f>
        <v>1267634</v>
      </c>
      <c r="I289" s="32">
        <f>ROUND(Table1[[#This Row],[Content.Column12]] * 1000, 0)</f>
        <v>570331</v>
      </c>
      <c r="J289" s="32">
        <f>ROUND(Table1[[#This Row],[Content.Column13]] * 1000, 0)</f>
        <v>1837965</v>
      </c>
      <c r="K289" s="32">
        <f>ROUND(Table1[[#This Row],[Content.Column14]] * 1000, 0)</f>
        <v>1901572</v>
      </c>
      <c r="L289" s="30">
        <f>ROUND(Table1[[#This Row],[Content.Column3]] * 1000, 0)</f>
        <v>1644459</v>
      </c>
      <c r="M289" s="30">
        <f>ROUND(Table1[[#This Row],[Content.Column4]] * 1000, 0)</f>
        <v>792632</v>
      </c>
      <c r="N289" s="30">
        <f>ROUND(Table1[[#This Row],[Content.Column5]] * 1000, 0)</f>
        <v>2437089</v>
      </c>
      <c r="O289" s="30">
        <f>ROUND(Table1[[#This Row],[Content.Column6]] * 1000, 0)</f>
        <v>2540169</v>
      </c>
      <c r="P289" s="27"/>
      <c r="Q289" s="27"/>
      <c r="R289"/>
      <c r="S289"/>
    </row>
    <row r="290" spans="1:19" x14ac:dyDescent="0.3">
      <c r="A290">
        <v>2014</v>
      </c>
      <c r="B290" t="s">
        <v>119</v>
      </c>
      <c r="C290" t="s">
        <v>118</v>
      </c>
      <c r="D290" s="34">
        <f>ROUND(Table1[[#This Row],[Content.Column7]] * 1000, 0)</f>
        <v>2713440</v>
      </c>
      <c r="E290" s="34">
        <f>ROUND(Table1[[#This Row],[Content.Column8]] * 1000, 0)</f>
        <v>1618908</v>
      </c>
      <c r="F290" s="34">
        <f>ROUND(Table1[[#This Row],[Content.Column9]] * 1000, 0)</f>
        <v>4332349</v>
      </c>
      <c r="G290" s="34">
        <f>ROUND(Table1[[#This Row],[Content.Column10]] * 1000, 0)</f>
        <v>4515101</v>
      </c>
      <c r="H290" s="32">
        <f>ROUND(Table1[[#This Row],[Content.Column11]] * 1000, 0)</f>
        <v>13936834</v>
      </c>
      <c r="I290" s="32">
        <f>ROUND(Table1[[#This Row],[Content.Column12]] * 1000, 0)</f>
        <v>6016658</v>
      </c>
      <c r="J290" s="32">
        <f>ROUND(Table1[[#This Row],[Content.Column13]] * 1000, 0)</f>
        <v>19953490</v>
      </c>
      <c r="K290" s="32">
        <f>ROUND(Table1[[#This Row],[Content.Column14]] * 1000, 0)</f>
        <v>20622077</v>
      </c>
      <c r="L290" s="30">
        <f>ROUND(Table1[[#This Row],[Content.Column3]] * 1000, 0)</f>
        <v>16650274</v>
      </c>
      <c r="M290" s="30">
        <f>ROUND(Table1[[#This Row],[Content.Column4]] * 1000, 0)</f>
        <v>7635566</v>
      </c>
      <c r="N290" s="30">
        <f>ROUND(Table1[[#This Row],[Content.Column5]] * 1000, 0)</f>
        <v>24285839</v>
      </c>
      <c r="O290" s="30">
        <f>ROUND(Table1[[#This Row],[Content.Column6]] * 1000, 0)</f>
        <v>25137178</v>
      </c>
      <c r="P290" s="27"/>
      <c r="Q290" s="27"/>
      <c r="R290"/>
      <c r="S290"/>
    </row>
    <row r="291" spans="1:19" x14ac:dyDescent="0.3">
      <c r="A291">
        <v>2014</v>
      </c>
      <c r="B291" t="s">
        <v>121</v>
      </c>
      <c r="C291" t="s">
        <v>120</v>
      </c>
      <c r="D291" s="34">
        <f>ROUND(Table1[[#This Row],[Content.Column7]] * 1000, 0)</f>
        <v>3282540</v>
      </c>
      <c r="E291" s="34">
        <f>ROUND(Table1[[#This Row],[Content.Column8]] * 1000, 0)</f>
        <v>1977689</v>
      </c>
      <c r="F291" s="34">
        <f>ROUND(Table1[[#This Row],[Content.Column9]] * 1000, 0)</f>
        <v>5260230</v>
      </c>
      <c r="G291" s="34">
        <f>ROUND(Table1[[#This Row],[Content.Column10]] * 1000, 0)</f>
        <v>5525367</v>
      </c>
      <c r="H291" s="32">
        <f>ROUND(Table1[[#This Row],[Content.Column11]] * 1000, 0)</f>
        <v>15799045</v>
      </c>
      <c r="I291" s="32">
        <f>ROUND(Table1[[#This Row],[Content.Column12]] * 1000, 0)</f>
        <v>6872341</v>
      </c>
      <c r="J291" s="32">
        <f>ROUND(Table1[[#This Row],[Content.Column13]] * 1000, 0)</f>
        <v>22671383</v>
      </c>
      <c r="K291" s="32">
        <f>ROUND(Table1[[#This Row],[Content.Column14]] * 1000, 0)</f>
        <v>23444653</v>
      </c>
      <c r="L291" s="30">
        <f>ROUND(Table1[[#This Row],[Content.Column3]] * 1000, 0)</f>
        <v>19081585</v>
      </c>
      <c r="M291" s="30">
        <f>ROUND(Table1[[#This Row],[Content.Column4]] * 1000, 0)</f>
        <v>8850029</v>
      </c>
      <c r="N291" s="30">
        <f>ROUND(Table1[[#This Row],[Content.Column5]] * 1000, 0)</f>
        <v>27931613</v>
      </c>
      <c r="O291" s="30">
        <f>ROUND(Table1[[#This Row],[Content.Column6]] * 1000, 0)</f>
        <v>28970019</v>
      </c>
      <c r="P291" s="27"/>
      <c r="Q291" s="27"/>
      <c r="R291"/>
      <c r="S291"/>
    </row>
    <row r="292" spans="1:19" x14ac:dyDescent="0.3">
      <c r="A292">
        <v>2015</v>
      </c>
      <c r="B292" t="s">
        <v>27</v>
      </c>
      <c r="C292" t="s">
        <v>26</v>
      </c>
      <c r="D292" s="34">
        <f>ROUND(Table1[[#This Row],[Content.Column7]] * 1000, 0)</f>
        <v>13236</v>
      </c>
      <c r="E292" s="34">
        <f>ROUND(Table1[[#This Row],[Content.Column8]] * 1000, 0)</f>
        <v>2391</v>
      </c>
      <c r="F292" s="34">
        <f>ROUND(Table1[[#This Row],[Content.Column9]] * 1000, 0)</f>
        <v>15627</v>
      </c>
      <c r="G292" s="34">
        <f>ROUND(Table1[[#This Row],[Content.Column10]] * 1000, 0)</f>
        <v>15655</v>
      </c>
      <c r="H292" s="32">
        <f>ROUND(Table1[[#This Row],[Content.Column11]] * 1000, 0)</f>
        <v>366110</v>
      </c>
      <c r="I292" s="32">
        <f>ROUND(Table1[[#This Row],[Content.Column12]] * 1000, 0)</f>
        <v>57463</v>
      </c>
      <c r="J292" s="32">
        <f>ROUND(Table1[[#This Row],[Content.Column13]] * 1000, 0)</f>
        <v>423572</v>
      </c>
      <c r="K292" s="32">
        <f>ROUND(Table1[[#This Row],[Content.Column14]] * 1000, 0)</f>
        <v>439850</v>
      </c>
      <c r="L292" s="30">
        <f>ROUND(Table1[[#This Row],[Content.Column3]] * 1000, 0)</f>
        <v>379345</v>
      </c>
      <c r="M292" s="30">
        <f>ROUND(Table1[[#This Row],[Content.Column4]] * 1000, 0)</f>
        <v>59854</v>
      </c>
      <c r="N292" s="30">
        <f>ROUND(Table1[[#This Row],[Content.Column5]] * 1000, 0)</f>
        <v>439199</v>
      </c>
      <c r="O292" s="30">
        <f>ROUND(Table1[[#This Row],[Content.Column6]] * 1000, 0)</f>
        <v>455505</v>
      </c>
      <c r="P292" s="27"/>
      <c r="Q292" s="27"/>
      <c r="R292"/>
      <c r="S292"/>
    </row>
    <row r="293" spans="1:19" x14ac:dyDescent="0.3">
      <c r="A293">
        <v>2015</v>
      </c>
      <c r="B293" t="s">
        <v>29</v>
      </c>
      <c r="C293" t="s">
        <v>28</v>
      </c>
      <c r="D293" s="34">
        <f>ROUND(Table1[[#This Row],[Content.Column7]] * 1000, 0)</f>
        <v>7034</v>
      </c>
      <c r="E293" s="34">
        <f>ROUND(Table1[[#This Row],[Content.Column8]] * 1000, 0)</f>
        <v>3972</v>
      </c>
      <c r="F293" s="34">
        <f>ROUND(Table1[[#This Row],[Content.Column9]] * 1000, 0)</f>
        <v>11006</v>
      </c>
      <c r="G293" s="34">
        <f>ROUND(Table1[[#This Row],[Content.Column10]] * 1000, 0)</f>
        <v>11020</v>
      </c>
      <c r="H293" s="32">
        <f>ROUND(Table1[[#This Row],[Content.Column11]] * 1000, 0)</f>
        <v>28116</v>
      </c>
      <c r="I293" s="32">
        <f>ROUND(Table1[[#This Row],[Content.Column12]] * 1000, 0)</f>
        <v>11466</v>
      </c>
      <c r="J293" s="32">
        <f>ROUND(Table1[[#This Row],[Content.Column13]] * 1000, 0)</f>
        <v>39582</v>
      </c>
      <c r="K293" s="32">
        <f>ROUND(Table1[[#This Row],[Content.Column14]] * 1000, 0)</f>
        <v>41164</v>
      </c>
      <c r="L293" s="30">
        <f>ROUND(Table1[[#This Row],[Content.Column3]] * 1000, 0)</f>
        <v>35150</v>
      </c>
      <c r="M293" s="30">
        <f>ROUND(Table1[[#This Row],[Content.Column4]] * 1000, 0)</f>
        <v>15438</v>
      </c>
      <c r="N293" s="30">
        <f>ROUND(Table1[[#This Row],[Content.Column5]] * 1000, 0)</f>
        <v>50588</v>
      </c>
      <c r="O293" s="30">
        <f>ROUND(Table1[[#This Row],[Content.Column6]] * 1000, 0)</f>
        <v>52184</v>
      </c>
      <c r="P293" s="27"/>
      <c r="Q293" s="27"/>
      <c r="R293"/>
      <c r="S293"/>
    </row>
    <row r="294" spans="1:19" x14ac:dyDescent="0.3">
      <c r="A294">
        <v>2015</v>
      </c>
      <c r="B294" t="s">
        <v>31</v>
      </c>
      <c r="C294" t="s">
        <v>30</v>
      </c>
      <c r="D294" s="34">
        <f>ROUND(Table1[[#This Row],[Content.Column7]] * 1000, 0)</f>
        <v>14598</v>
      </c>
      <c r="E294" s="34">
        <f>ROUND(Table1[[#This Row],[Content.Column8]] * 1000, 0)</f>
        <v>8113</v>
      </c>
      <c r="F294" s="34">
        <f>ROUND(Table1[[#This Row],[Content.Column9]] * 1000, 0)</f>
        <v>22712</v>
      </c>
      <c r="G294" s="34">
        <f>ROUND(Table1[[#This Row],[Content.Column10]] * 1000, 0)</f>
        <v>22762</v>
      </c>
      <c r="H294" s="32">
        <f>ROUND(Table1[[#This Row],[Content.Column11]] * 1000, 0)</f>
        <v>70951</v>
      </c>
      <c r="I294" s="32">
        <f>ROUND(Table1[[#This Row],[Content.Column12]] * 1000, 0)</f>
        <v>34887</v>
      </c>
      <c r="J294" s="32">
        <f>ROUND(Table1[[#This Row],[Content.Column13]] * 1000, 0)</f>
        <v>105839</v>
      </c>
      <c r="K294" s="32">
        <f>ROUND(Table1[[#This Row],[Content.Column14]] * 1000, 0)</f>
        <v>110781</v>
      </c>
      <c r="L294" s="30">
        <f>ROUND(Table1[[#This Row],[Content.Column3]] * 1000, 0)</f>
        <v>85550</v>
      </c>
      <c r="M294" s="30">
        <f>ROUND(Table1[[#This Row],[Content.Column4]] * 1000, 0)</f>
        <v>43001</v>
      </c>
      <c r="N294" s="30">
        <f>ROUND(Table1[[#This Row],[Content.Column5]] * 1000, 0)</f>
        <v>128550</v>
      </c>
      <c r="O294" s="30">
        <f>ROUND(Table1[[#This Row],[Content.Column6]] * 1000, 0)</f>
        <v>133543</v>
      </c>
      <c r="P294" s="27"/>
      <c r="Q294" s="27"/>
      <c r="R294"/>
      <c r="S294"/>
    </row>
    <row r="295" spans="1:19" x14ac:dyDescent="0.3">
      <c r="A295">
        <v>2015</v>
      </c>
      <c r="B295" t="s">
        <v>33</v>
      </c>
      <c r="C295" t="s">
        <v>32</v>
      </c>
      <c r="D295" s="34">
        <f>ROUND(Table1[[#This Row],[Content.Column7]] * 1000, 0)</f>
        <v>6577</v>
      </c>
      <c r="E295" s="34">
        <f>ROUND(Table1[[#This Row],[Content.Column8]] * 1000, 0)</f>
        <v>4271</v>
      </c>
      <c r="F295" s="34">
        <f>ROUND(Table1[[#This Row],[Content.Column9]] * 1000, 0)</f>
        <v>10848</v>
      </c>
      <c r="G295" s="34">
        <f>ROUND(Table1[[#This Row],[Content.Column10]] * 1000, 0)</f>
        <v>10886</v>
      </c>
      <c r="H295" s="32">
        <f>ROUND(Table1[[#This Row],[Content.Column11]] * 1000, 0)</f>
        <v>39348</v>
      </c>
      <c r="I295" s="32">
        <f>ROUND(Table1[[#This Row],[Content.Column12]] * 1000, 0)</f>
        <v>20891</v>
      </c>
      <c r="J295" s="32">
        <f>ROUND(Table1[[#This Row],[Content.Column13]] * 1000, 0)</f>
        <v>60238</v>
      </c>
      <c r="K295" s="32">
        <f>ROUND(Table1[[#This Row],[Content.Column14]] * 1000, 0)</f>
        <v>62275</v>
      </c>
      <c r="L295" s="30">
        <f>ROUND(Table1[[#This Row],[Content.Column3]] * 1000, 0)</f>
        <v>45925</v>
      </c>
      <c r="M295" s="30">
        <f>ROUND(Table1[[#This Row],[Content.Column4]] * 1000, 0)</f>
        <v>25162</v>
      </c>
      <c r="N295" s="30">
        <f>ROUND(Table1[[#This Row],[Content.Column5]] * 1000, 0)</f>
        <v>71086</v>
      </c>
      <c r="O295" s="30">
        <f>ROUND(Table1[[#This Row],[Content.Column6]] * 1000, 0)</f>
        <v>73161</v>
      </c>
      <c r="P295" s="27"/>
      <c r="Q295" s="27"/>
      <c r="R295"/>
      <c r="S295"/>
    </row>
    <row r="296" spans="1:19" x14ac:dyDescent="0.3">
      <c r="A296">
        <v>2015</v>
      </c>
      <c r="B296" t="s">
        <v>35</v>
      </c>
      <c r="C296" t="s">
        <v>34</v>
      </c>
      <c r="D296" s="34">
        <f>ROUND(Table1[[#This Row],[Content.Column7]] * 1000, 0)</f>
        <v>16057</v>
      </c>
      <c r="E296" s="34">
        <f>ROUND(Table1[[#This Row],[Content.Column8]] * 1000, 0)</f>
        <v>4465</v>
      </c>
      <c r="F296" s="34">
        <f>ROUND(Table1[[#This Row],[Content.Column9]] * 1000, 0)</f>
        <v>20523</v>
      </c>
      <c r="G296" s="34">
        <f>ROUND(Table1[[#This Row],[Content.Column10]] * 1000, 0)</f>
        <v>20594</v>
      </c>
      <c r="H296" s="32">
        <f>ROUND(Table1[[#This Row],[Content.Column11]] * 1000, 0)</f>
        <v>67006</v>
      </c>
      <c r="I296" s="32">
        <f>ROUND(Table1[[#This Row],[Content.Column12]] * 1000, 0)</f>
        <v>26842</v>
      </c>
      <c r="J296" s="32">
        <f>ROUND(Table1[[#This Row],[Content.Column13]] * 1000, 0)</f>
        <v>93848</v>
      </c>
      <c r="K296" s="32">
        <f>ROUND(Table1[[#This Row],[Content.Column14]] * 1000, 0)</f>
        <v>96558</v>
      </c>
      <c r="L296" s="30">
        <f>ROUND(Table1[[#This Row],[Content.Column3]] * 1000, 0)</f>
        <v>83063</v>
      </c>
      <c r="M296" s="30">
        <f>ROUND(Table1[[#This Row],[Content.Column4]] * 1000, 0)</f>
        <v>31308</v>
      </c>
      <c r="N296" s="30">
        <f>ROUND(Table1[[#This Row],[Content.Column5]] * 1000, 0)</f>
        <v>114371</v>
      </c>
      <c r="O296" s="30">
        <f>ROUND(Table1[[#This Row],[Content.Column6]] * 1000, 0)</f>
        <v>117152</v>
      </c>
      <c r="P296" s="27"/>
      <c r="Q296" s="27"/>
      <c r="R296"/>
      <c r="S296"/>
    </row>
    <row r="297" spans="1:19" x14ac:dyDescent="0.3">
      <c r="A297">
        <v>2015</v>
      </c>
      <c r="B297" t="s">
        <v>37</v>
      </c>
      <c r="C297" t="s">
        <v>36</v>
      </c>
      <c r="D297" s="34">
        <f>ROUND(Table1[[#This Row],[Content.Column7]] * 1000, 0)</f>
        <v>8555</v>
      </c>
      <c r="E297" s="34">
        <f>ROUND(Table1[[#This Row],[Content.Column8]] * 1000, 0)</f>
        <v>5869</v>
      </c>
      <c r="F297" s="34">
        <f>ROUND(Table1[[#This Row],[Content.Column9]] * 1000, 0)</f>
        <v>14424</v>
      </c>
      <c r="G297" s="34">
        <f>ROUND(Table1[[#This Row],[Content.Column10]] * 1000, 0)</f>
        <v>14466</v>
      </c>
      <c r="H297" s="32">
        <f>ROUND(Table1[[#This Row],[Content.Column11]] * 1000, 0)</f>
        <v>58365</v>
      </c>
      <c r="I297" s="32">
        <f>ROUND(Table1[[#This Row],[Content.Column12]] * 1000, 0)</f>
        <v>32029</v>
      </c>
      <c r="J297" s="32">
        <f>ROUND(Table1[[#This Row],[Content.Column13]] * 1000, 0)</f>
        <v>90393</v>
      </c>
      <c r="K297" s="32">
        <f>ROUND(Table1[[#This Row],[Content.Column14]] * 1000, 0)</f>
        <v>94449</v>
      </c>
      <c r="L297" s="30">
        <f>ROUND(Table1[[#This Row],[Content.Column3]] * 1000, 0)</f>
        <v>66920</v>
      </c>
      <c r="M297" s="30">
        <f>ROUND(Table1[[#This Row],[Content.Column4]] * 1000, 0)</f>
        <v>37898</v>
      </c>
      <c r="N297" s="30">
        <f>ROUND(Table1[[#This Row],[Content.Column5]] * 1000, 0)</f>
        <v>104818</v>
      </c>
      <c r="O297" s="30">
        <f>ROUND(Table1[[#This Row],[Content.Column6]] * 1000, 0)</f>
        <v>108914</v>
      </c>
      <c r="P297" s="27"/>
      <c r="Q297" s="27"/>
      <c r="R297"/>
      <c r="S297"/>
    </row>
    <row r="298" spans="1:19" x14ac:dyDescent="0.3">
      <c r="A298">
        <v>2015</v>
      </c>
      <c r="B298" t="s">
        <v>39</v>
      </c>
      <c r="C298" t="s">
        <v>38</v>
      </c>
      <c r="D298" s="34">
        <f>ROUND(Table1[[#This Row],[Content.Column7]] * 1000, 0)</f>
        <v>35304</v>
      </c>
      <c r="E298" s="34">
        <f>ROUND(Table1[[#This Row],[Content.Column8]] * 1000, 0)</f>
        <v>8867</v>
      </c>
      <c r="F298" s="34">
        <f>ROUND(Table1[[#This Row],[Content.Column9]] * 1000, 0)</f>
        <v>44171</v>
      </c>
      <c r="G298" s="34">
        <f>ROUND(Table1[[#This Row],[Content.Column10]] * 1000, 0)</f>
        <v>44454</v>
      </c>
      <c r="H298" s="32">
        <f>ROUND(Table1[[#This Row],[Content.Column11]] * 1000, 0)</f>
        <v>228579</v>
      </c>
      <c r="I298" s="32">
        <f>ROUND(Table1[[#This Row],[Content.Column12]] * 1000, 0)</f>
        <v>68303</v>
      </c>
      <c r="J298" s="32">
        <f>ROUND(Table1[[#This Row],[Content.Column13]] * 1000, 0)</f>
        <v>296882</v>
      </c>
      <c r="K298" s="32">
        <f>ROUND(Table1[[#This Row],[Content.Column14]] * 1000, 0)</f>
        <v>309098</v>
      </c>
      <c r="L298" s="30">
        <f>ROUND(Table1[[#This Row],[Content.Column3]] * 1000, 0)</f>
        <v>263883</v>
      </c>
      <c r="M298" s="30">
        <f>ROUND(Table1[[#This Row],[Content.Column4]] * 1000, 0)</f>
        <v>77170</v>
      </c>
      <c r="N298" s="30">
        <f>ROUND(Table1[[#This Row],[Content.Column5]] * 1000, 0)</f>
        <v>341053</v>
      </c>
      <c r="O298" s="30">
        <f>ROUND(Table1[[#This Row],[Content.Column6]] * 1000, 0)</f>
        <v>353552</v>
      </c>
      <c r="P298" s="27"/>
      <c r="Q298" s="27"/>
      <c r="R298"/>
      <c r="S298"/>
    </row>
    <row r="299" spans="1:19" x14ac:dyDescent="0.3">
      <c r="A299">
        <v>2015</v>
      </c>
      <c r="B299" t="s">
        <v>41</v>
      </c>
      <c r="C299" t="s">
        <v>40</v>
      </c>
      <c r="D299" s="34">
        <f>ROUND(Table1[[#This Row],[Content.Column7]] * 1000, 0)</f>
        <v>15663</v>
      </c>
      <c r="E299" s="34">
        <f>ROUND(Table1[[#This Row],[Content.Column8]] * 1000, 0)</f>
        <v>7688</v>
      </c>
      <c r="F299" s="34">
        <f>ROUND(Table1[[#This Row],[Content.Column9]] * 1000, 0)</f>
        <v>23351</v>
      </c>
      <c r="G299" s="34">
        <f>ROUND(Table1[[#This Row],[Content.Column10]] * 1000, 0)</f>
        <v>23392</v>
      </c>
      <c r="H299" s="32">
        <f>ROUND(Table1[[#This Row],[Content.Column11]] * 1000, 0)</f>
        <v>62416</v>
      </c>
      <c r="I299" s="32">
        <f>ROUND(Table1[[#This Row],[Content.Column12]] * 1000, 0)</f>
        <v>30663</v>
      </c>
      <c r="J299" s="32">
        <f>ROUND(Table1[[#This Row],[Content.Column13]] * 1000, 0)</f>
        <v>93079</v>
      </c>
      <c r="K299" s="32">
        <f>ROUND(Table1[[#This Row],[Content.Column14]] * 1000, 0)</f>
        <v>96115</v>
      </c>
      <c r="L299" s="30">
        <f>ROUND(Table1[[#This Row],[Content.Column3]] * 1000, 0)</f>
        <v>78079</v>
      </c>
      <c r="M299" s="30">
        <f>ROUND(Table1[[#This Row],[Content.Column4]] * 1000, 0)</f>
        <v>38351</v>
      </c>
      <c r="N299" s="30">
        <f>ROUND(Table1[[#This Row],[Content.Column5]] * 1000, 0)</f>
        <v>116431</v>
      </c>
      <c r="O299" s="30">
        <f>ROUND(Table1[[#This Row],[Content.Column6]] * 1000, 0)</f>
        <v>119507</v>
      </c>
      <c r="P299" s="27"/>
      <c r="Q299" s="27"/>
      <c r="R299"/>
      <c r="S299"/>
    </row>
    <row r="300" spans="1:19" x14ac:dyDescent="0.3">
      <c r="A300">
        <v>2015</v>
      </c>
      <c r="B300" t="s">
        <v>43</v>
      </c>
      <c r="C300" t="s">
        <v>42</v>
      </c>
      <c r="D300" s="34">
        <f>ROUND(Table1[[#This Row],[Content.Column7]] * 1000, 0)</f>
        <v>13605</v>
      </c>
      <c r="E300" s="34">
        <f>ROUND(Table1[[#This Row],[Content.Column8]] * 1000, 0)</f>
        <v>4323</v>
      </c>
      <c r="F300" s="34">
        <f>ROUND(Table1[[#This Row],[Content.Column9]] * 1000, 0)</f>
        <v>17928</v>
      </c>
      <c r="G300" s="34">
        <f>ROUND(Table1[[#This Row],[Content.Column10]] * 1000, 0)</f>
        <v>17947</v>
      </c>
      <c r="H300" s="32">
        <f>ROUND(Table1[[#This Row],[Content.Column11]] * 1000, 0)</f>
        <v>78782</v>
      </c>
      <c r="I300" s="32">
        <f>ROUND(Table1[[#This Row],[Content.Column12]] * 1000, 0)</f>
        <v>31660</v>
      </c>
      <c r="J300" s="32">
        <f>ROUND(Table1[[#This Row],[Content.Column13]] * 1000, 0)</f>
        <v>110442</v>
      </c>
      <c r="K300" s="32">
        <f>ROUND(Table1[[#This Row],[Content.Column14]] * 1000, 0)</f>
        <v>113366</v>
      </c>
      <c r="L300" s="30">
        <f>ROUND(Table1[[#This Row],[Content.Column3]] * 1000, 0)</f>
        <v>92387</v>
      </c>
      <c r="M300" s="30">
        <f>ROUND(Table1[[#This Row],[Content.Column4]] * 1000, 0)</f>
        <v>35983</v>
      </c>
      <c r="N300" s="30">
        <f>ROUND(Table1[[#This Row],[Content.Column5]] * 1000, 0)</f>
        <v>128370</v>
      </c>
      <c r="O300" s="30">
        <f>ROUND(Table1[[#This Row],[Content.Column6]] * 1000, 0)</f>
        <v>131313</v>
      </c>
      <c r="P300" s="27"/>
      <c r="Q300" s="27"/>
      <c r="R300"/>
      <c r="S300"/>
    </row>
    <row r="301" spans="1:19" x14ac:dyDescent="0.3">
      <c r="A301">
        <v>2015</v>
      </c>
      <c r="B301" t="s">
        <v>45</v>
      </c>
      <c r="C301" t="s">
        <v>44</v>
      </c>
      <c r="D301" s="34">
        <f>ROUND(Table1[[#This Row],[Content.Column7]] * 1000, 0)</f>
        <v>14369</v>
      </c>
      <c r="E301" s="34">
        <f>ROUND(Table1[[#This Row],[Content.Column8]] * 1000, 0)</f>
        <v>7707</v>
      </c>
      <c r="F301" s="34">
        <f>ROUND(Table1[[#This Row],[Content.Column9]] * 1000, 0)</f>
        <v>22075</v>
      </c>
      <c r="G301" s="34">
        <f>ROUND(Table1[[#This Row],[Content.Column10]] * 1000, 0)</f>
        <v>22282</v>
      </c>
      <c r="H301" s="32">
        <f>ROUND(Table1[[#This Row],[Content.Column11]] * 1000, 0)</f>
        <v>54380</v>
      </c>
      <c r="I301" s="32">
        <f>ROUND(Table1[[#This Row],[Content.Column12]] * 1000, 0)</f>
        <v>25966</v>
      </c>
      <c r="J301" s="32">
        <f>ROUND(Table1[[#This Row],[Content.Column13]] * 1000, 0)</f>
        <v>80345</v>
      </c>
      <c r="K301" s="32">
        <f>ROUND(Table1[[#This Row],[Content.Column14]] * 1000, 0)</f>
        <v>83178</v>
      </c>
      <c r="L301" s="30">
        <f>ROUND(Table1[[#This Row],[Content.Column3]] * 1000, 0)</f>
        <v>68749</v>
      </c>
      <c r="M301" s="30">
        <f>ROUND(Table1[[#This Row],[Content.Column4]] * 1000, 0)</f>
        <v>33672</v>
      </c>
      <c r="N301" s="30">
        <f>ROUND(Table1[[#This Row],[Content.Column5]] * 1000, 0)</f>
        <v>102421</v>
      </c>
      <c r="O301" s="30">
        <f>ROUND(Table1[[#This Row],[Content.Column6]] * 1000, 0)</f>
        <v>105460</v>
      </c>
      <c r="P301" s="27"/>
      <c r="Q301" s="27"/>
      <c r="R301"/>
      <c r="S301"/>
    </row>
    <row r="302" spans="1:19" x14ac:dyDescent="0.3">
      <c r="A302">
        <v>2015</v>
      </c>
      <c r="B302" t="s">
        <v>47</v>
      </c>
      <c r="C302" t="s">
        <v>46</v>
      </c>
      <c r="D302" s="34">
        <f>ROUND(Table1[[#This Row],[Content.Column7]] * 1000, 0)</f>
        <v>12794</v>
      </c>
      <c r="E302" s="34">
        <f>ROUND(Table1[[#This Row],[Content.Column8]] * 1000, 0)</f>
        <v>8977</v>
      </c>
      <c r="F302" s="34">
        <f>ROUND(Table1[[#This Row],[Content.Column9]] * 1000, 0)</f>
        <v>21771</v>
      </c>
      <c r="G302" s="34">
        <f>ROUND(Table1[[#This Row],[Content.Column10]] * 1000, 0)</f>
        <v>21775</v>
      </c>
      <c r="H302" s="32">
        <f>ROUND(Table1[[#This Row],[Content.Column11]] * 1000, 0)</f>
        <v>36370</v>
      </c>
      <c r="I302" s="32">
        <f>ROUND(Table1[[#This Row],[Content.Column12]] * 1000, 0)</f>
        <v>21751</v>
      </c>
      <c r="J302" s="32">
        <f>ROUND(Table1[[#This Row],[Content.Column13]] * 1000, 0)</f>
        <v>58121</v>
      </c>
      <c r="K302" s="32">
        <f>ROUND(Table1[[#This Row],[Content.Column14]] * 1000, 0)</f>
        <v>60114</v>
      </c>
      <c r="L302" s="30">
        <f>ROUND(Table1[[#This Row],[Content.Column3]] * 1000, 0)</f>
        <v>49164</v>
      </c>
      <c r="M302" s="30">
        <f>ROUND(Table1[[#This Row],[Content.Column4]] * 1000, 0)</f>
        <v>30727</v>
      </c>
      <c r="N302" s="30">
        <f>ROUND(Table1[[#This Row],[Content.Column5]] * 1000, 0)</f>
        <v>79891</v>
      </c>
      <c r="O302" s="30">
        <f>ROUND(Table1[[#This Row],[Content.Column6]] * 1000, 0)</f>
        <v>81889</v>
      </c>
      <c r="P302" s="27"/>
      <c r="Q302" s="27"/>
      <c r="R302"/>
      <c r="S302"/>
    </row>
    <row r="303" spans="1:19" x14ac:dyDescent="0.3">
      <c r="A303">
        <v>2015</v>
      </c>
      <c r="B303" t="s">
        <v>49</v>
      </c>
      <c r="C303" t="s">
        <v>48</v>
      </c>
      <c r="D303" s="34">
        <f>ROUND(Table1[[#This Row],[Content.Column7]] * 1000, 0)</f>
        <v>14244</v>
      </c>
      <c r="E303" s="34">
        <f>ROUND(Table1[[#This Row],[Content.Column8]] * 1000, 0)</f>
        <v>5430</v>
      </c>
      <c r="F303" s="34">
        <f>ROUND(Table1[[#This Row],[Content.Column9]] * 1000, 0)</f>
        <v>19674</v>
      </c>
      <c r="G303" s="34">
        <f>ROUND(Table1[[#This Row],[Content.Column10]] * 1000, 0)</f>
        <v>19724</v>
      </c>
      <c r="H303" s="32">
        <f>ROUND(Table1[[#This Row],[Content.Column11]] * 1000, 0)</f>
        <v>65585</v>
      </c>
      <c r="I303" s="32">
        <f>ROUND(Table1[[#This Row],[Content.Column12]] * 1000, 0)</f>
        <v>23396</v>
      </c>
      <c r="J303" s="32">
        <f>ROUND(Table1[[#This Row],[Content.Column13]] * 1000, 0)</f>
        <v>88981</v>
      </c>
      <c r="K303" s="32">
        <f>ROUND(Table1[[#This Row],[Content.Column14]] * 1000, 0)</f>
        <v>93238</v>
      </c>
      <c r="L303" s="30">
        <f>ROUND(Table1[[#This Row],[Content.Column3]] * 1000, 0)</f>
        <v>79829</v>
      </c>
      <c r="M303" s="30">
        <f>ROUND(Table1[[#This Row],[Content.Column4]] * 1000, 0)</f>
        <v>28826</v>
      </c>
      <c r="N303" s="30">
        <f>ROUND(Table1[[#This Row],[Content.Column5]] * 1000, 0)</f>
        <v>108654</v>
      </c>
      <c r="O303" s="30">
        <f>ROUND(Table1[[#This Row],[Content.Column6]] * 1000, 0)</f>
        <v>112962</v>
      </c>
      <c r="P303" s="27"/>
      <c r="Q303" s="27"/>
      <c r="R303"/>
      <c r="S303"/>
    </row>
    <row r="304" spans="1:19" x14ac:dyDescent="0.3">
      <c r="A304">
        <v>2015</v>
      </c>
      <c r="B304" t="s">
        <v>51</v>
      </c>
      <c r="C304" t="s">
        <v>50</v>
      </c>
      <c r="D304" s="34">
        <f>ROUND(Table1[[#This Row],[Content.Column7]] * 1000, 0)</f>
        <v>17729</v>
      </c>
      <c r="E304" s="34">
        <f>ROUND(Table1[[#This Row],[Content.Column8]] * 1000, 0)</f>
        <v>3277</v>
      </c>
      <c r="F304" s="34">
        <f>ROUND(Table1[[#This Row],[Content.Column9]] * 1000, 0)</f>
        <v>21006</v>
      </c>
      <c r="G304" s="34">
        <f>ROUND(Table1[[#This Row],[Content.Column10]] * 1000, 0)</f>
        <v>21062</v>
      </c>
      <c r="H304" s="32">
        <f>ROUND(Table1[[#This Row],[Content.Column11]] * 1000, 0)</f>
        <v>79464</v>
      </c>
      <c r="I304" s="32">
        <f>ROUND(Table1[[#This Row],[Content.Column12]] * 1000, 0)</f>
        <v>34098</v>
      </c>
      <c r="J304" s="32">
        <f>ROUND(Table1[[#This Row],[Content.Column13]] * 1000, 0)</f>
        <v>113562</v>
      </c>
      <c r="K304" s="32">
        <f>ROUND(Table1[[#This Row],[Content.Column14]] * 1000, 0)</f>
        <v>116536</v>
      </c>
      <c r="L304" s="30">
        <f>ROUND(Table1[[#This Row],[Content.Column3]] * 1000, 0)</f>
        <v>97194</v>
      </c>
      <c r="M304" s="30">
        <f>ROUND(Table1[[#This Row],[Content.Column4]] * 1000, 0)</f>
        <v>37374</v>
      </c>
      <c r="N304" s="30">
        <f>ROUND(Table1[[#This Row],[Content.Column5]] * 1000, 0)</f>
        <v>134568</v>
      </c>
      <c r="O304" s="30">
        <f>ROUND(Table1[[#This Row],[Content.Column6]] * 1000, 0)</f>
        <v>137598</v>
      </c>
      <c r="P304" s="27"/>
      <c r="Q304" s="27"/>
      <c r="R304"/>
      <c r="S304"/>
    </row>
    <row r="305" spans="1:19" x14ac:dyDescent="0.3">
      <c r="A305">
        <v>2015</v>
      </c>
      <c r="B305" t="s">
        <v>53</v>
      </c>
      <c r="C305" t="s">
        <v>52</v>
      </c>
      <c r="D305" s="34">
        <f>ROUND(Table1[[#This Row],[Content.Column7]] * 1000, 0)</f>
        <v>9366</v>
      </c>
      <c r="E305" s="34">
        <f>ROUND(Table1[[#This Row],[Content.Column8]] * 1000, 0)</f>
        <v>3602</v>
      </c>
      <c r="F305" s="34">
        <f>ROUND(Table1[[#This Row],[Content.Column9]] * 1000, 0)</f>
        <v>12969</v>
      </c>
      <c r="G305" s="34">
        <f>ROUND(Table1[[#This Row],[Content.Column10]] * 1000, 0)</f>
        <v>12990</v>
      </c>
      <c r="H305" s="32">
        <f>ROUND(Table1[[#This Row],[Content.Column11]] * 1000, 0)</f>
        <v>35564</v>
      </c>
      <c r="I305" s="32">
        <f>ROUND(Table1[[#This Row],[Content.Column12]] * 1000, 0)</f>
        <v>19326</v>
      </c>
      <c r="J305" s="32">
        <f>ROUND(Table1[[#This Row],[Content.Column13]] * 1000, 0)</f>
        <v>54889</v>
      </c>
      <c r="K305" s="32">
        <f>ROUND(Table1[[#This Row],[Content.Column14]] * 1000, 0)</f>
        <v>57679</v>
      </c>
      <c r="L305" s="30">
        <f>ROUND(Table1[[#This Row],[Content.Column3]] * 1000, 0)</f>
        <v>44930</v>
      </c>
      <c r="M305" s="30">
        <f>ROUND(Table1[[#This Row],[Content.Column4]] * 1000, 0)</f>
        <v>22928</v>
      </c>
      <c r="N305" s="30">
        <f>ROUND(Table1[[#This Row],[Content.Column5]] * 1000, 0)</f>
        <v>67858</v>
      </c>
      <c r="O305" s="30">
        <f>ROUND(Table1[[#This Row],[Content.Column6]] * 1000, 0)</f>
        <v>70669</v>
      </c>
      <c r="P305" s="27"/>
      <c r="Q305" s="27"/>
      <c r="R305"/>
      <c r="S305"/>
    </row>
    <row r="306" spans="1:19" x14ac:dyDescent="0.3">
      <c r="A306">
        <v>2015</v>
      </c>
      <c r="B306" t="s">
        <v>55</v>
      </c>
      <c r="C306" t="s">
        <v>54</v>
      </c>
      <c r="D306" s="34">
        <f>ROUND(Table1[[#This Row],[Content.Column7]] * 1000, 0)</f>
        <v>5887</v>
      </c>
      <c r="E306" s="34">
        <f>ROUND(Table1[[#This Row],[Content.Column8]] * 1000, 0)</f>
        <v>4916</v>
      </c>
      <c r="F306" s="34">
        <f>ROUND(Table1[[#This Row],[Content.Column9]] * 1000, 0)</f>
        <v>10803</v>
      </c>
      <c r="G306" s="34">
        <f>ROUND(Table1[[#This Row],[Content.Column10]] * 1000, 0)</f>
        <v>10822</v>
      </c>
      <c r="H306" s="32">
        <f>ROUND(Table1[[#This Row],[Content.Column11]] * 1000, 0)</f>
        <v>41783</v>
      </c>
      <c r="I306" s="32">
        <f>ROUND(Table1[[#This Row],[Content.Column12]] * 1000, 0)</f>
        <v>18443</v>
      </c>
      <c r="J306" s="32">
        <f>ROUND(Table1[[#This Row],[Content.Column13]] * 1000, 0)</f>
        <v>60226</v>
      </c>
      <c r="K306" s="32">
        <f>ROUND(Table1[[#This Row],[Content.Column14]] * 1000, 0)</f>
        <v>62655</v>
      </c>
      <c r="L306" s="30">
        <f>ROUND(Table1[[#This Row],[Content.Column3]] * 1000, 0)</f>
        <v>47670</v>
      </c>
      <c r="M306" s="30">
        <f>ROUND(Table1[[#This Row],[Content.Column4]] * 1000, 0)</f>
        <v>23359</v>
      </c>
      <c r="N306" s="30">
        <f>ROUND(Table1[[#This Row],[Content.Column5]] * 1000, 0)</f>
        <v>71029</v>
      </c>
      <c r="O306" s="30">
        <f>ROUND(Table1[[#This Row],[Content.Column6]] * 1000, 0)</f>
        <v>73477</v>
      </c>
      <c r="P306" s="27"/>
      <c r="Q306" s="27"/>
      <c r="R306"/>
      <c r="S306"/>
    </row>
    <row r="307" spans="1:19" x14ac:dyDescent="0.3">
      <c r="A307">
        <v>2015</v>
      </c>
      <c r="B307" t="s">
        <v>57</v>
      </c>
      <c r="C307" t="s">
        <v>56</v>
      </c>
      <c r="D307" s="34">
        <f>ROUND(Table1[[#This Row],[Content.Column7]] * 1000, 0)</f>
        <v>10902</v>
      </c>
      <c r="E307" s="34">
        <f>ROUND(Table1[[#This Row],[Content.Column8]] * 1000, 0)</f>
        <v>5619</v>
      </c>
      <c r="F307" s="34">
        <f>ROUND(Table1[[#This Row],[Content.Column9]] * 1000, 0)</f>
        <v>16521</v>
      </c>
      <c r="G307" s="34">
        <f>ROUND(Table1[[#This Row],[Content.Column10]] * 1000, 0)</f>
        <v>16548</v>
      </c>
      <c r="H307" s="32">
        <f>ROUND(Table1[[#This Row],[Content.Column11]] * 1000, 0)</f>
        <v>41099</v>
      </c>
      <c r="I307" s="32">
        <f>ROUND(Table1[[#This Row],[Content.Column12]] * 1000, 0)</f>
        <v>21440</v>
      </c>
      <c r="J307" s="32">
        <f>ROUND(Table1[[#This Row],[Content.Column13]] * 1000, 0)</f>
        <v>62537</v>
      </c>
      <c r="K307" s="32">
        <f>ROUND(Table1[[#This Row],[Content.Column14]] * 1000, 0)</f>
        <v>64788</v>
      </c>
      <c r="L307" s="30">
        <f>ROUND(Table1[[#This Row],[Content.Column3]] * 1000, 0)</f>
        <v>52001</v>
      </c>
      <c r="M307" s="30">
        <f>ROUND(Table1[[#This Row],[Content.Column4]] * 1000, 0)</f>
        <v>27059</v>
      </c>
      <c r="N307" s="30">
        <f>ROUND(Table1[[#This Row],[Content.Column5]] * 1000, 0)</f>
        <v>79058</v>
      </c>
      <c r="O307" s="30">
        <f>ROUND(Table1[[#This Row],[Content.Column6]] * 1000, 0)</f>
        <v>81336</v>
      </c>
      <c r="P307" s="27"/>
      <c r="Q307" s="27"/>
      <c r="R307"/>
      <c r="S307"/>
    </row>
    <row r="308" spans="1:19" x14ac:dyDescent="0.3">
      <c r="A308">
        <v>2015</v>
      </c>
      <c r="B308" t="s">
        <v>59</v>
      </c>
      <c r="C308" t="s">
        <v>58</v>
      </c>
      <c r="D308" s="34">
        <f>ROUND(Table1[[#This Row],[Content.Column7]] * 1000, 0)</f>
        <v>14607</v>
      </c>
      <c r="E308" s="34">
        <f>ROUND(Table1[[#This Row],[Content.Column8]] * 1000, 0)</f>
        <v>8881</v>
      </c>
      <c r="F308" s="34">
        <f>ROUND(Table1[[#This Row],[Content.Column9]] * 1000, 0)</f>
        <v>23488</v>
      </c>
      <c r="G308" s="34">
        <f>ROUND(Table1[[#This Row],[Content.Column10]] * 1000, 0)</f>
        <v>23564</v>
      </c>
      <c r="H308" s="32">
        <f>ROUND(Table1[[#This Row],[Content.Column11]] * 1000, 0)</f>
        <v>120552</v>
      </c>
      <c r="I308" s="32">
        <f>ROUND(Table1[[#This Row],[Content.Column12]] * 1000, 0)</f>
        <v>37029</v>
      </c>
      <c r="J308" s="32">
        <f>ROUND(Table1[[#This Row],[Content.Column13]] * 1000, 0)</f>
        <v>157581</v>
      </c>
      <c r="K308" s="32">
        <f>ROUND(Table1[[#This Row],[Content.Column14]] * 1000, 0)</f>
        <v>160739</v>
      </c>
      <c r="L308" s="30">
        <f>ROUND(Table1[[#This Row],[Content.Column3]] * 1000, 0)</f>
        <v>135159</v>
      </c>
      <c r="M308" s="30">
        <f>ROUND(Table1[[#This Row],[Content.Column4]] * 1000, 0)</f>
        <v>45910</v>
      </c>
      <c r="N308" s="30">
        <f>ROUND(Table1[[#This Row],[Content.Column5]] * 1000, 0)</f>
        <v>181069</v>
      </c>
      <c r="O308" s="30">
        <f>ROUND(Table1[[#This Row],[Content.Column6]] * 1000, 0)</f>
        <v>184303</v>
      </c>
      <c r="P308" s="27"/>
      <c r="Q308" s="27"/>
      <c r="R308"/>
      <c r="S308"/>
    </row>
    <row r="309" spans="1:19" x14ac:dyDescent="0.3">
      <c r="A309">
        <v>2015</v>
      </c>
      <c r="B309" t="s">
        <v>61</v>
      </c>
      <c r="C309" t="s">
        <v>60</v>
      </c>
      <c r="D309" s="34">
        <f>ROUND(Table1[[#This Row],[Content.Column7]] * 1000, 0)</f>
        <v>10249</v>
      </c>
      <c r="E309" s="34">
        <f>ROUND(Table1[[#This Row],[Content.Column8]] * 1000, 0)</f>
        <v>3775</v>
      </c>
      <c r="F309" s="34">
        <f>ROUND(Table1[[#This Row],[Content.Column9]] * 1000, 0)</f>
        <v>14024</v>
      </c>
      <c r="G309" s="34">
        <f>ROUND(Table1[[#This Row],[Content.Column10]] * 1000, 0)</f>
        <v>14042</v>
      </c>
      <c r="H309" s="32">
        <f>ROUND(Table1[[#This Row],[Content.Column11]] * 1000, 0)</f>
        <v>105622</v>
      </c>
      <c r="I309" s="32">
        <f>ROUND(Table1[[#This Row],[Content.Column12]] * 1000, 0)</f>
        <v>41435</v>
      </c>
      <c r="J309" s="32">
        <f>ROUND(Table1[[#This Row],[Content.Column13]] * 1000, 0)</f>
        <v>147057</v>
      </c>
      <c r="K309" s="32">
        <f>ROUND(Table1[[#This Row],[Content.Column14]] * 1000, 0)</f>
        <v>149334</v>
      </c>
      <c r="L309" s="30">
        <f>ROUND(Table1[[#This Row],[Content.Column3]] * 1000, 0)</f>
        <v>115871</v>
      </c>
      <c r="M309" s="30">
        <f>ROUND(Table1[[#This Row],[Content.Column4]] * 1000, 0)</f>
        <v>45211</v>
      </c>
      <c r="N309" s="30">
        <f>ROUND(Table1[[#This Row],[Content.Column5]] * 1000, 0)</f>
        <v>161082</v>
      </c>
      <c r="O309" s="30">
        <f>ROUND(Table1[[#This Row],[Content.Column6]] * 1000, 0)</f>
        <v>163376</v>
      </c>
      <c r="P309" s="27"/>
      <c r="Q309" s="27"/>
      <c r="R309"/>
      <c r="S309"/>
    </row>
    <row r="310" spans="1:19" x14ac:dyDescent="0.3">
      <c r="A310">
        <v>2015</v>
      </c>
      <c r="B310" t="s">
        <v>63</v>
      </c>
      <c r="C310" t="s">
        <v>62</v>
      </c>
      <c r="D310" s="34">
        <f>ROUND(Table1[[#This Row],[Content.Column7]] * 1000, 0)</f>
        <v>22338</v>
      </c>
      <c r="E310" s="34">
        <f>ROUND(Table1[[#This Row],[Content.Column8]] * 1000, 0)</f>
        <v>5256</v>
      </c>
      <c r="F310" s="34">
        <f>ROUND(Table1[[#This Row],[Content.Column9]] * 1000, 0)</f>
        <v>27594</v>
      </c>
      <c r="G310" s="34">
        <f>ROUND(Table1[[#This Row],[Content.Column10]] * 1000, 0)</f>
        <v>27604</v>
      </c>
      <c r="H310" s="32">
        <f>ROUND(Table1[[#This Row],[Content.Column11]] * 1000, 0)</f>
        <v>155832</v>
      </c>
      <c r="I310" s="32">
        <f>ROUND(Table1[[#This Row],[Content.Column12]] * 1000, 0)</f>
        <v>39141</v>
      </c>
      <c r="J310" s="32">
        <f>ROUND(Table1[[#This Row],[Content.Column13]] * 1000, 0)</f>
        <v>194973</v>
      </c>
      <c r="K310" s="32">
        <f>ROUND(Table1[[#This Row],[Content.Column14]] * 1000, 0)</f>
        <v>201021</v>
      </c>
      <c r="L310" s="30">
        <f>ROUND(Table1[[#This Row],[Content.Column3]] * 1000, 0)</f>
        <v>178170</v>
      </c>
      <c r="M310" s="30">
        <f>ROUND(Table1[[#This Row],[Content.Column4]] * 1000, 0)</f>
        <v>44397</v>
      </c>
      <c r="N310" s="30">
        <f>ROUND(Table1[[#This Row],[Content.Column5]] * 1000, 0)</f>
        <v>222567</v>
      </c>
      <c r="O310" s="30">
        <f>ROUND(Table1[[#This Row],[Content.Column6]] * 1000, 0)</f>
        <v>228624</v>
      </c>
      <c r="P310" s="27"/>
      <c r="Q310" s="27"/>
      <c r="R310"/>
      <c r="S310"/>
    </row>
    <row r="311" spans="1:19" x14ac:dyDescent="0.3">
      <c r="A311">
        <v>2015</v>
      </c>
      <c r="B311" t="s">
        <v>65</v>
      </c>
      <c r="C311" t="s">
        <v>64</v>
      </c>
      <c r="D311" s="34">
        <f>ROUND(Table1[[#This Row],[Content.Column7]] * 1000, 0)</f>
        <v>13634</v>
      </c>
      <c r="E311" s="34">
        <f>ROUND(Table1[[#This Row],[Content.Column8]] * 1000, 0)</f>
        <v>6015</v>
      </c>
      <c r="F311" s="34">
        <f>ROUND(Table1[[#This Row],[Content.Column9]] * 1000, 0)</f>
        <v>19649</v>
      </c>
      <c r="G311" s="34">
        <f>ROUND(Table1[[#This Row],[Content.Column10]] * 1000, 0)</f>
        <v>19655</v>
      </c>
      <c r="H311" s="32">
        <f>ROUND(Table1[[#This Row],[Content.Column11]] * 1000, 0)</f>
        <v>79006</v>
      </c>
      <c r="I311" s="32">
        <f>ROUND(Table1[[#This Row],[Content.Column12]] * 1000, 0)</f>
        <v>29119</v>
      </c>
      <c r="J311" s="32">
        <f>ROUND(Table1[[#This Row],[Content.Column13]] * 1000, 0)</f>
        <v>108126</v>
      </c>
      <c r="K311" s="32">
        <f>ROUND(Table1[[#This Row],[Content.Column14]] * 1000, 0)</f>
        <v>112869</v>
      </c>
      <c r="L311" s="30">
        <f>ROUND(Table1[[#This Row],[Content.Column3]] * 1000, 0)</f>
        <v>92640</v>
      </c>
      <c r="M311" s="30">
        <f>ROUND(Table1[[#This Row],[Content.Column4]] * 1000, 0)</f>
        <v>35135</v>
      </c>
      <c r="N311" s="30">
        <f>ROUND(Table1[[#This Row],[Content.Column5]] * 1000, 0)</f>
        <v>127775</v>
      </c>
      <c r="O311" s="30">
        <f>ROUND(Table1[[#This Row],[Content.Column6]] * 1000, 0)</f>
        <v>132523</v>
      </c>
      <c r="P311" s="27"/>
      <c r="Q311" s="27"/>
      <c r="R311"/>
      <c r="S311"/>
    </row>
    <row r="312" spans="1:19" x14ac:dyDescent="0.3">
      <c r="A312">
        <v>2015</v>
      </c>
      <c r="B312" t="s">
        <v>67</v>
      </c>
      <c r="C312" t="s">
        <v>66</v>
      </c>
      <c r="D312" s="34">
        <f>ROUND(Table1[[#This Row],[Content.Column7]] * 1000, 0)</f>
        <v>7229</v>
      </c>
      <c r="E312" s="34">
        <f>ROUND(Table1[[#This Row],[Content.Column8]] * 1000, 0)</f>
        <v>4858</v>
      </c>
      <c r="F312" s="34">
        <f>ROUND(Table1[[#This Row],[Content.Column9]] * 1000, 0)</f>
        <v>12087</v>
      </c>
      <c r="G312" s="34">
        <f>ROUND(Table1[[#This Row],[Content.Column10]] * 1000, 0)</f>
        <v>12112</v>
      </c>
      <c r="H312" s="32">
        <f>ROUND(Table1[[#This Row],[Content.Column11]] * 1000, 0)</f>
        <v>44317</v>
      </c>
      <c r="I312" s="32">
        <f>ROUND(Table1[[#This Row],[Content.Column12]] * 1000, 0)</f>
        <v>25264</v>
      </c>
      <c r="J312" s="32">
        <f>ROUND(Table1[[#This Row],[Content.Column13]] * 1000, 0)</f>
        <v>69581</v>
      </c>
      <c r="K312" s="32">
        <f>ROUND(Table1[[#This Row],[Content.Column14]] * 1000, 0)</f>
        <v>71440</v>
      </c>
      <c r="L312" s="30">
        <f>ROUND(Table1[[#This Row],[Content.Column3]] * 1000, 0)</f>
        <v>51547</v>
      </c>
      <c r="M312" s="30">
        <f>ROUND(Table1[[#This Row],[Content.Column4]] * 1000, 0)</f>
        <v>30121</v>
      </c>
      <c r="N312" s="30">
        <f>ROUND(Table1[[#This Row],[Content.Column5]] * 1000, 0)</f>
        <v>81668</v>
      </c>
      <c r="O312" s="30">
        <f>ROUND(Table1[[#This Row],[Content.Column6]] * 1000, 0)</f>
        <v>83552</v>
      </c>
      <c r="P312" s="27"/>
      <c r="Q312" s="27"/>
      <c r="R312"/>
      <c r="S312"/>
    </row>
    <row r="313" spans="1:19" x14ac:dyDescent="0.3">
      <c r="A313">
        <v>2015</v>
      </c>
      <c r="B313" t="s">
        <v>69</v>
      </c>
      <c r="C313" t="s">
        <v>68</v>
      </c>
      <c r="D313" s="34">
        <f>ROUND(Table1[[#This Row],[Content.Column7]] * 1000, 0)</f>
        <v>27420</v>
      </c>
      <c r="E313" s="34">
        <f>ROUND(Table1[[#This Row],[Content.Column8]] * 1000, 0)</f>
        <v>8961</v>
      </c>
      <c r="F313" s="34">
        <f>ROUND(Table1[[#This Row],[Content.Column9]] * 1000, 0)</f>
        <v>36381</v>
      </c>
      <c r="G313" s="34">
        <f>ROUND(Table1[[#This Row],[Content.Column10]] * 1000, 0)</f>
        <v>36447</v>
      </c>
      <c r="H313" s="32">
        <f>ROUND(Table1[[#This Row],[Content.Column11]] * 1000, 0)</f>
        <v>80498</v>
      </c>
      <c r="I313" s="32">
        <f>ROUND(Table1[[#This Row],[Content.Column12]] * 1000, 0)</f>
        <v>36252</v>
      </c>
      <c r="J313" s="32">
        <f>ROUND(Table1[[#This Row],[Content.Column13]] * 1000, 0)</f>
        <v>116750</v>
      </c>
      <c r="K313" s="32">
        <f>ROUND(Table1[[#This Row],[Content.Column14]] * 1000, 0)</f>
        <v>126031</v>
      </c>
      <c r="L313" s="30">
        <f>ROUND(Table1[[#This Row],[Content.Column3]] * 1000, 0)</f>
        <v>107918</v>
      </c>
      <c r="M313" s="30">
        <f>ROUND(Table1[[#This Row],[Content.Column4]] * 1000, 0)</f>
        <v>45213</v>
      </c>
      <c r="N313" s="30">
        <f>ROUND(Table1[[#This Row],[Content.Column5]] * 1000, 0)</f>
        <v>153131</v>
      </c>
      <c r="O313" s="30">
        <f>ROUND(Table1[[#This Row],[Content.Column6]] * 1000, 0)</f>
        <v>162479</v>
      </c>
      <c r="P313" s="27"/>
      <c r="Q313" s="27"/>
      <c r="R313"/>
      <c r="S313"/>
    </row>
    <row r="314" spans="1:19" x14ac:dyDescent="0.3">
      <c r="A314">
        <v>2015</v>
      </c>
      <c r="B314" t="s">
        <v>71</v>
      </c>
      <c r="C314" t="s">
        <v>70</v>
      </c>
      <c r="D314" s="34">
        <f>ROUND(Table1[[#This Row],[Content.Column7]] * 1000, 0)</f>
        <v>10096</v>
      </c>
      <c r="E314" s="34">
        <f>ROUND(Table1[[#This Row],[Content.Column8]] * 1000, 0)</f>
        <v>6659</v>
      </c>
      <c r="F314" s="34">
        <f>ROUND(Table1[[#This Row],[Content.Column9]] * 1000, 0)</f>
        <v>16755</v>
      </c>
      <c r="G314" s="34">
        <f>ROUND(Table1[[#This Row],[Content.Column10]] * 1000, 0)</f>
        <v>17107</v>
      </c>
      <c r="H314" s="32">
        <f>ROUND(Table1[[#This Row],[Content.Column11]] * 1000, 0)</f>
        <v>32097</v>
      </c>
      <c r="I314" s="32">
        <f>ROUND(Table1[[#This Row],[Content.Column12]] * 1000, 0)</f>
        <v>18443</v>
      </c>
      <c r="J314" s="32">
        <f>ROUND(Table1[[#This Row],[Content.Column13]] * 1000, 0)</f>
        <v>50540</v>
      </c>
      <c r="K314" s="32">
        <f>ROUND(Table1[[#This Row],[Content.Column14]] * 1000, 0)</f>
        <v>52623</v>
      </c>
      <c r="L314" s="30">
        <f>ROUND(Table1[[#This Row],[Content.Column3]] * 1000, 0)</f>
        <v>42193</v>
      </c>
      <c r="M314" s="30">
        <f>ROUND(Table1[[#This Row],[Content.Column4]] * 1000, 0)</f>
        <v>25102</v>
      </c>
      <c r="N314" s="30">
        <f>ROUND(Table1[[#This Row],[Content.Column5]] * 1000, 0)</f>
        <v>67295</v>
      </c>
      <c r="O314" s="30">
        <f>ROUND(Table1[[#This Row],[Content.Column6]] * 1000, 0)</f>
        <v>69729</v>
      </c>
      <c r="P314" s="27"/>
      <c r="Q314" s="27"/>
      <c r="R314"/>
      <c r="S314"/>
    </row>
    <row r="315" spans="1:19" x14ac:dyDescent="0.3">
      <c r="A315">
        <v>2015</v>
      </c>
      <c r="B315" t="s">
        <v>73</v>
      </c>
      <c r="C315" t="s">
        <v>72</v>
      </c>
      <c r="D315" s="34">
        <f>ROUND(Table1[[#This Row],[Content.Column7]] * 1000, 0)</f>
        <v>6553</v>
      </c>
      <c r="E315" s="34">
        <f>ROUND(Table1[[#This Row],[Content.Column8]] * 1000, 0)</f>
        <v>3241</v>
      </c>
      <c r="F315" s="34">
        <f>ROUND(Table1[[#This Row],[Content.Column9]] * 1000, 0)</f>
        <v>9794</v>
      </c>
      <c r="G315" s="34">
        <f>ROUND(Table1[[#This Row],[Content.Column10]] * 1000, 0)</f>
        <v>9812</v>
      </c>
      <c r="H315" s="32">
        <f>ROUND(Table1[[#This Row],[Content.Column11]] * 1000, 0)</f>
        <v>47529</v>
      </c>
      <c r="I315" s="32">
        <f>ROUND(Table1[[#This Row],[Content.Column12]] * 1000, 0)</f>
        <v>21630</v>
      </c>
      <c r="J315" s="32">
        <f>ROUND(Table1[[#This Row],[Content.Column13]] * 1000, 0)</f>
        <v>69159</v>
      </c>
      <c r="K315" s="32">
        <f>ROUND(Table1[[#This Row],[Content.Column14]] * 1000, 0)</f>
        <v>71057</v>
      </c>
      <c r="L315" s="30">
        <f>ROUND(Table1[[#This Row],[Content.Column3]] * 1000, 0)</f>
        <v>54082</v>
      </c>
      <c r="M315" s="30">
        <f>ROUND(Table1[[#This Row],[Content.Column4]] * 1000, 0)</f>
        <v>24871</v>
      </c>
      <c r="N315" s="30">
        <f>ROUND(Table1[[#This Row],[Content.Column5]] * 1000, 0)</f>
        <v>78954</v>
      </c>
      <c r="O315" s="30">
        <f>ROUND(Table1[[#This Row],[Content.Column6]] * 1000, 0)</f>
        <v>80869</v>
      </c>
      <c r="P315" s="27"/>
      <c r="Q315" s="27"/>
      <c r="R315"/>
      <c r="S315"/>
    </row>
    <row r="316" spans="1:19" x14ac:dyDescent="0.3">
      <c r="A316">
        <v>2015</v>
      </c>
      <c r="B316" t="s">
        <v>75</v>
      </c>
      <c r="C316" t="s">
        <v>74</v>
      </c>
      <c r="D316" s="34">
        <f>ROUND(Table1[[#This Row],[Content.Column7]] * 1000, 0)</f>
        <v>16118</v>
      </c>
      <c r="E316" s="34">
        <f>ROUND(Table1[[#This Row],[Content.Column8]] * 1000, 0)</f>
        <v>5896</v>
      </c>
      <c r="F316" s="34">
        <f>ROUND(Table1[[#This Row],[Content.Column9]] * 1000, 0)</f>
        <v>22015</v>
      </c>
      <c r="G316" s="34">
        <f>ROUND(Table1[[#This Row],[Content.Column10]] * 1000, 0)</f>
        <v>22028</v>
      </c>
      <c r="H316" s="32">
        <f>ROUND(Table1[[#This Row],[Content.Column11]] * 1000, 0)</f>
        <v>50465</v>
      </c>
      <c r="I316" s="32">
        <f>ROUND(Table1[[#This Row],[Content.Column12]] * 1000, 0)</f>
        <v>27110</v>
      </c>
      <c r="J316" s="32">
        <f>ROUND(Table1[[#This Row],[Content.Column13]] * 1000, 0)</f>
        <v>77575</v>
      </c>
      <c r="K316" s="32">
        <f>ROUND(Table1[[#This Row],[Content.Column14]] * 1000, 0)</f>
        <v>79804</v>
      </c>
      <c r="L316" s="30">
        <f>ROUND(Table1[[#This Row],[Content.Column3]] * 1000, 0)</f>
        <v>66583</v>
      </c>
      <c r="M316" s="30">
        <f>ROUND(Table1[[#This Row],[Content.Column4]] * 1000, 0)</f>
        <v>33006</v>
      </c>
      <c r="N316" s="30">
        <f>ROUND(Table1[[#This Row],[Content.Column5]] * 1000, 0)</f>
        <v>99590</v>
      </c>
      <c r="O316" s="30">
        <f>ROUND(Table1[[#This Row],[Content.Column6]] * 1000, 0)</f>
        <v>101832</v>
      </c>
      <c r="P316" s="27"/>
      <c r="Q316" s="27"/>
      <c r="R316"/>
      <c r="S316"/>
    </row>
    <row r="317" spans="1:19" x14ac:dyDescent="0.3">
      <c r="A317">
        <v>2015</v>
      </c>
      <c r="B317" t="s">
        <v>77</v>
      </c>
      <c r="C317" t="s">
        <v>76</v>
      </c>
      <c r="D317" s="34">
        <f>ROUND(Table1[[#This Row],[Content.Column7]] * 1000, 0)</f>
        <v>11325</v>
      </c>
      <c r="E317" s="34">
        <f>ROUND(Table1[[#This Row],[Content.Column8]] * 1000, 0)</f>
        <v>6065</v>
      </c>
      <c r="F317" s="34">
        <f>ROUND(Table1[[#This Row],[Content.Column9]] * 1000, 0)</f>
        <v>17391</v>
      </c>
      <c r="G317" s="34">
        <f>ROUND(Table1[[#This Row],[Content.Column10]] * 1000, 0)</f>
        <v>17398</v>
      </c>
      <c r="H317" s="32">
        <f>ROUND(Table1[[#This Row],[Content.Column11]] * 1000, 0)</f>
        <v>39788</v>
      </c>
      <c r="I317" s="32">
        <f>ROUND(Table1[[#This Row],[Content.Column12]] * 1000, 0)</f>
        <v>19711</v>
      </c>
      <c r="J317" s="32">
        <f>ROUND(Table1[[#This Row],[Content.Column13]] * 1000, 0)</f>
        <v>59499</v>
      </c>
      <c r="K317" s="32">
        <f>ROUND(Table1[[#This Row],[Content.Column14]] * 1000, 0)</f>
        <v>61828</v>
      </c>
      <c r="L317" s="30">
        <f>ROUND(Table1[[#This Row],[Content.Column3]] * 1000, 0)</f>
        <v>51113</v>
      </c>
      <c r="M317" s="30">
        <f>ROUND(Table1[[#This Row],[Content.Column4]] * 1000, 0)</f>
        <v>25777</v>
      </c>
      <c r="N317" s="30">
        <f>ROUND(Table1[[#This Row],[Content.Column5]] * 1000, 0)</f>
        <v>76890</v>
      </c>
      <c r="O317" s="30">
        <f>ROUND(Table1[[#This Row],[Content.Column6]] * 1000, 0)</f>
        <v>79226</v>
      </c>
      <c r="P317" s="27"/>
      <c r="Q317" s="27"/>
      <c r="R317"/>
      <c r="S317"/>
    </row>
    <row r="318" spans="1:19" x14ac:dyDescent="0.3">
      <c r="A318">
        <v>2015</v>
      </c>
      <c r="B318" t="s">
        <v>79</v>
      </c>
      <c r="C318" t="s">
        <v>78</v>
      </c>
      <c r="D318" s="34">
        <f>ROUND(Table1[[#This Row],[Content.Column7]] * 1000, 0)</f>
        <v>6636</v>
      </c>
      <c r="E318" s="34">
        <f>ROUND(Table1[[#This Row],[Content.Column8]] * 1000, 0)</f>
        <v>2736</v>
      </c>
      <c r="F318" s="34">
        <f>ROUND(Table1[[#This Row],[Content.Column9]] * 1000, 0)</f>
        <v>9371</v>
      </c>
      <c r="G318" s="34">
        <f>ROUND(Table1[[#This Row],[Content.Column10]] * 1000, 0)</f>
        <v>9399</v>
      </c>
      <c r="H318" s="32">
        <f>ROUND(Table1[[#This Row],[Content.Column11]] * 1000, 0)</f>
        <v>50158</v>
      </c>
      <c r="I318" s="32">
        <f>ROUND(Table1[[#This Row],[Content.Column12]] * 1000, 0)</f>
        <v>21497</v>
      </c>
      <c r="J318" s="32">
        <f>ROUND(Table1[[#This Row],[Content.Column13]] * 1000, 0)</f>
        <v>71655</v>
      </c>
      <c r="K318" s="32">
        <f>ROUND(Table1[[#This Row],[Content.Column14]] * 1000, 0)</f>
        <v>74675</v>
      </c>
      <c r="L318" s="30">
        <f>ROUND(Table1[[#This Row],[Content.Column3]] * 1000, 0)</f>
        <v>56794</v>
      </c>
      <c r="M318" s="30">
        <f>ROUND(Table1[[#This Row],[Content.Column4]] * 1000, 0)</f>
        <v>24233</v>
      </c>
      <c r="N318" s="30">
        <f>ROUND(Table1[[#This Row],[Content.Column5]] * 1000, 0)</f>
        <v>81027</v>
      </c>
      <c r="O318" s="30">
        <f>ROUND(Table1[[#This Row],[Content.Column6]] * 1000, 0)</f>
        <v>84074</v>
      </c>
      <c r="P318" s="27"/>
      <c r="Q318" s="27"/>
      <c r="R318"/>
      <c r="S318"/>
    </row>
    <row r="319" spans="1:19" x14ac:dyDescent="0.3">
      <c r="A319">
        <v>2015</v>
      </c>
      <c r="B319" t="s">
        <v>81</v>
      </c>
      <c r="C319" t="s">
        <v>80</v>
      </c>
      <c r="D319" s="34">
        <f>ROUND(Table1[[#This Row],[Content.Column7]] * 1000, 0)</f>
        <v>34141</v>
      </c>
      <c r="E319" s="34">
        <f>ROUND(Table1[[#This Row],[Content.Column8]] * 1000, 0)</f>
        <v>7242</v>
      </c>
      <c r="F319" s="34">
        <f>ROUND(Table1[[#This Row],[Content.Column9]] * 1000, 0)</f>
        <v>41383</v>
      </c>
      <c r="G319" s="34">
        <f>ROUND(Table1[[#This Row],[Content.Column10]] * 1000, 0)</f>
        <v>41595</v>
      </c>
      <c r="H319" s="32">
        <f>ROUND(Table1[[#This Row],[Content.Column11]] * 1000, 0)</f>
        <v>145696</v>
      </c>
      <c r="I319" s="32">
        <f>ROUND(Table1[[#This Row],[Content.Column12]] * 1000, 0)</f>
        <v>38014</v>
      </c>
      <c r="J319" s="32">
        <f>ROUND(Table1[[#This Row],[Content.Column13]] * 1000, 0)</f>
        <v>183710</v>
      </c>
      <c r="K319" s="32">
        <f>ROUND(Table1[[#This Row],[Content.Column14]] * 1000, 0)</f>
        <v>190598</v>
      </c>
      <c r="L319" s="30">
        <f>ROUND(Table1[[#This Row],[Content.Column3]] * 1000, 0)</f>
        <v>179837</v>
      </c>
      <c r="M319" s="30">
        <f>ROUND(Table1[[#This Row],[Content.Column4]] * 1000, 0)</f>
        <v>45256</v>
      </c>
      <c r="N319" s="30">
        <f>ROUND(Table1[[#This Row],[Content.Column5]] * 1000, 0)</f>
        <v>225093</v>
      </c>
      <c r="O319" s="30">
        <f>ROUND(Table1[[#This Row],[Content.Column6]] * 1000, 0)</f>
        <v>232193</v>
      </c>
      <c r="P319" s="27"/>
      <c r="Q319" s="27"/>
      <c r="R319"/>
      <c r="S319"/>
    </row>
    <row r="320" spans="1:19" x14ac:dyDescent="0.3">
      <c r="A320">
        <v>2015</v>
      </c>
      <c r="B320" t="s">
        <v>83</v>
      </c>
      <c r="C320" t="s">
        <v>82</v>
      </c>
      <c r="D320" s="34">
        <f>ROUND(Table1[[#This Row],[Content.Column7]] * 1000, 0)</f>
        <v>8352</v>
      </c>
      <c r="E320" s="34">
        <f>ROUND(Table1[[#This Row],[Content.Column8]] * 1000, 0)</f>
        <v>4624</v>
      </c>
      <c r="F320" s="34">
        <f>ROUND(Table1[[#This Row],[Content.Column9]] * 1000, 0)</f>
        <v>12977</v>
      </c>
      <c r="G320" s="34">
        <f>ROUND(Table1[[#This Row],[Content.Column10]] * 1000, 0)</f>
        <v>13022</v>
      </c>
      <c r="H320" s="32">
        <f>ROUND(Table1[[#This Row],[Content.Column11]] * 1000, 0)</f>
        <v>37152</v>
      </c>
      <c r="I320" s="32">
        <f>ROUND(Table1[[#This Row],[Content.Column12]] * 1000, 0)</f>
        <v>20010</v>
      </c>
      <c r="J320" s="32">
        <f>ROUND(Table1[[#This Row],[Content.Column13]] * 1000, 0)</f>
        <v>57162</v>
      </c>
      <c r="K320" s="32">
        <f>ROUND(Table1[[#This Row],[Content.Column14]] * 1000, 0)</f>
        <v>59087</v>
      </c>
      <c r="L320" s="30">
        <f>ROUND(Table1[[#This Row],[Content.Column3]] * 1000, 0)</f>
        <v>45504</v>
      </c>
      <c r="M320" s="30">
        <f>ROUND(Table1[[#This Row],[Content.Column4]] * 1000, 0)</f>
        <v>24634</v>
      </c>
      <c r="N320" s="30">
        <f>ROUND(Table1[[#This Row],[Content.Column5]] * 1000, 0)</f>
        <v>70138</v>
      </c>
      <c r="O320" s="30">
        <f>ROUND(Table1[[#This Row],[Content.Column6]] * 1000, 0)</f>
        <v>72109</v>
      </c>
      <c r="P320" s="27"/>
      <c r="Q320" s="27"/>
      <c r="R320"/>
      <c r="S320"/>
    </row>
    <row r="321" spans="1:19" x14ac:dyDescent="0.3">
      <c r="A321">
        <v>2015</v>
      </c>
      <c r="B321" t="s">
        <v>85</v>
      </c>
      <c r="C321" t="s">
        <v>84</v>
      </c>
      <c r="D321" s="34">
        <f>ROUND(Table1[[#This Row],[Content.Column7]] * 1000, 0)</f>
        <v>32392</v>
      </c>
      <c r="E321" s="34">
        <f>ROUND(Table1[[#This Row],[Content.Column8]] * 1000, 0)</f>
        <v>10864</v>
      </c>
      <c r="F321" s="34">
        <f>ROUND(Table1[[#This Row],[Content.Column9]] * 1000, 0)</f>
        <v>43255</v>
      </c>
      <c r="G321" s="34">
        <f>ROUND(Table1[[#This Row],[Content.Column10]] * 1000, 0)</f>
        <v>43293</v>
      </c>
      <c r="H321" s="32">
        <f>ROUND(Table1[[#This Row],[Content.Column11]] * 1000, 0)</f>
        <v>190877</v>
      </c>
      <c r="I321" s="32">
        <f>ROUND(Table1[[#This Row],[Content.Column12]] * 1000, 0)</f>
        <v>41442</v>
      </c>
      <c r="J321" s="32">
        <f>ROUND(Table1[[#This Row],[Content.Column13]] * 1000, 0)</f>
        <v>232319</v>
      </c>
      <c r="K321" s="32">
        <f>ROUND(Table1[[#This Row],[Content.Column14]] * 1000, 0)</f>
        <v>237620</v>
      </c>
      <c r="L321" s="30">
        <f>ROUND(Table1[[#This Row],[Content.Column3]] * 1000, 0)</f>
        <v>223269</v>
      </c>
      <c r="M321" s="30">
        <f>ROUND(Table1[[#This Row],[Content.Column4]] * 1000, 0)</f>
        <v>52306</v>
      </c>
      <c r="N321" s="30">
        <f>ROUND(Table1[[#This Row],[Content.Column5]] * 1000, 0)</f>
        <v>275574</v>
      </c>
      <c r="O321" s="30">
        <f>ROUND(Table1[[#This Row],[Content.Column6]] * 1000, 0)</f>
        <v>280913</v>
      </c>
      <c r="P321" s="27"/>
      <c r="Q321" s="27"/>
      <c r="R321"/>
      <c r="S321"/>
    </row>
    <row r="322" spans="1:19" x14ac:dyDescent="0.3">
      <c r="A322">
        <v>2015</v>
      </c>
      <c r="B322" t="s">
        <v>87</v>
      </c>
      <c r="C322" t="s">
        <v>86</v>
      </c>
      <c r="D322" s="34">
        <f>ROUND(Table1[[#This Row],[Content.Column7]] * 1000, 0)</f>
        <v>10646</v>
      </c>
      <c r="E322" s="34">
        <f>ROUND(Table1[[#This Row],[Content.Column8]] * 1000, 0)</f>
        <v>4918</v>
      </c>
      <c r="F322" s="34">
        <f>ROUND(Table1[[#This Row],[Content.Column9]] * 1000, 0)</f>
        <v>15564</v>
      </c>
      <c r="G322" s="34">
        <f>ROUND(Table1[[#This Row],[Content.Column10]] * 1000, 0)</f>
        <v>15601</v>
      </c>
      <c r="H322" s="32">
        <f>ROUND(Table1[[#This Row],[Content.Column11]] * 1000, 0)</f>
        <v>36181</v>
      </c>
      <c r="I322" s="32">
        <f>ROUND(Table1[[#This Row],[Content.Column12]] * 1000, 0)</f>
        <v>16437</v>
      </c>
      <c r="J322" s="32">
        <f>ROUND(Table1[[#This Row],[Content.Column13]] * 1000, 0)</f>
        <v>52619</v>
      </c>
      <c r="K322" s="32">
        <f>ROUND(Table1[[#This Row],[Content.Column14]] * 1000, 0)</f>
        <v>54877</v>
      </c>
      <c r="L322" s="30">
        <f>ROUND(Table1[[#This Row],[Content.Column3]] * 1000, 0)</f>
        <v>46827</v>
      </c>
      <c r="M322" s="30">
        <f>ROUND(Table1[[#This Row],[Content.Column4]] * 1000, 0)</f>
        <v>21355</v>
      </c>
      <c r="N322" s="30">
        <f>ROUND(Table1[[#This Row],[Content.Column5]] * 1000, 0)</f>
        <v>68183</v>
      </c>
      <c r="O322" s="30">
        <f>ROUND(Table1[[#This Row],[Content.Column6]] * 1000, 0)</f>
        <v>70478</v>
      </c>
      <c r="P322" s="27"/>
      <c r="Q322" s="27"/>
      <c r="R322"/>
      <c r="S322"/>
    </row>
    <row r="323" spans="1:19" x14ac:dyDescent="0.3">
      <c r="A323">
        <v>2015</v>
      </c>
      <c r="B323" t="s">
        <v>89</v>
      </c>
      <c r="C323" t="s">
        <v>88</v>
      </c>
      <c r="D323" s="34">
        <f>ROUND(Table1[[#This Row],[Content.Column7]] * 1000, 0)</f>
        <v>17704</v>
      </c>
      <c r="E323" s="34">
        <f>ROUND(Table1[[#This Row],[Content.Column8]] * 1000, 0)</f>
        <v>7656</v>
      </c>
      <c r="F323" s="34">
        <f>ROUND(Table1[[#This Row],[Content.Column9]] * 1000, 0)</f>
        <v>25360</v>
      </c>
      <c r="G323" s="34">
        <f>ROUND(Table1[[#This Row],[Content.Column10]] * 1000, 0)</f>
        <v>25395</v>
      </c>
      <c r="H323" s="32">
        <f>ROUND(Table1[[#This Row],[Content.Column11]] * 1000, 0)</f>
        <v>63507</v>
      </c>
      <c r="I323" s="32">
        <f>ROUND(Table1[[#This Row],[Content.Column12]] * 1000, 0)</f>
        <v>27581</v>
      </c>
      <c r="J323" s="32">
        <f>ROUND(Table1[[#This Row],[Content.Column13]] * 1000, 0)</f>
        <v>91088</v>
      </c>
      <c r="K323" s="32">
        <f>ROUND(Table1[[#This Row],[Content.Column14]] * 1000, 0)</f>
        <v>94335</v>
      </c>
      <c r="L323" s="30">
        <f>ROUND(Table1[[#This Row],[Content.Column3]] * 1000, 0)</f>
        <v>81210</v>
      </c>
      <c r="M323" s="30">
        <f>ROUND(Table1[[#This Row],[Content.Column4]] * 1000, 0)</f>
        <v>35237</v>
      </c>
      <c r="N323" s="30">
        <f>ROUND(Table1[[#This Row],[Content.Column5]] * 1000, 0)</f>
        <v>116447</v>
      </c>
      <c r="O323" s="30">
        <f>ROUND(Table1[[#This Row],[Content.Column6]] * 1000, 0)</f>
        <v>119730</v>
      </c>
      <c r="P323" s="27"/>
      <c r="Q323" s="27"/>
      <c r="R323"/>
      <c r="S323"/>
    </row>
    <row r="324" spans="1:19" x14ac:dyDescent="0.3">
      <c r="A324">
        <v>2015</v>
      </c>
      <c r="B324" t="s">
        <v>91</v>
      </c>
      <c r="C324" t="s">
        <v>90</v>
      </c>
      <c r="D324" s="34">
        <f>ROUND(Table1[[#This Row],[Content.Column7]] * 1000, 0)</f>
        <v>82634</v>
      </c>
      <c r="E324" s="34">
        <f>ROUND(Table1[[#This Row],[Content.Column8]] * 1000, 0)</f>
        <v>11573</v>
      </c>
      <c r="F324" s="34">
        <f>ROUND(Table1[[#This Row],[Content.Column9]] * 1000, 0)</f>
        <v>94206</v>
      </c>
      <c r="G324" s="34">
        <f>ROUND(Table1[[#This Row],[Content.Column10]] * 1000, 0)</f>
        <v>95383</v>
      </c>
      <c r="H324" s="32">
        <f>ROUND(Table1[[#This Row],[Content.Column11]] * 1000, 0)</f>
        <v>470251</v>
      </c>
      <c r="I324" s="32">
        <f>ROUND(Table1[[#This Row],[Content.Column12]] * 1000, 0)</f>
        <v>134641</v>
      </c>
      <c r="J324" s="32">
        <f>ROUND(Table1[[#This Row],[Content.Column13]] * 1000, 0)</f>
        <v>604893</v>
      </c>
      <c r="K324" s="32">
        <f>ROUND(Table1[[#This Row],[Content.Column14]] * 1000, 0)</f>
        <v>631117</v>
      </c>
      <c r="L324" s="30">
        <f>ROUND(Table1[[#This Row],[Content.Column3]] * 1000, 0)</f>
        <v>552885</v>
      </c>
      <c r="M324" s="30">
        <f>ROUND(Table1[[#This Row],[Content.Column4]] * 1000, 0)</f>
        <v>146214</v>
      </c>
      <c r="N324" s="30">
        <f>ROUND(Table1[[#This Row],[Content.Column5]] * 1000, 0)</f>
        <v>699099</v>
      </c>
      <c r="O324" s="30">
        <f>ROUND(Table1[[#This Row],[Content.Column6]] * 1000, 0)</f>
        <v>726500</v>
      </c>
      <c r="P324" s="27"/>
      <c r="Q324" s="27"/>
      <c r="R324"/>
      <c r="S324"/>
    </row>
    <row r="325" spans="1:19" x14ac:dyDescent="0.3">
      <c r="A325">
        <v>2015</v>
      </c>
      <c r="B325" t="s">
        <v>93</v>
      </c>
      <c r="C325" t="s">
        <v>92</v>
      </c>
      <c r="D325" s="34">
        <f>ROUND(Table1[[#This Row],[Content.Column7]] * 1000, 0)</f>
        <v>346355</v>
      </c>
      <c r="E325" s="34">
        <f>ROUND(Table1[[#This Row],[Content.Column8]] * 1000, 0)</f>
        <v>93689</v>
      </c>
      <c r="F325" s="34">
        <f>ROUND(Table1[[#This Row],[Content.Column9]] * 1000, 0)</f>
        <v>440043</v>
      </c>
      <c r="G325" s="34">
        <f>ROUND(Table1[[#This Row],[Content.Column10]] * 1000, 0)</f>
        <v>442390</v>
      </c>
      <c r="H325" s="32">
        <f>ROUND(Table1[[#This Row],[Content.Column11]] * 1000, 0)</f>
        <v>2043531</v>
      </c>
      <c r="I325" s="32">
        <f>ROUND(Table1[[#This Row],[Content.Column12]] * 1000, 0)</f>
        <v>594329</v>
      </c>
      <c r="J325" s="32">
        <f>ROUND(Table1[[#This Row],[Content.Column13]] * 1000, 0)</f>
        <v>2637860</v>
      </c>
      <c r="K325" s="32">
        <f>ROUND(Table1[[#This Row],[Content.Column14]] * 1000, 0)</f>
        <v>2742419</v>
      </c>
      <c r="L325" s="30">
        <f>ROUND(Table1[[#This Row],[Content.Column3]] * 1000, 0)</f>
        <v>2389886</v>
      </c>
      <c r="M325" s="30">
        <f>ROUND(Table1[[#This Row],[Content.Column4]] * 1000, 0)</f>
        <v>688017</v>
      </c>
      <c r="N325" s="30">
        <f>ROUND(Table1[[#This Row],[Content.Column5]] * 1000, 0)</f>
        <v>3077903</v>
      </c>
      <c r="O325" s="30">
        <f>ROUND(Table1[[#This Row],[Content.Column6]] * 1000, 0)</f>
        <v>3184810</v>
      </c>
      <c r="P325" s="27"/>
      <c r="Q325" s="27"/>
      <c r="R325"/>
      <c r="S325"/>
    </row>
    <row r="326" spans="1:19" x14ac:dyDescent="0.3">
      <c r="A326">
        <v>2015</v>
      </c>
      <c r="B326" t="s">
        <v>95</v>
      </c>
      <c r="C326" t="s">
        <v>94</v>
      </c>
      <c r="D326" s="34">
        <f>ROUND(Table1[[#This Row],[Content.Column7]] * 1000, 0)</f>
        <v>201639</v>
      </c>
      <c r="E326" s="34">
        <f>ROUND(Table1[[#This Row],[Content.Column8]] * 1000, 0)</f>
        <v>105018</v>
      </c>
      <c r="F326" s="34">
        <f>ROUND(Table1[[#This Row],[Content.Column9]] * 1000, 0)</f>
        <v>306658</v>
      </c>
      <c r="G326" s="34">
        <f>ROUND(Table1[[#This Row],[Content.Column10]] * 1000, 0)</f>
        <v>307443</v>
      </c>
      <c r="H326" s="32">
        <f>ROUND(Table1[[#This Row],[Content.Column11]] * 1000, 0)</f>
        <v>1059915</v>
      </c>
      <c r="I326" s="32">
        <f>ROUND(Table1[[#This Row],[Content.Column12]] * 1000, 0)</f>
        <v>479051</v>
      </c>
      <c r="J326" s="32">
        <f>ROUND(Table1[[#This Row],[Content.Column13]] * 1000, 0)</f>
        <v>1538964</v>
      </c>
      <c r="K326" s="32">
        <f>ROUND(Table1[[#This Row],[Content.Column14]] * 1000, 0)</f>
        <v>1588480</v>
      </c>
      <c r="L326" s="30">
        <f>ROUND(Table1[[#This Row],[Content.Column3]] * 1000, 0)</f>
        <v>1261554</v>
      </c>
      <c r="M326" s="30">
        <f>ROUND(Table1[[#This Row],[Content.Column4]] * 1000, 0)</f>
        <v>584069</v>
      </c>
      <c r="N326" s="30">
        <f>ROUND(Table1[[#This Row],[Content.Column5]] * 1000, 0)</f>
        <v>1845622</v>
      </c>
      <c r="O326" s="30">
        <f>ROUND(Table1[[#This Row],[Content.Column6]] * 1000, 0)</f>
        <v>1895923</v>
      </c>
      <c r="P326" s="27"/>
      <c r="Q326" s="27"/>
      <c r="R326"/>
      <c r="S326"/>
    </row>
    <row r="327" spans="1:19" x14ac:dyDescent="0.3">
      <c r="A327">
        <v>2015</v>
      </c>
      <c r="B327" t="s">
        <v>97</v>
      </c>
      <c r="C327" t="s">
        <v>96</v>
      </c>
      <c r="D327" s="34">
        <f>ROUND(Table1[[#This Row],[Content.Column7]] * 1000, 0)</f>
        <v>144051</v>
      </c>
      <c r="E327" s="34">
        <f>ROUND(Table1[[#This Row],[Content.Column8]] * 1000, 0)</f>
        <v>85022</v>
      </c>
      <c r="F327" s="34">
        <f>ROUND(Table1[[#This Row],[Content.Column9]] * 1000, 0)</f>
        <v>229073</v>
      </c>
      <c r="G327" s="34">
        <f>ROUND(Table1[[#This Row],[Content.Column10]] * 1000, 0)</f>
        <v>229202</v>
      </c>
      <c r="H327" s="32">
        <f>ROUND(Table1[[#This Row],[Content.Column11]] * 1000, 0)</f>
        <v>568508</v>
      </c>
      <c r="I327" s="32">
        <f>ROUND(Table1[[#This Row],[Content.Column12]] * 1000, 0)</f>
        <v>265888</v>
      </c>
      <c r="J327" s="32">
        <f>ROUND(Table1[[#This Row],[Content.Column13]] * 1000, 0)</f>
        <v>834395</v>
      </c>
      <c r="K327" s="32">
        <f>ROUND(Table1[[#This Row],[Content.Column14]] * 1000, 0)</f>
        <v>865224</v>
      </c>
      <c r="L327" s="30">
        <f>ROUND(Table1[[#This Row],[Content.Column3]] * 1000, 0)</f>
        <v>712559</v>
      </c>
      <c r="M327" s="30">
        <f>ROUND(Table1[[#This Row],[Content.Column4]] * 1000, 0)</f>
        <v>350910</v>
      </c>
      <c r="N327" s="30">
        <f>ROUND(Table1[[#This Row],[Content.Column5]] * 1000, 0)</f>
        <v>1063468</v>
      </c>
      <c r="O327" s="30">
        <f>ROUND(Table1[[#This Row],[Content.Column6]] * 1000, 0)</f>
        <v>1094425</v>
      </c>
      <c r="P327" s="27"/>
      <c r="Q327" s="27"/>
      <c r="R327"/>
      <c r="S327"/>
    </row>
    <row r="328" spans="1:19" x14ac:dyDescent="0.3">
      <c r="A328">
        <v>2015</v>
      </c>
      <c r="B328" t="s">
        <v>99</v>
      </c>
      <c r="C328" t="s">
        <v>98</v>
      </c>
      <c r="D328" s="34">
        <f>ROUND(Table1[[#This Row],[Content.Column7]] * 1000, 0)</f>
        <v>375007</v>
      </c>
      <c r="E328" s="34">
        <f>ROUND(Table1[[#This Row],[Content.Column8]] * 1000, 0)</f>
        <v>229337</v>
      </c>
      <c r="F328" s="34">
        <f>ROUND(Table1[[#This Row],[Content.Column9]] * 1000, 0)</f>
        <v>604344</v>
      </c>
      <c r="G328" s="34">
        <f>ROUND(Table1[[#This Row],[Content.Column10]] * 1000, 0)</f>
        <v>605867</v>
      </c>
      <c r="H328" s="32">
        <f>ROUND(Table1[[#This Row],[Content.Column11]] * 1000, 0)</f>
        <v>1782013</v>
      </c>
      <c r="I328" s="32">
        <f>ROUND(Table1[[#This Row],[Content.Column12]] * 1000, 0)</f>
        <v>776005</v>
      </c>
      <c r="J328" s="32">
        <f>ROUND(Table1[[#This Row],[Content.Column13]] * 1000, 0)</f>
        <v>2558017</v>
      </c>
      <c r="K328" s="32">
        <f>ROUND(Table1[[#This Row],[Content.Column14]] * 1000, 0)</f>
        <v>2657330</v>
      </c>
      <c r="L328" s="30">
        <f>ROUND(Table1[[#This Row],[Content.Column3]] * 1000, 0)</f>
        <v>2157020</v>
      </c>
      <c r="M328" s="30">
        <f>ROUND(Table1[[#This Row],[Content.Column4]] * 1000, 0)</f>
        <v>1005343</v>
      </c>
      <c r="N328" s="30">
        <f>ROUND(Table1[[#This Row],[Content.Column5]] * 1000, 0)</f>
        <v>3162361</v>
      </c>
      <c r="O328" s="30">
        <f>ROUND(Table1[[#This Row],[Content.Column6]] * 1000, 0)</f>
        <v>3263197</v>
      </c>
      <c r="P328" s="27"/>
      <c r="Q328" s="27"/>
      <c r="R328"/>
      <c r="S328"/>
    </row>
    <row r="329" spans="1:19" x14ac:dyDescent="0.3">
      <c r="A329">
        <v>2015</v>
      </c>
      <c r="B329" t="s">
        <v>101</v>
      </c>
      <c r="C329" t="s">
        <v>100</v>
      </c>
      <c r="D329" s="34">
        <f>ROUND(Table1[[#This Row],[Content.Column7]] * 1000, 0)</f>
        <v>274504</v>
      </c>
      <c r="E329" s="34">
        <f>ROUND(Table1[[#This Row],[Content.Column8]] * 1000, 0)</f>
        <v>175898</v>
      </c>
      <c r="F329" s="34">
        <f>ROUND(Table1[[#This Row],[Content.Column9]] * 1000, 0)</f>
        <v>450402</v>
      </c>
      <c r="G329" s="34">
        <f>ROUND(Table1[[#This Row],[Content.Column10]] * 1000, 0)</f>
        <v>451161</v>
      </c>
      <c r="H329" s="32">
        <f>ROUND(Table1[[#This Row],[Content.Column11]] * 1000, 0)</f>
        <v>1294666</v>
      </c>
      <c r="I329" s="32">
        <f>ROUND(Table1[[#This Row],[Content.Column12]] * 1000, 0)</f>
        <v>585265</v>
      </c>
      <c r="J329" s="32">
        <f>ROUND(Table1[[#This Row],[Content.Column13]] * 1000, 0)</f>
        <v>1879930</v>
      </c>
      <c r="K329" s="32">
        <f>ROUND(Table1[[#This Row],[Content.Column14]] * 1000, 0)</f>
        <v>1963706</v>
      </c>
      <c r="L329" s="30">
        <f>ROUND(Table1[[#This Row],[Content.Column3]] * 1000, 0)</f>
        <v>1569170</v>
      </c>
      <c r="M329" s="30">
        <f>ROUND(Table1[[#This Row],[Content.Column4]] * 1000, 0)</f>
        <v>761163</v>
      </c>
      <c r="N329" s="30">
        <f>ROUND(Table1[[#This Row],[Content.Column5]] * 1000, 0)</f>
        <v>2330332</v>
      </c>
      <c r="O329" s="30">
        <f>ROUND(Table1[[#This Row],[Content.Column6]] * 1000, 0)</f>
        <v>2414867</v>
      </c>
      <c r="P329" s="27"/>
      <c r="Q329" s="27"/>
      <c r="R329"/>
      <c r="S329"/>
    </row>
    <row r="330" spans="1:19" x14ac:dyDescent="0.3">
      <c r="A330">
        <v>2015</v>
      </c>
      <c r="B330" t="s">
        <v>103</v>
      </c>
      <c r="C330" t="s">
        <v>102</v>
      </c>
      <c r="D330" s="34">
        <f>ROUND(Table1[[#This Row],[Content.Column7]] * 1000, 0)</f>
        <v>194883</v>
      </c>
      <c r="E330" s="34">
        <f>ROUND(Table1[[#This Row],[Content.Column8]] * 1000, 0)</f>
        <v>134820</v>
      </c>
      <c r="F330" s="34">
        <f>ROUND(Table1[[#This Row],[Content.Column9]] * 1000, 0)</f>
        <v>329703</v>
      </c>
      <c r="G330" s="34">
        <f>ROUND(Table1[[#This Row],[Content.Column10]] * 1000, 0)</f>
        <v>330845</v>
      </c>
      <c r="H330" s="32">
        <f>ROUND(Table1[[#This Row],[Content.Column11]] * 1000, 0)</f>
        <v>1185365</v>
      </c>
      <c r="I330" s="32">
        <f>ROUND(Table1[[#This Row],[Content.Column12]] * 1000, 0)</f>
        <v>495247</v>
      </c>
      <c r="J330" s="32">
        <f>ROUND(Table1[[#This Row],[Content.Column13]] * 1000, 0)</f>
        <v>1680611</v>
      </c>
      <c r="K330" s="32">
        <f>ROUND(Table1[[#This Row],[Content.Column14]] * 1000, 0)</f>
        <v>1760411</v>
      </c>
      <c r="L330" s="30">
        <f>ROUND(Table1[[#This Row],[Content.Column3]] * 1000, 0)</f>
        <v>1380248</v>
      </c>
      <c r="M330" s="30">
        <f>ROUND(Table1[[#This Row],[Content.Column4]] * 1000, 0)</f>
        <v>630067</v>
      </c>
      <c r="N330" s="30">
        <f>ROUND(Table1[[#This Row],[Content.Column5]] * 1000, 0)</f>
        <v>2010314</v>
      </c>
      <c r="O330" s="30">
        <f>ROUND(Table1[[#This Row],[Content.Column6]] * 1000, 0)</f>
        <v>2091256</v>
      </c>
      <c r="P330" s="27"/>
      <c r="Q330" s="27"/>
      <c r="R330"/>
      <c r="S330"/>
    </row>
    <row r="331" spans="1:19" x14ac:dyDescent="0.3">
      <c r="A331">
        <v>2015</v>
      </c>
      <c r="B331" t="s">
        <v>105</v>
      </c>
      <c r="C331" t="s">
        <v>104</v>
      </c>
      <c r="D331" s="34">
        <f>ROUND(Table1[[#This Row],[Content.Column7]] * 1000, 0)</f>
        <v>264869</v>
      </c>
      <c r="E331" s="34">
        <f>ROUND(Table1[[#This Row],[Content.Column8]] * 1000, 0)</f>
        <v>169698</v>
      </c>
      <c r="F331" s="34">
        <f>ROUND(Table1[[#This Row],[Content.Column9]] * 1000, 0)</f>
        <v>434642</v>
      </c>
      <c r="G331" s="34">
        <f>ROUND(Table1[[#This Row],[Content.Column10]] * 1000, 0)</f>
        <v>435724</v>
      </c>
      <c r="H331" s="32">
        <f>ROUND(Table1[[#This Row],[Content.Column11]] * 1000, 0)</f>
        <v>1441913</v>
      </c>
      <c r="I331" s="32">
        <f>ROUND(Table1[[#This Row],[Content.Column12]] * 1000, 0)</f>
        <v>587978</v>
      </c>
      <c r="J331" s="32">
        <f>ROUND(Table1[[#This Row],[Content.Column13]] * 1000, 0)</f>
        <v>2029896</v>
      </c>
      <c r="K331" s="32">
        <f>ROUND(Table1[[#This Row],[Content.Column14]] * 1000, 0)</f>
        <v>2111121</v>
      </c>
      <c r="L331" s="30">
        <f>ROUND(Table1[[#This Row],[Content.Column3]] * 1000, 0)</f>
        <v>1706783</v>
      </c>
      <c r="M331" s="30">
        <f>ROUND(Table1[[#This Row],[Content.Column4]] * 1000, 0)</f>
        <v>757676</v>
      </c>
      <c r="N331" s="30">
        <f>ROUND(Table1[[#This Row],[Content.Column5]] * 1000, 0)</f>
        <v>2464538</v>
      </c>
      <c r="O331" s="30">
        <f>ROUND(Table1[[#This Row],[Content.Column6]] * 1000, 0)</f>
        <v>2546846</v>
      </c>
      <c r="P331" s="27"/>
      <c r="Q331" s="27"/>
      <c r="R331"/>
      <c r="S331"/>
    </row>
    <row r="332" spans="1:19" x14ac:dyDescent="0.3">
      <c r="A332">
        <v>2015</v>
      </c>
      <c r="B332" t="s">
        <v>107</v>
      </c>
      <c r="C332" t="s">
        <v>106</v>
      </c>
      <c r="D332" s="34">
        <f>ROUND(Table1[[#This Row],[Content.Column7]] * 1000, 0)</f>
        <v>227937</v>
      </c>
      <c r="E332" s="34">
        <f>ROUND(Table1[[#This Row],[Content.Column8]] * 1000, 0)</f>
        <v>176063</v>
      </c>
      <c r="F332" s="34">
        <f>ROUND(Table1[[#This Row],[Content.Column9]] * 1000, 0)</f>
        <v>404000</v>
      </c>
      <c r="G332" s="34">
        <f>ROUND(Table1[[#This Row],[Content.Column10]] * 1000, 0)</f>
        <v>404472</v>
      </c>
      <c r="H332" s="32">
        <f>ROUND(Table1[[#This Row],[Content.Column11]] * 1000, 0)</f>
        <v>1527686</v>
      </c>
      <c r="I332" s="32">
        <f>ROUND(Table1[[#This Row],[Content.Column12]] * 1000, 0)</f>
        <v>697804</v>
      </c>
      <c r="J332" s="32">
        <f>ROUND(Table1[[#This Row],[Content.Column13]] * 1000, 0)</f>
        <v>2225489</v>
      </c>
      <c r="K332" s="32">
        <f>ROUND(Table1[[#This Row],[Content.Column14]] * 1000, 0)</f>
        <v>2316270</v>
      </c>
      <c r="L332" s="30">
        <f>ROUND(Table1[[#This Row],[Content.Column3]] * 1000, 0)</f>
        <v>1755622</v>
      </c>
      <c r="M332" s="30">
        <f>ROUND(Table1[[#This Row],[Content.Column4]] * 1000, 0)</f>
        <v>873867</v>
      </c>
      <c r="N332" s="30">
        <f>ROUND(Table1[[#This Row],[Content.Column5]] * 1000, 0)</f>
        <v>2629489</v>
      </c>
      <c r="O332" s="30">
        <f>ROUND(Table1[[#This Row],[Content.Column6]] * 1000, 0)</f>
        <v>2720742</v>
      </c>
      <c r="P332" s="27"/>
      <c r="Q332" s="27"/>
      <c r="R332"/>
      <c r="S332"/>
    </row>
    <row r="333" spans="1:19" x14ac:dyDescent="0.3">
      <c r="A333">
        <v>2015</v>
      </c>
      <c r="B333" t="s">
        <v>109</v>
      </c>
      <c r="C333" t="s">
        <v>108</v>
      </c>
      <c r="D333" s="34">
        <f>ROUND(Table1[[#This Row],[Content.Column7]] * 1000, 0)</f>
        <v>547994</v>
      </c>
      <c r="E333" s="34">
        <f>ROUND(Table1[[#This Row],[Content.Column8]] * 1000, 0)</f>
        <v>198707</v>
      </c>
      <c r="F333" s="34">
        <f>ROUND(Table1[[#This Row],[Content.Column9]] * 1000, 0)</f>
        <v>746701</v>
      </c>
      <c r="G333" s="34">
        <f>ROUND(Table1[[#This Row],[Content.Column10]] * 1000, 0)</f>
        <v>749833</v>
      </c>
      <c r="H333" s="32">
        <f>ROUND(Table1[[#This Row],[Content.Column11]] * 1000, 0)</f>
        <v>3103446</v>
      </c>
      <c r="I333" s="32">
        <f>ROUND(Table1[[#This Row],[Content.Column12]] * 1000, 0)</f>
        <v>1073379</v>
      </c>
      <c r="J333" s="32">
        <f>ROUND(Table1[[#This Row],[Content.Column13]] * 1000, 0)</f>
        <v>4176825</v>
      </c>
      <c r="K333" s="32">
        <f>ROUND(Table1[[#This Row],[Content.Column14]] * 1000, 0)</f>
        <v>4330899</v>
      </c>
      <c r="L333" s="30">
        <f>ROUND(Table1[[#This Row],[Content.Column3]] * 1000, 0)</f>
        <v>3651440</v>
      </c>
      <c r="M333" s="30">
        <f>ROUND(Table1[[#This Row],[Content.Column4]] * 1000, 0)</f>
        <v>1272086</v>
      </c>
      <c r="N333" s="30">
        <f>ROUND(Table1[[#This Row],[Content.Column5]] * 1000, 0)</f>
        <v>4923526</v>
      </c>
      <c r="O333" s="30">
        <f>ROUND(Table1[[#This Row],[Content.Column6]] * 1000, 0)</f>
        <v>5080733</v>
      </c>
      <c r="P333" s="27"/>
      <c r="Q333" s="27"/>
      <c r="R333"/>
      <c r="S333"/>
    </row>
    <row r="334" spans="1:19" x14ac:dyDescent="0.3">
      <c r="A334">
        <v>2015</v>
      </c>
      <c r="B334" t="s">
        <v>111</v>
      </c>
      <c r="C334" t="s">
        <v>110</v>
      </c>
      <c r="D334" s="34">
        <f>ROUND(Table1[[#This Row],[Content.Column7]] * 1000, 0)</f>
        <v>359384</v>
      </c>
      <c r="E334" s="34">
        <f>ROUND(Table1[[#This Row],[Content.Column8]] * 1000, 0)</f>
        <v>238190</v>
      </c>
      <c r="F334" s="34">
        <f>ROUND(Table1[[#This Row],[Content.Column9]] * 1000, 0)</f>
        <v>597574</v>
      </c>
      <c r="G334" s="34">
        <f>ROUND(Table1[[#This Row],[Content.Column10]] * 1000, 0)</f>
        <v>599313</v>
      </c>
      <c r="H334" s="32">
        <f>ROUND(Table1[[#This Row],[Content.Column11]] * 1000, 0)</f>
        <v>2416315</v>
      </c>
      <c r="I334" s="32">
        <f>ROUND(Table1[[#This Row],[Content.Column12]] * 1000, 0)</f>
        <v>1059298</v>
      </c>
      <c r="J334" s="32">
        <f>ROUND(Table1[[#This Row],[Content.Column13]] * 1000, 0)</f>
        <v>3475613</v>
      </c>
      <c r="K334" s="32">
        <f>ROUND(Table1[[#This Row],[Content.Column14]] * 1000, 0)</f>
        <v>3606641</v>
      </c>
      <c r="L334" s="30">
        <f>ROUND(Table1[[#This Row],[Content.Column3]] * 1000, 0)</f>
        <v>2775699</v>
      </c>
      <c r="M334" s="30">
        <f>ROUND(Table1[[#This Row],[Content.Column4]] * 1000, 0)</f>
        <v>1297488</v>
      </c>
      <c r="N334" s="30">
        <f>ROUND(Table1[[#This Row],[Content.Column5]] * 1000, 0)</f>
        <v>4073187</v>
      </c>
      <c r="O334" s="30">
        <f>ROUND(Table1[[#This Row],[Content.Column6]] * 1000, 0)</f>
        <v>4205954</v>
      </c>
      <c r="P334" s="27"/>
      <c r="Q334" s="27"/>
      <c r="R334"/>
      <c r="S334"/>
    </row>
    <row r="335" spans="1:19" x14ac:dyDescent="0.3">
      <c r="A335">
        <v>2015</v>
      </c>
      <c r="B335" t="s">
        <v>113</v>
      </c>
      <c r="C335" t="s">
        <v>112</v>
      </c>
      <c r="D335" s="34">
        <f>ROUND(Table1[[#This Row],[Content.Column7]] * 1000, 0)</f>
        <v>231457</v>
      </c>
      <c r="E335" s="34">
        <f>ROUND(Table1[[#This Row],[Content.Column8]] * 1000, 0)</f>
        <v>166853</v>
      </c>
      <c r="F335" s="34">
        <f>ROUND(Table1[[#This Row],[Content.Column9]] * 1000, 0)</f>
        <v>398310</v>
      </c>
      <c r="G335" s="34">
        <f>ROUND(Table1[[#This Row],[Content.Column10]] * 1000, 0)</f>
        <v>399270</v>
      </c>
      <c r="H335" s="32">
        <f>ROUND(Table1[[#This Row],[Content.Column11]] * 1000, 0)</f>
        <v>1327147</v>
      </c>
      <c r="I335" s="32">
        <f>ROUND(Table1[[#This Row],[Content.Column12]] * 1000, 0)</f>
        <v>661820</v>
      </c>
      <c r="J335" s="32">
        <f>ROUND(Table1[[#This Row],[Content.Column13]] * 1000, 0)</f>
        <v>1988967</v>
      </c>
      <c r="K335" s="32">
        <f>ROUND(Table1[[#This Row],[Content.Column14]] * 1000, 0)</f>
        <v>2116354</v>
      </c>
      <c r="L335" s="30">
        <f>ROUND(Table1[[#This Row],[Content.Column3]] * 1000, 0)</f>
        <v>1558604</v>
      </c>
      <c r="M335" s="30">
        <f>ROUND(Table1[[#This Row],[Content.Column4]] * 1000, 0)</f>
        <v>828673</v>
      </c>
      <c r="N335" s="30">
        <f>ROUND(Table1[[#This Row],[Content.Column5]] * 1000, 0)</f>
        <v>2387277</v>
      </c>
      <c r="O335" s="30">
        <f>ROUND(Table1[[#This Row],[Content.Column6]] * 1000, 0)</f>
        <v>2515624</v>
      </c>
      <c r="P335" s="27"/>
      <c r="Q335" s="27"/>
      <c r="R335"/>
      <c r="S335"/>
    </row>
    <row r="336" spans="1:19" x14ac:dyDescent="0.3">
      <c r="A336">
        <v>2015</v>
      </c>
      <c r="B336" t="s">
        <v>115</v>
      </c>
      <c r="C336" t="s">
        <v>114</v>
      </c>
      <c r="D336" s="34">
        <f>ROUND(Table1[[#This Row],[Content.Column7]] * 1000, 0)</f>
        <v>171414</v>
      </c>
      <c r="E336" s="34">
        <f>ROUND(Table1[[#This Row],[Content.Column8]] * 1000, 0)</f>
        <v>127341</v>
      </c>
      <c r="F336" s="34">
        <f>ROUND(Table1[[#This Row],[Content.Column9]] * 1000, 0)</f>
        <v>298755</v>
      </c>
      <c r="G336" s="34">
        <f>ROUND(Table1[[#This Row],[Content.Column10]] * 1000, 0)</f>
        <v>299047</v>
      </c>
      <c r="H336" s="32">
        <f>ROUND(Table1[[#This Row],[Content.Column11]] * 1000, 0)</f>
        <v>620323</v>
      </c>
      <c r="I336" s="32">
        <f>ROUND(Table1[[#This Row],[Content.Column12]] * 1000, 0)</f>
        <v>313162</v>
      </c>
      <c r="J336" s="32">
        <f>ROUND(Table1[[#This Row],[Content.Column13]] * 1000, 0)</f>
        <v>933485</v>
      </c>
      <c r="K336" s="32">
        <f>ROUND(Table1[[#This Row],[Content.Column14]] * 1000, 0)</f>
        <v>1022490</v>
      </c>
      <c r="L336" s="30">
        <f>ROUND(Table1[[#This Row],[Content.Column3]] * 1000, 0)</f>
        <v>791738</v>
      </c>
      <c r="M336" s="30">
        <f>ROUND(Table1[[#This Row],[Content.Column4]] * 1000, 0)</f>
        <v>440503</v>
      </c>
      <c r="N336" s="30">
        <f>ROUND(Table1[[#This Row],[Content.Column5]] * 1000, 0)</f>
        <v>1232240</v>
      </c>
      <c r="O336" s="30">
        <f>ROUND(Table1[[#This Row],[Content.Column6]] * 1000, 0)</f>
        <v>1321537</v>
      </c>
      <c r="P336" s="27"/>
      <c r="Q336" s="27"/>
      <c r="R336"/>
      <c r="S336"/>
    </row>
    <row r="337" spans="1:19" x14ac:dyDescent="0.3">
      <c r="A337">
        <v>2015</v>
      </c>
      <c r="B337" t="s">
        <v>117</v>
      </c>
      <c r="C337" t="s">
        <v>116</v>
      </c>
      <c r="D337" s="34">
        <f>ROUND(Table1[[#This Row],[Content.Column7]] * 1000, 0)</f>
        <v>356731</v>
      </c>
      <c r="E337" s="34">
        <f>ROUND(Table1[[#This Row],[Content.Column8]] * 1000, 0)</f>
        <v>220209</v>
      </c>
      <c r="F337" s="34">
        <f>ROUND(Table1[[#This Row],[Content.Column9]] * 1000, 0)</f>
        <v>576940</v>
      </c>
      <c r="G337" s="34">
        <f>ROUND(Table1[[#This Row],[Content.Column10]] * 1000, 0)</f>
        <v>577069</v>
      </c>
      <c r="H337" s="32">
        <f>ROUND(Table1[[#This Row],[Content.Column11]] * 1000, 0)</f>
        <v>1269109</v>
      </c>
      <c r="I337" s="32">
        <f>ROUND(Table1[[#This Row],[Content.Column12]] * 1000, 0)</f>
        <v>615823</v>
      </c>
      <c r="J337" s="32">
        <f>ROUND(Table1[[#This Row],[Content.Column13]] * 1000, 0)</f>
        <v>1884931</v>
      </c>
      <c r="K337" s="32">
        <f>ROUND(Table1[[#This Row],[Content.Column14]] * 1000, 0)</f>
        <v>1986940</v>
      </c>
      <c r="L337" s="30">
        <f>ROUND(Table1[[#This Row],[Content.Column3]] * 1000, 0)</f>
        <v>1625840</v>
      </c>
      <c r="M337" s="30">
        <f>ROUND(Table1[[#This Row],[Content.Column4]] * 1000, 0)</f>
        <v>836032</v>
      </c>
      <c r="N337" s="30">
        <f>ROUND(Table1[[#This Row],[Content.Column5]] * 1000, 0)</f>
        <v>2461871</v>
      </c>
      <c r="O337" s="30">
        <f>ROUND(Table1[[#This Row],[Content.Column6]] * 1000, 0)</f>
        <v>2564009</v>
      </c>
      <c r="P337" s="27"/>
      <c r="Q337" s="27"/>
      <c r="R337"/>
      <c r="S337"/>
    </row>
    <row r="338" spans="1:19" x14ac:dyDescent="0.3">
      <c r="A338">
        <v>2015</v>
      </c>
      <c r="B338" t="s">
        <v>119</v>
      </c>
      <c r="C338" t="s">
        <v>118</v>
      </c>
      <c r="D338" s="34">
        <f>ROUND(Table1[[#This Row],[Content.Column7]] * 1000, 0)</f>
        <v>2620087</v>
      </c>
      <c r="E338" s="34">
        <f>ROUND(Table1[[#This Row],[Content.Column8]] * 1000, 0)</f>
        <v>1574587</v>
      </c>
      <c r="F338" s="34">
        <f>ROUND(Table1[[#This Row],[Content.Column9]] * 1000, 0)</f>
        <v>4194749</v>
      </c>
      <c r="G338" s="34">
        <f>ROUND(Table1[[#This Row],[Content.Column10]] * 1000, 0)</f>
        <v>4205688</v>
      </c>
      <c r="H338" s="32">
        <f>ROUND(Table1[[#This Row],[Content.Column11]] * 1000, 0)</f>
        <v>14647058</v>
      </c>
      <c r="I338" s="32">
        <f>ROUND(Table1[[#This Row],[Content.Column12]] * 1000, 0)</f>
        <v>6202684</v>
      </c>
      <c r="J338" s="32">
        <f>ROUND(Table1[[#This Row],[Content.Column13]] * 1000, 0)</f>
        <v>20849743</v>
      </c>
      <c r="K338" s="32">
        <f>ROUND(Table1[[#This Row],[Content.Column14]] * 1000, 0)</f>
        <v>21727955</v>
      </c>
      <c r="L338" s="30">
        <f>ROUND(Table1[[#This Row],[Content.Column3]] * 1000, 0)</f>
        <v>17267145</v>
      </c>
      <c r="M338" s="30">
        <f>ROUND(Table1[[#This Row],[Content.Column4]] * 1000, 0)</f>
        <v>7777272</v>
      </c>
      <c r="N338" s="30">
        <f>ROUND(Table1[[#This Row],[Content.Column5]] * 1000, 0)</f>
        <v>25044492</v>
      </c>
      <c r="O338" s="30">
        <f>ROUND(Table1[[#This Row],[Content.Column6]] * 1000, 0)</f>
        <v>25933644</v>
      </c>
      <c r="P338" s="27"/>
      <c r="Q338" s="27"/>
      <c r="R338"/>
      <c r="S338"/>
    </row>
    <row r="339" spans="1:19" x14ac:dyDescent="0.3">
      <c r="A339">
        <v>2015</v>
      </c>
      <c r="B339" t="s">
        <v>121</v>
      </c>
      <c r="C339" t="s">
        <v>120</v>
      </c>
      <c r="D339" s="34">
        <f>ROUND(Table1[[#This Row],[Content.Column7]] * 1000, 0)</f>
        <v>3148232</v>
      </c>
      <c r="E339" s="34">
        <f>ROUND(Table1[[#This Row],[Content.Column8]] * 1000, 0)</f>
        <v>1922138</v>
      </c>
      <c r="F339" s="34">
        <f>ROUND(Table1[[#This Row],[Content.Column9]] * 1000, 0)</f>
        <v>5070445</v>
      </c>
      <c r="G339" s="34">
        <f>ROUND(Table1[[#This Row],[Content.Column10]] * 1000, 0)</f>
        <v>5081804</v>
      </c>
      <c r="H339" s="32">
        <f>ROUND(Table1[[#This Row],[Content.Column11]] * 1000, 0)</f>
        <v>16536490</v>
      </c>
      <c r="I339" s="32">
        <f>ROUND(Table1[[#This Row],[Content.Column12]] * 1000, 0)</f>
        <v>7131668</v>
      </c>
      <c r="J339" s="32">
        <f>ROUND(Table1[[#This Row],[Content.Column13]] * 1000, 0)</f>
        <v>23668158</v>
      </c>
      <c r="K339" s="32">
        <f>ROUND(Table1[[#This Row],[Content.Column14]] * 1000, 0)</f>
        <v>24737385</v>
      </c>
      <c r="L339" s="30">
        <f>ROUND(Table1[[#This Row],[Content.Column3]] * 1000, 0)</f>
        <v>19684722</v>
      </c>
      <c r="M339" s="30">
        <f>ROUND(Table1[[#This Row],[Content.Column4]] * 1000, 0)</f>
        <v>9053806</v>
      </c>
      <c r="N339" s="30">
        <f>ROUND(Table1[[#This Row],[Content.Column5]] * 1000, 0)</f>
        <v>28738603</v>
      </c>
      <c r="O339" s="30">
        <f>ROUND(Table1[[#This Row],[Content.Column6]] * 1000, 0)</f>
        <v>29819189</v>
      </c>
      <c r="P339" s="27"/>
      <c r="Q339" s="27"/>
      <c r="R339"/>
      <c r="S339"/>
    </row>
    <row r="340" spans="1:19" x14ac:dyDescent="0.3">
      <c r="A340">
        <v>2016</v>
      </c>
      <c r="B340" t="s">
        <v>27</v>
      </c>
      <c r="C340" t="s">
        <v>26</v>
      </c>
      <c r="D340" s="34">
        <f>ROUND(Table1[[#This Row],[Content.Column7]] * 1000, 0)</f>
        <v>14769</v>
      </c>
      <c r="E340" s="34">
        <f>ROUND(Table1[[#This Row],[Content.Column8]] * 1000, 0)</f>
        <v>2773</v>
      </c>
      <c r="F340" s="34">
        <f>ROUND(Table1[[#This Row],[Content.Column9]] * 1000, 0)</f>
        <v>17542</v>
      </c>
      <c r="G340" s="34">
        <f>ROUND(Table1[[#This Row],[Content.Column10]] * 1000, 0)</f>
        <v>17579</v>
      </c>
      <c r="H340" s="32">
        <f>ROUND(Table1[[#This Row],[Content.Column11]] * 1000, 0)</f>
        <v>390521</v>
      </c>
      <c r="I340" s="32">
        <f>ROUND(Table1[[#This Row],[Content.Column12]] * 1000, 0)</f>
        <v>63578</v>
      </c>
      <c r="J340" s="32">
        <f>ROUND(Table1[[#This Row],[Content.Column13]] * 1000, 0)</f>
        <v>454099</v>
      </c>
      <c r="K340" s="32">
        <f>ROUND(Table1[[#This Row],[Content.Column14]] * 1000, 0)</f>
        <v>471216</v>
      </c>
      <c r="L340" s="30">
        <f>ROUND(Table1[[#This Row],[Content.Column3]] * 1000, 0)</f>
        <v>405290</v>
      </c>
      <c r="M340" s="30">
        <f>ROUND(Table1[[#This Row],[Content.Column4]] * 1000, 0)</f>
        <v>66351</v>
      </c>
      <c r="N340" s="30">
        <f>ROUND(Table1[[#This Row],[Content.Column5]] * 1000, 0)</f>
        <v>471641</v>
      </c>
      <c r="O340" s="30">
        <f>ROUND(Table1[[#This Row],[Content.Column6]] * 1000, 0)</f>
        <v>488795</v>
      </c>
      <c r="P340" s="27"/>
      <c r="Q340" s="27"/>
      <c r="R340"/>
      <c r="S340"/>
    </row>
    <row r="341" spans="1:19" x14ac:dyDescent="0.3">
      <c r="A341">
        <v>2016</v>
      </c>
      <c r="B341" t="s">
        <v>29</v>
      </c>
      <c r="C341" t="s">
        <v>28</v>
      </c>
      <c r="D341" s="34">
        <f>ROUND(Table1[[#This Row],[Content.Column7]] * 1000, 0)</f>
        <v>6573</v>
      </c>
      <c r="E341" s="34">
        <f>ROUND(Table1[[#This Row],[Content.Column8]] * 1000, 0)</f>
        <v>3884</v>
      </c>
      <c r="F341" s="34">
        <f>ROUND(Table1[[#This Row],[Content.Column9]] * 1000, 0)</f>
        <v>10456</v>
      </c>
      <c r="G341" s="34">
        <f>ROUND(Table1[[#This Row],[Content.Column10]] * 1000, 0)</f>
        <v>10461</v>
      </c>
      <c r="H341" s="32">
        <f>ROUND(Table1[[#This Row],[Content.Column11]] * 1000, 0)</f>
        <v>29737</v>
      </c>
      <c r="I341" s="32">
        <f>ROUND(Table1[[#This Row],[Content.Column12]] * 1000, 0)</f>
        <v>12040</v>
      </c>
      <c r="J341" s="32">
        <f>ROUND(Table1[[#This Row],[Content.Column13]] * 1000, 0)</f>
        <v>41777</v>
      </c>
      <c r="K341" s="32">
        <f>ROUND(Table1[[#This Row],[Content.Column14]] * 1000, 0)</f>
        <v>42835</v>
      </c>
      <c r="L341" s="30">
        <f>ROUND(Table1[[#This Row],[Content.Column3]] * 1000, 0)</f>
        <v>36310</v>
      </c>
      <c r="M341" s="30">
        <f>ROUND(Table1[[#This Row],[Content.Column4]] * 1000, 0)</f>
        <v>15923</v>
      </c>
      <c r="N341" s="30">
        <f>ROUND(Table1[[#This Row],[Content.Column5]] * 1000, 0)</f>
        <v>52234</v>
      </c>
      <c r="O341" s="30">
        <f>ROUND(Table1[[#This Row],[Content.Column6]] * 1000, 0)</f>
        <v>53296</v>
      </c>
      <c r="P341" s="27"/>
      <c r="Q341" s="27"/>
      <c r="R341"/>
      <c r="S341"/>
    </row>
    <row r="342" spans="1:19" x14ac:dyDescent="0.3">
      <c r="A342">
        <v>2016</v>
      </c>
      <c r="B342" t="s">
        <v>31</v>
      </c>
      <c r="C342" t="s">
        <v>30</v>
      </c>
      <c r="D342" s="34">
        <f>ROUND(Table1[[#This Row],[Content.Column7]] * 1000, 0)</f>
        <v>13901</v>
      </c>
      <c r="E342" s="34">
        <f>ROUND(Table1[[#This Row],[Content.Column8]] * 1000, 0)</f>
        <v>7915</v>
      </c>
      <c r="F342" s="34">
        <f>ROUND(Table1[[#This Row],[Content.Column9]] * 1000, 0)</f>
        <v>21816</v>
      </c>
      <c r="G342" s="34">
        <f>ROUND(Table1[[#This Row],[Content.Column10]] * 1000, 0)</f>
        <v>21831</v>
      </c>
      <c r="H342" s="32">
        <f>ROUND(Table1[[#This Row],[Content.Column11]] * 1000, 0)</f>
        <v>70943</v>
      </c>
      <c r="I342" s="32">
        <f>ROUND(Table1[[#This Row],[Content.Column12]] * 1000, 0)</f>
        <v>35197</v>
      </c>
      <c r="J342" s="32">
        <f>ROUND(Table1[[#This Row],[Content.Column13]] * 1000, 0)</f>
        <v>106140</v>
      </c>
      <c r="K342" s="32">
        <f>ROUND(Table1[[#This Row],[Content.Column14]] * 1000, 0)</f>
        <v>110090</v>
      </c>
      <c r="L342" s="30">
        <f>ROUND(Table1[[#This Row],[Content.Column3]] * 1000, 0)</f>
        <v>84844</v>
      </c>
      <c r="M342" s="30">
        <f>ROUND(Table1[[#This Row],[Content.Column4]] * 1000, 0)</f>
        <v>43112</v>
      </c>
      <c r="N342" s="30">
        <f>ROUND(Table1[[#This Row],[Content.Column5]] * 1000, 0)</f>
        <v>127956</v>
      </c>
      <c r="O342" s="30">
        <f>ROUND(Table1[[#This Row],[Content.Column6]] * 1000, 0)</f>
        <v>131921</v>
      </c>
      <c r="P342" s="27"/>
      <c r="Q342" s="27"/>
      <c r="R342"/>
      <c r="S342"/>
    </row>
    <row r="343" spans="1:19" x14ac:dyDescent="0.3">
      <c r="A343">
        <v>2016</v>
      </c>
      <c r="B343" t="s">
        <v>33</v>
      </c>
      <c r="C343" t="s">
        <v>32</v>
      </c>
      <c r="D343" s="34">
        <f>ROUND(Table1[[#This Row],[Content.Column7]] * 1000, 0)</f>
        <v>6838</v>
      </c>
      <c r="E343" s="34">
        <f>ROUND(Table1[[#This Row],[Content.Column8]] * 1000, 0)</f>
        <v>3985</v>
      </c>
      <c r="F343" s="34">
        <f>ROUND(Table1[[#This Row],[Content.Column9]] * 1000, 0)</f>
        <v>10823</v>
      </c>
      <c r="G343" s="34">
        <f>ROUND(Table1[[#This Row],[Content.Column10]] * 1000, 0)</f>
        <v>10837</v>
      </c>
      <c r="H343" s="32">
        <f>ROUND(Table1[[#This Row],[Content.Column11]] * 1000, 0)</f>
        <v>39948</v>
      </c>
      <c r="I343" s="32">
        <f>ROUND(Table1[[#This Row],[Content.Column12]] * 1000, 0)</f>
        <v>21867</v>
      </c>
      <c r="J343" s="32">
        <f>ROUND(Table1[[#This Row],[Content.Column13]] * 1000, 0)</f>
        <v>61816</v>
      </c>
      <c r="K343" s="32">
        <f>ROUND(Table1[[#This Row],[Content.Column14]] * 1000, 0)</f>
        <v>63763</v>
      </c>
      <c r="L343" s="30">
        <f>ROUND(Table1[[#This Row],[Content.Column3]] * 1000, 0)</f>
        <v>46787</v>
      </c>
      <c r="M343" s="30">
        <f>ROUND(Table1[[#This Row],[Content.Column4]] * 1000, 0)</f>
        <v>25852</v>
      </c>
      <c r="N343" s="30">
        <f>ROUND(Table1[[#This Row],[Content.Column5]] * 1000, 0)</f>
        <v>72639</v>
      </c>
      <c r="O343" s="30">
        <f>ROUND(Table1[[#This Row],[Content.Column6]] * 1000, 0)</f>
        <v>74599</v>
      </c>
      <c r="P343" s="27"/>
      <c r="Q343" s="27"/>
      <c r="R343"/>
      <c r="S343"/>
    </row>
    <row r="344" spans="1:19" x14ac:dyDescent="0.3">
      <c r="A344">
        <v>2016</v>
      </c>
      <c r="B344" t="s">
        <v>35</v>
      </c>
      <c r="C344" t="s">
        <v>34</v>
      </c>
      <c r="D344" s="34">
        <f>ROUND(Table1[[#This Row],[Content.Column7]] * 1000, 0)</f>
        <v>14023</v>
      </c>
      <c r="E344" s="34">
        <f>ROUND(Table1[[#This Row],[Content.Column8]] * 1000, 0)</f>
        <v>7769</v>
      </c>
      <c r="F344" s="34">
        <f>ROUND(Table1[[#This Row],[Content.Column9]] * 1000, 0)</f>
        <v>21792</v>
      </c>
      <c r="G344" s="34">
        <f>ROUND(Table1[[#This Row],[Content.Column10]] * 1000, 0)</f>
        <v>21809</v>
      </c>
      <c r="H344" s="32">
        <f>ROUND(Table1[[#This Row],[Content.Column11]] * 1000, 0)</f>
        <v>71046</v>
      </c>
      <c r="I344" s="32">
        <f>ROUND(Table1[[#This Row],[Content.Column12]] * 1000, 0)</f>
        <v>27547</v>
      </c>
      <c r="J344" s="32">
        <f>ROUND(Table1[[#This Row],[Content.Column13]] * 1000, 0)</f>
        <v>98594</v>
      </c>
      <c r="K344" s="32">
        <f>ROUND(Table1[[#This Row],[Content.Column14]] * 1000, 0)</f>
        <v>101328</v>
      </c>
      <c r="L344" s="30">
        <f>ROUND(Table1[[#This Row],[Content.Column3]] * 1000, 0)</f>
        <v>85069</v>
      </c>
      <c r="M344" s="30">
        <f>ROUND(Table1[[#This Row],[Content.Column4]] * 1000, 0)</f>
        <v>35316</v>
      </c>
      <c r="N344" s="30">
        <f>ROUND(Table1[[#This Row],[Content.Column5]] * 1000, 0)</f>
        <v>120385</v>
      </c>
      <c r="O344" s="30">
        <f>ROUND(Table1[[#This Row],[Content.Column6]] * 1000, 0)</f>
        <v>123136</v>
      </c>
      <c r="P344" s="27"/>
      <c r="Q344" s="27"/>
      <c r="R344"/>
      <c r="S344"/>
    </row>
    <row r="345" spans="1:19" x14ac:dyDescent="0.3">
      <c r="A345">
        <v>2016</v>
      </c>
      <c r="B345" t="s">
        <v>37</v>
      </c>
      <c r="C345" t="s">
        <v>36</v>
      </c>
      <c r="D345" s="34">
        <f>ROUND(Table1[[#This Row],[Content.Column7]] * 1000, 0)</f>
        <v>8262</v>
      </c>
      <c r="E345" s="34">
        <f>ROUND(Table1[[#This Row],[Content.Column8]] * 1000, 0)</f>
        <v>5639</v>
      </c>
      <c r="F345" s="34">
        <f>ROUND(Table1[[#This Row],[Content.Column9]] * 1000, 0)</f>
        <v>13901</v>
      </c>
      <c r="G345" s="34">
        <f>ROUND(Table1[[#This Row],[Content.Column10]] * 1000, 0)</f>
        <v>13935</v>
      </c>
      <c r="H345" s="32">
        <f>ROUND(Table1[[#This Row],[Content.Column11]] * 1000, 0)</f>
        <v>59695</v>
      </c>
      <c r="I345" s="32">
        <f>ROUND(Table1[[#This Row],[Content.Column12]] * 1000, 0)</f>
        <v>31761</v>
      </c>
      <c r="J345" s="32">
        <f>ROUND(Table1[[#This Row],[Content.Column13]] * 1000, 0)</f>
        <v>91455</v>
      </c>
      <c r="K345" s="32">
        <f>ROUND(Table1[[#This Row],[Content.Column14]] * 1000, 0)</f>
        <v>94701</v>
      </c>
      <c r="L345" s="30">
        <f>ROUND(Table1[[#This Row],[Content.Column3]] * 1000, 0)</f>
        <v>67957</v>
      </c>
      <c r="M345" s="30">
        <f>ROUND(Table1[[#This Row],[Content.Column4]] * 1000, 0)</f>
        <v>37399</v>
      </c>
      <c r="N345" s="30">
        <f>ROUND(Table1[[#This Row],[Content.Column5]] * 1000, 0)</f>
        <v>105356</v>
      </c>
      <c r="O345" s="30">
        <f>ROUND(Table1[[#This Row],[Content.Column6]] * 1000, 0)</f>
        <v>108637</v>
      </c>
      <c r="P345" s="27"/>
      <c r="Q345" s="27"/>
      <c r="R345"/>
      <c r="S345"/>
    </row>
    <row r="346" spans="1:19" x14ac:dyDescent="0.3">
      <c r="A346">
        <v>2016</v>
      </c>
      <c r="B346" t="s">
        <v>39</v>
      </c>
      <c r="C346" t="s">
        <v>38</v>
      </c>
      <c r="D346" s="34">
        <f>ROUND(Table1[[#This Row],[Content.Column7]] * 1000, 0)</f>
        <v>36427</v>
      </c>
      <c r="E346" s="34">
        <f>ROUND(Table1[[#This Row],[Content.Column8]] * 1000, 0)</f>
        <v>9636</v>
      </c>
      <c r="F346" s="34">
        <f>ROUND(Table1[[#This Row],[Content.Column9]] * 1000, 0)</f>
        <v>46063</v>
      </c>
      <c r="G346" s="34">
        <f>ROUND(Table1[[#This Row],[Content.Column10]] * 1000, 0)</f>
        <v>46152</v>
      </c>
      <c r="H346" s="32">
        <f>ROUND(Table1[[#This Row],[Content.Column11]] * 1000, 0)</f>
        <v>237330</v>
      </c>
      <c r="I346" s="32">
        <f>ROUND(Table1[[#This Row],[Content.Column12]] * 1000, 0)</f>
        <v>71410</v>
      </c>
      <c r="J346" s="32">
        <f>ROUND(Table1[[#This Row],[Content.Column13]] * 1000, 0)</f>
        <v>308740</v>
      </c>
      <c r="K346" s="32">
        <f>ROUND(Table1[[#This Row],[Content.Column14]] * 1000, 0)</f>
        <v>318674</v>
      </c>
      <c r="L346" s="30">
        <f>ROUND(Table1[[#This Row],[Content.Column3]] * 1000, 0)</f>
        <v>273757</v>
      </c>
      <c r="M346" s="30">
        <f>ROUND(Table1[[#This Row],[Content.Column4]] * 1000, 0)</f>
        <v>81046</v>
      </c>
      <c r="N346" s="30">
        <f>ROUND(Table1[[#This Row],[Content.Column5]] * 1000, 0)</f>
        <v>354803</v>
      </c>
      <c r="O346" s="30">
        <f>ROUND(Table1[[#This Row],[Content.Column6]] * 1000, 0)</f>
        <v>364826</v>
      </c>
      <c r="P346" s="27"/>
      <c r="Q346" s="27"/>
      <c r="R346"/>
      <c r="S346"/>
    </row>
    <row r="347" spans="1:19" x14ac:dyDescent="0.3">
      <c r="A347">
        <v>2016</v>
      </c>
      <c r="B347" t="s">
        <v>41</v>
      </c>
      <c r="C347" t="s">
        <v>40</v>
      </c>
      <c r="D347" s="34">
        <f>ROUND(Table1[[#This Row],[Content.Column7]] * 1000, 0)</f>
        <v>15679</v>
      </c>
      <c r="E347" s="34">
        <f>ROUND(Table1[[#This Row],[Content.Column8]] * 1000, 0)</f>
        <v>7551</v>
      </c>
      <c r="F347" s="34">
        <f>ROUND(Table1[[#This Row],[Content.Column9]] * 1000, 0)</f>
        <v>23230</v>
      </c>
      <c r="G347" s="34">
        <f>ROUND(Table1[[#This Row],[Content.Column10]] * 1000, 0)</f>
        <v>23265</v>
      </c>
      <c r="H347" s="32">
        <f>ROUND(Table1[[#This Row],[Content.Column11]] * 1000, 0)</f>
        <v>63419</v>
      </c>
      <c r="I347" s="32">
        <f>ROUND(Table1[[#This Row],[Content.Column12]] * 1000, 0)</f>
        <v>30578</v>
      </c>
      <c r="J347" s="32">
        <f>ROUND(Table1[[#This Row],[Content.Column13]] * 1000, 0)</f>
        <v>93997</v>
      </c>
      <c r="K347" s="32">
        <f>ROUND(Table1[[#This Row],[Content.Column14]] * 1000, 0)</f>
        <v>96916</v>
      </c>
      <c r="L347" s="30">
        <f>ROUND(Table1[[#This Row],[Content.Column3]] * 1000, 0)</f>
        <v>79098</v>
      </c>
      <c r="M347" s="30">
        <f>ROUND(Table1[[#This Row],[Content.Column4]] * 1000, 0)</f>
        <v>38129</v>
      </c>
      <c r="N347" s="30">
        <f>ROUND(Table1[[#This Row],[Content.Column5]] * 1000, 0)</f>
        <v>117227</v>
      </c>
      <c r="O347" s="30">
        <f>ROUND(Table1[[#This Row],[Content.Column6]] * 1000, 0)</f>
        <v>120182</v>
      </c>
      <c r="P347" s="27"/>
      <c r="Q347" s="27"/>
      <c r="R347"/>
      <c r="S347"/>
    </row>
    <row r="348" spans="1:19" x14ac:dyDescent="0.3">
      <c r="A348">
        <v>2016</v>
      </c>
      <c r="B348" t="s">
        <v>43</v>
      </c>
      <c r="C348" t="s">
        <v>42</v>
      </c>
      <c r="D348" s="34">
        <f>ROUND(Table1[[#This Row],[Content.Column7]] * 1000, 0)</f>
        <v>11993</v>
      </c>
      <c r="E348" s="34">
        <f>ROUND(Table1[[#This Row],[Content.Column8]] * 1000, 0)</f>
        <v>6216</v>
      </c>
      <c r="F348" s="34">
        <f>ROUND(Table1[[#This Row],[Content.Column9]] * 1000, 0)</f>
        <v>18210</v>
      </c>
      <c r="G348" s="34">
        <f>ROUND(Table1[[#This Row],[Content.Column10]] * 1000, 0)</f>
        <v>18226</v>
      </c>
      <c r="H348" s="32">
        <f>ROUND(Table1[[#This Row],[Content.Column11]] * 1000, 0)</f>
        <v>80392</v>
      </c>
      <c r="I348" s="32">
        <f>ROUND(Table1[[#This Row],[Content.Column12]] * 1000, 0)</f>
        <v>32970</v>
      </c>
      <c r="J348" s="32">
        <f>ROUND(Table1[[#This Row],[Content.Column13]] * 1000, 0)</f>
        <v>113362</v>
      </c>
      <c r="K348" s="32">
        <f>ROUND(Table1[[#This Row],[Content.Column14]] * 1000, 0)</f>
        <v>115941</v>
      </c>
      <c r="L348" s="30">
        <f>ROUND(Table1[[#This Row],[Content.Column3]] * 1000, 0)</f>
        <v>92386</v>
      </c>
      <c r="M348" s="30">
        <f>ROUND(Table1[[#This Row],[Content.Column4]] * 1000, 0)</f>
        <v>39186</v>
      </c>
      <c r="N348" s="30">
        <f>ROUND(Table1[[#This Row],[Content.Column5]] * 1000, 0)</f>
        <v>131572</v>
      </c>
      <c r="O348" s="30">
        <f>ROUND(Table1[[#This Row],[Content.Column6]] * 1000, 0)</f>
        <v>134167</v>
      </c>
      <c r="P348" s="27"/>
      <c r="Q348" s="27"/>
      <c r="R348"/>
      <c r="S348"/>
    </row>
    <row r="349" spans="1:19" x14ac:dyDescent="0.3">
      <c r="A349">
        <v>2016</v>
      </c>
      <c r="B349" t="s">
        <v>45</v>
      </c>
      <c r="C349" t="s">
        <v>44</v>
      </c>
      <c r="D349" s="34">
        <f>ROUND(Table1[[#This Row],[Content.Column7]] * 1000, 0)</f>
        <v>12436</v>
      </c>
      <c r="E349" s="34">
        <f>ROUND(Table1[[#This Row],[Content.Column8]] * 1000, 0)</f>
        <v>8373</v>
      </c>
      <c r="F349" s="34">
        <f>ROUND(Table1[[#This Row],[Content.Column9]] * 1000, 0)</f>
        <v>20809</v>
      </c>
      <c r="G349" s="34">
        <f>ROUND(Table1[[#This Row],[Content.Column10]] * 1000, 0)</f>
        <v>20882</v>
      </c>
      <c r="H349" s="32">
        <f>ROUND(Table1[[#This Row],[Content.Column11]] * 1000, 0)</f>
        <v>53586</v>
      </c>
      <c r="I349" s="32">
        <f>ROUND(Table1[[#This Row],[Content.Column12]] * 1000, 0)</f>
        <v>26035</v>
      </c>
      <c r="J349" s="32">
        <f>ROUND(Table1[[#This Row],[Content.Column13]] * 1000, 0)</f>
        <v>79621</v>
      </c>
      <c r="K349" s="32">
        <f>ROUND(Table1[[#This Row],[Content.Column14]] * 1000, 0)</f>
        <v>81684</v>
      </c>
      <c r="L349" s="30">
        <f>ROUND(Table1[[#This Row],[Content.Column3]] * 1000, 0)</f>
        <v>66022</v>
      </c>
      <c r="M349" s="30">
        <f>ROUND(Table1[[#This Row],[Content.Column4]] * 1000, 0)</f>
        <v>34407</v>
      </c>
      <c r="N349" s="30">
        <f>ROUND(Table1[[#This Row],[Content.Column5]] * 1000, 0)</f>
        <v>100429</v>
      </c>
      <c r="O349" s="30">
        <f>ROUND(Table1[[#This Row],[Content.Column6]] * 1000, 0)</f>
        <v>102566</v>
      </c>
      <c r="P349" s="27"/>
      <c r="Q349" s="27"/>
      <c r="R349"/>
      <c r="S349"/>
    </row>
    <row r="350" spans="1:19" x14ac:dyDescent="0.3">
      <c r="A350">
        <v>2016</v>
      </c>
      <c r="B350" t="s">
        <v>47</v>
      </c>
      <c r="C350" t="s">
        <v>46</v>
      </c>
      <c r="D350" s="34">
        <f>ROUND(Table1[[#This Row],[Content.Column7]] * 1000, 0)</f>
        <v>12341</v>
      </c>
      <c r="E350" s="34">
        <f>ROUND(Table1[[#This Row],[Content.Column8]] * 1000, 0)</f>
        <v>8042</v>
      </c>
      <c r="F350" s="34">
        <f>ROUND(Table1[[#This Row],[Content.Column9]] * 1000, 0)</f>
        <v>20383</v>
      </c>
      <c r="G350" s="34">
        <f>ROUND(Table1[[#This Row],[Content.Column10]] * 1000, 0)</f>
        <v>20390</v>
      </c>
      <c r="H350" s="32">
        <f>ROUND(Table1[[#This Row],[Content.Column11]] * 1000, 0)</f>
        <v>37413</v>
      </c>
      <c r="I350" s="32">
        <f>ROUND(Table1[[#This Row],[Content.Column12]] * 1000, 0)</f>
        <v>21308</v>
      </c>
      <c r="J350" s="32">
        <f>ROUND(Table1[[#This Row],[Content.Column13]] * 1000, 0)</f>
        <v>58721</v>
      </c>
      <c r="K350" s="32">
        <f>ROUND(Table1[[#This Row],[Content.Column14]] * 1000, 0)</f>
        <v>60270</v>
      </c>
      <c r="L350" s="30">
        <f>ROUND(Table1[[#This Row],[Content.Column3]] * 1000, 0)</f>
        <v>49754</v>
      </c>
      <c r="M350" s="30">
        <f>ROUND(Table1[[#This Row],[Content.Column4]] * 1000, 0)</f>
        <v>29350</v>
      </c>
      <c r="N350" s="30">
        <f>ROUND(Table1[[#This Row],[Content.Column5]] * 1000, 0)</f>
        <v>79104</v>
      </c>
      <c r="O350" s="30">
        <f>ROUND(Table1[[#This Row],[Content.Column6]] * 1000, 0)</f>
        <v>80660</v>
      </c>
      <c r="P350" s="27"/>
      <c r="Q350" s="27"/>
      <c r="R350"/>
      <c r="S350"/>
    </row>
    <row r="351" spans="1:19" x14ac:dyDescent="0.3">
      <c r="A351">
        <v>2016</v>
      </c>
      <c r="B351" t="s">
        <v>49</v>
      </c>
      <c r="C351" t="s">
        <v>48</v>
      </c>
      <c r="D351" s="34">
        <f>ROUND(Table1[[#This Row],[Content.Column7]] * 1000, 0)</f>
        <v>13567</v>
      </c>
      <c r="E351" s="34">
        <f>ROUND(Table1[[#This Row],[Content.Column8]] * 1000, 0)</f>
        <v>5274</v>
      </c>
      <c r="F351" s="34">
        <f>ROUND(Table1[[#This Row],[Content.Column9]] * 1000, 0)</f>
        <v>18841</v>
      </c>
      <c r="G351" s="34">
        <f>ROUND(Table1[[#This Row],[Content.Column10]] * 1000, 0)</f>
        <v>18864</v>
      </c>
      <c r="H351" s="32">
        <f>ROUND(Table1[[#This Row],[Content.Column11]] * 1000, 0)</f>
        <v>75805</v>
      </c>
      <c r="I351" s="32">
        <f>ROUND(Table1[[#This Row],[Content.Column12]] * 1000, 0)</f>
        <v>26811</v>
      </c>
      <c r="J351" s="32">
        <f>ROUND(Table1[[#This Row],[Content.Column13]] * 1000, 0)</f>
        <v>102616</v>
      </c>
      <c r="K351" s="32">
        <f>ROUND(Table1[[#This Row],[Content.Column14]] * 1000, 0)</f>
        <v>105998</v>
      </c>
      <c r="L351" s="30">
        <f>ROUND(Table1[[#This Row],[Content.Column3]] * 1000, 0)</f>
        <v>89372</v>
      </c>
      <c r="M351" s="30">
        <f>ROUND(Table1[[#This Row],[Content.Column4]] * 1000, 0)</f>
        <v>32085</v>
      </c>
      <c r="N351" s="30">
        <f>ROUND(Table1[[#This Row],[Content.Column5]] * 1000, 0)</f>
        <v>121457</v>
      </c>
      <c r="O351" s="30">
        <f>ROUND(Table1[[#This Row],[Content.Column6]] * 1000, 0)</f>
        <v>124861</v>
      </c>
      <c r="P351" s="27"/>
      <c r="Q351" s="27"/>
      <c r="R351"/>
      <c r="S351"/>
    </row>
    <row r="352" spans="1:19" x14ac:dyDescent="0.3">
      <c r="A352">
        <v>2016</v>
      </c>
      <c r="B352" t="s">
        <v>51</v>
      </c>
      <c r="C352" t="s">
        <v>50</v>
      </c>
      <c r="D352" s="34">
        <f>ROUND(Table1[[#This Row],[Content.Column7]] * 1000, 0)</f>
        <v>17135</v>
      </c>
      <c r="E352" s="34">
        <f>ROUND(Table1[[#This Row],[Content.Column8]] * 1000, 0)</f>
        <v>3168</v>
      </c>
      <c r="F352" s="34">
        <f>ROUND(Table1[[#This Row],[Content.Column9]] * 1000, 0)</f>
        <v>20303</v>
      </c>
      <c r="G352" s="34">
        <f>ROUND(Table1[[#This Row],[Content.Column10]] * 1000, 0)</f>
        <v>20400</v>
      </c>
      <c r="H352" s="32">
        <f>ROUND(Table1[[#This Row],[Content.Column11]] * 1000, 0)</f>
        <v>81173</v>
      </c>
      <c r="I352" s="32">
        <f>ROUND(Table1[[#This Row],[Content.Column12]] * 1000, 0)</f>
        <v>35841</v>
      </c>
      <c r="J352" s="32">
        <f>ROUND(Table1[[#This Row],[Content.Column13]] * 1000, 0)</f>
        <v>117014</v>
      </c>
      <c r="K352" s="32">
        <f>ROUND(Table1[[#This Row],[Content.Column14]] * 1000, 0)</f>
        <v>119090</v>
      </c>
      <c r="L352" s="30">
        <f>ROUND(Table1[[#This Row],[Content.Column3]] * 1000, 0)</f>
        <v>98309</v>
      </c>
      <c r="M352" s="30">
        <f>ROUND(Table1[[#This Row],[Content.Column4]] * 1000, 0)</f>
        <v>39009</v>
      </c>
      <c r="N352" s="30">
        <f>ROUND(Table1[[#This Row],[Content.Column5]] * 1000, 0)</f>
        <v>137318</v>
      </c>
      <c r="O352" s="30">
        <f>ROUND(Table1[[#This Row],[Content.Column6]] * 1000, 0)</f>
        <v>139490</v>
      </c>
      <c r="P352" s="27"/>
      <c r="Q352" s="27"/>
      <c r="R352"/>
      <c r="S352"/>
    </row>
    <row r="353" spans="1:19" x14ac:dyDescent="0.3">
      <c r="A353">
        <v>2016</v>
      </c>
      <c r="B353" t="s">
        <v>53</v>
      </c>
      <c r="C353" t="s">
        <v>52</v>
      </c>
      <c r="D353" s="34">
        <f>ROUND(Table1[[#This Row],[Content.Column7]] * 1000, 0)</f>
        <v>9251</v>
      </c>
      <c r="E353" s="34">
        <f>ROUND(Table1[[#This Row],[Content.Column8]] * 1000, 0)</f>
        <v>3255</v>
      </c>
      <c r="F353" s="34">
        <f>ROUND(Table1[[#This Row],[Content.Column9]] * 1000, 0)</f>
        <v>12506</v>
      </c>
      <c r="G353" s="34">
        <f>ROUND(Table1[[#This Row],[Content.Column10]] * 1000, 0)</f>
        <v>12513</v>
      </c>
      <c r="H353" s="32">
        <f>ROUND(Table1[[#This Row],[Content.Column11]] * 1000, 0)</f>
        <v>34421</v>
      </c>
      <c r="I353" s="32">
        <f>ROUND(Table1[[#This Row],[Content.Column12]] * 1000, 0)</f>
        <v>19151</v>
      </c>
      <c r="J353" s="32">
        <f>ROUND(Table1[[#This Row],[Content.Column13]] * 1000, 0)</f>
        <v>53572</v>
      </c>
      <c r="K353" s="32">
        <f>ROUND(Table1[[#This Row],[Content.Column14]] * 1000, 0)</f>
        <v>55943</v>
      </c>
      <c r="L353" s="30">
        <f>ROUND(Table1[[#This Row],[Content.Column3]] * 1000, 0)</f>
        <v>43672</v>
      </c>
      <c r="M353" s="30">
        <f>ROUND(Table1[[#This Row],[Content.Column4]] * 1000, 0)</f>
        <v>22406</v>
      </c>
      <c r="N353" s="30">
        <f>ROUND(Table1[[#This Row],[Content.Column5]] * 1000, 0)</f>
        <v>66078</v>
      </c>
      <c r="O353" s="30">
        <f>ROUND(Table1[[#This Row],[Content.Column6]] * 1000, 0)</f>
        <v>68456</v>
      </c>
      <c r="P353" s="27"/>
      <c r="Q353" s="27"/>
      <c r="R353"/>
      <c r="S353"/>
    </row>
    <row r="354" spans="1:19" x14ac:dyDescent="0.3">
      <c r="A354">
        <v>2016</v>
      </c>
      <c r="B354" t="s">
        <v>55</v>
      </c>
      <c r="C354" t="s">
        <v>54</v>
      </c>
      <c r="D354" s="34">
        <f>ROUND(Table1[[#This Row],[Content.Column7]] * 1000, 0)</f>
        <v>5974</v>
      </c>
      <c r="E354" s="34">
        <f>ROUND(Table1[[#This Row],[Content.Column8]] * 1000, 0)</f>
        <v>5052</v>
      </c>
      <c r="F354" s="34">
        <f>ROUND(Table1[[#This Row],[Content.Column9]] * 1000, 0)</f>
        <v>11026</v>
      </c>
      <c r="G354" s="34">
        <f>ROUND(Table1[[#This Row],[Content.Column10]] * 1000, 0)</f>
        <v>11035</v>
      </c>
      <c r="H354" s="32">
        <f>ROUND(Table1[[#This Row],[Content.Column11]] * 1000, 0)</f>
        <v>42721</v>
      </c>
      <c r="I354" s="32">
        <f>ROUND(Table1[[#This Row],[Content.Column12]] * 1000, 0)</f>
        <v>18548</v>
      </c>
      <c r="J354" s="32">
        <f>ROUND(Table1[[#This Row],[Content.Column13]] * 1000, 0)</f>
        <v>61269</v>
      </c>
      <c r="K354" s="32">
        <f>ROUND(Table1[[#This Row],[Content.Column14]] * 1000, 0)</f>
        <v>63312</v>
      </c>
      <c r="L354" s="30">
        <f>ROUND(Table1[[#This Row],[Content.Column3]] * 1000, 0)</f>
        <v>48695</v>
      </c>
      <c r="M354" s="30">
        <f>ROUND(Table1[[#This Row],[Content.Column4]] * 1000, 0)</f>
        <v>23600</v>
      </c>
      <c r="N354" s="30">
        <f>ROUND(Table1[[#This Row],[Content.Column5]] * 1000, 0)</f>
        <v>72295</v>
      </c>
      <c r="O354" s="30">
        <f>ROUND(Table1[[#This Row],[Content.Column6]] * 1000, 0)</f>
        <v>74347</v>
      </c>
      <c r="P354" s="27"/>
      <c r="Q354" s="27"/>
      <c r="R354"/>
      <c r="S354"/>
    </row>
    <row r="355" spans="1:19" x14ac:dyDescent="0.3">
      <c r="A355">
        <v>2016</v>
      </c>
      <c r="B355" t="s">
        <v>57</v>
      </c>
      <c r="C355" t="s">
        <v>56</v>
      </c>
      <c r="D355" s="34">
        <f>ROUND(Table1[[#This Row],[Content.Column7]] * 1000, 0)</f>
        <v>10531</v>
      </c>
      <c r="E355" s="34">
        <f>ROUND(Table1[[#This Row],[Content.Column8]] * 1000, 0)</f>
        <v>5942</v>
      </c>
      <c r="F355" s="34">
        <f>ROUND(Table1[[#This Row],[Content.Column9]] * 1000, 0)</f>
        <v>16474</v>
      </c>
      <c r="G355" s="34">
        <f>ROUND(Table1[[#This Row],[Content.Column10]] * 1000, 0)</f>
        <v>16483</v>
      </c>
      <c r="H355" s="32">
        <f>ROUND(Table1[[#This Row],[Content.Column11]] * 1000, 0)</f>
        <v>43726</v>
      </c>
      <c r="I355" s="32">
        <f>ROUND(Table1[[#This Row],[Content.Column12]] * 1000, 0)</f>
        <v>22226</v>
      </c>
      <c r="J355" s="32">
        <f>ROUND(Table1[[#This Row],[Content.Column13]] * 1000, 0)</f>
        <v>65952</v>
      </c>
      <c r="K355" s="32">
        <f>ROUND(Table1[[#This Row],[Content.Column14]] * 1000, 0)</f>
        <v>68014</v>
      </c>
      <c r="L355" s="30">
        <f>ROUND(Table1[[#This Row],[Content.Column3]] * 1000, 0)</f>
        <v>54257</v>
      </c>
      <c r="M355" s="30">
        <f>ROUND(Table1[[#This Row],[Content.Column4]] * 1000, 0)</f>
        <v>28168</v>
      </c>
      <c r="N355" s="30">
        <f>ROUND(Table1[[#This Row],[Content.Column5]] * 1000, 0)</f>
        <v>82425</v>
      </c>
      <c r="O355" s="30">
        <f>ROUND(Table1[[#This Row],[Content.Column6]] * 1000, 0)</f>
        <v>84497</v>
      </c>
      <c r="P355" s="27"/>
      <c r="Q355" s="27"/>
      <c r="R355"/>
      <c r="S355"/>
    </row>
    <row r="356" spans="1:19" x14ac:dyDescent="0.3">
      <c r="A356">
        <v>2016</v>
      </c>
      <c r="B356" t="s">
        <v>59</v>
      </c>
      <c r="C356" t="s">
        <v>58</v>
      </c>
      <c r="D356" s="34">
        <f>ROUND(Table1[[#This Row],[Content.Column7]] * 1000, 0)</f>
        <v>14116</v>
      </c>
      <c r="E356" s="34">
        <f>ROUND(Table1[[#This Row],[Content.Column8]] * 1000, 0)</f>
        <v>8605</v>
      </c>
      <c r="F356" s="34">
        <f>ROUND(Table1[[#This Row],[Content.Column9]] * 1000, 0)</f>
        <v>22721</v>
      </c>
      <c r="G356" s="34">
        <f>ROUND(Table1[[#This Row],[Content.Column10]] * 1000, 0)</f>
        <v>22759</v>
      </c>
      <c r="H356" s="32">
        <f>ROUND(Table1[[#This Row],[Content.Column11]] * 1000, 0)</f>
        <v>122995</v>
      </c>
      <c r="I356" s="32">
        <f>ROUND(Table1[[#This Row],[Content.Column12]] * 1000, 0)</f>
        <v>39100</v>
      </c>
      <c r="J356" s="32">
        <f>ROUND(Table1[[#This Row],[Content.Column13]] * 1000, 0)</f>
        <v>162096</v>
      </c>
      <c r="K356" s="32">
        <f>ROUND(Table1[[#This Row],[Content.Column14]] * 1000, 0)</f>
        <v>164677</v>
      </c>
      <c r="L356" s="30">
        <f>ROUND(Table1[[#This Row],[Content.Column3]] * 1000, 0)</f>
        <v>137112</v>
      </c>
      <c r="M356" s="30">
        <f>ROUND(Table1[[#This Row],[Content.Column4]] * 1000, 0)</f>
        <v>47705</v>
      </c>
      <c r="N356" s="30">
        <f>ROUND(Table1[[#This Row],[Content.Column5]] * 1000, 0)</f>
        <v>184816</v>
      </c>
      <c r="O356" s="30">
        <f>ROUND(Table1[[#This Row],[Content.Column6]] * 1000, 0)</f>
        <v>187436</v>
      </c>
      <c r="P356" s="27"/>
      <c r="Q356" s="27"/>
      <c r="R356"/>
      <c r="S356"/>
    </row>
    <row r="357" spans="1:19" x14ac:dyDescent="0.3">
      <c r="A357">
        <v>2016</v>
      </c>
      <c r="B357" t="s">
        <v>61</v>
      </c>
      <c r="C357" t="s">
        <v>60</v>
      </c>
      <c r="D357" s="34">
        <f>ROUND(Table1[[#This Row],[Content.Column7]] * 1000, 0)</f>
        <v>12748</v>
      </c>
      <c r="E357" s="34">
        <f>ROUND(Table1[[#This Row],[Content.Column8]] * 1000, 0)</f>
        <v>4252</v>
      </c>
      <c r="F357" s="34">
        <f>ROUND(Table1[[#This Row],[Content.Column9]] * 1000, 0)</f>
        <v>17000</v>
      </c>
      <c r="G357" s="34">
        <f>ROUND(Table1[[#This Row],[Content.Column10]] * 1000, 0)</f>
        <v>17014</v>
      </c>
      <c r="H357" s="32">
        <f>ROUND(Table1[[#This Row],[Content.Column11]] * 1000, 0)</f>
        <v>113102</v>
      </c>
      <c r="I357" s="32">
        <f>ROUND(Table1[[#This Row],[Content.Column12]] * 1000, 0)</f>
        <v>40685</v>
      </c>
      <c r="J357" s="32">
        <f>ROUND(Table1[[#This Row],[Content.Column13]] * 1000, 0)</f>
        <v>153787</v>
      </c>
      <c r="K357" s="32">
        <f>ROUND(Table1[[#This Row],[Content.Column14]] * 1000, 0)</f>
        <v>155827</v>
      </c>
      <c r="L357" s="30">
        <f>ROUND(Table1[[#This Row],[Content.Column3]] * 1000, 0)</f>
        <v>125850</v>
      </c>
      <c r="M357" s="30">
        <f>ROUND(Table1[[#This Row],[Content.Column4]] * 1000, 0)</f>
        <v>44938</v>
      </c>
      <c r="N357" s="30">
        <f>ROUND(Table1[[#This Row],[Content.Column5]] * 1000, 0)</f>
        <v>170787</v>
      </c>
      <c r="O357" s="30">
        <f>ROUND(Table1[[#This Row],[Content.Column6]] * 1000, 0)</f>
        <v>172841</v>
      </c>
      <c r="P357" s="27"/>
      <c r="Q357" s="27"/>
      <c r="R357"/>
      <c r="S357"/>
    </row>
    <row r="358" spans="1:19" x14ac:dyDescent="0.3">
      <c r="A358">
        <v>2016</v>
      </c>
      <c r="B358" t="s">
        <v>63</v>
      </c>
      <c r="C358" t="s">
        <v>62</v>
      </c>
      <c r="D358" s="34">
        <f>ROUND(Table1[[#This Row],[Content.Column7]] * 1000, 0)</f>
        <v>20099</v>
      </c>
      <c r="E358" s="34">
        <f>ROUND(Table1[[#This Row],[Content.Column8]] * 1000, 0)</f>
        <v>4497</v>
      </c>
      <c r="F358" s="34">
        <f>ROUND(Table1[[#This Row],[Content.Column9]] * 1000, 0)</f>
        <v>24597</v>
      </c>
      <c r="G358" s="34">
        <f>ROUND(Table1[[#This Row],[Content.Column10]] * 1000, 0)</f>
        <v>24600</v>
      </c>
      <c r="H358" s="32">
        <f>ROUND(Table1[[#This Row],[Content.Column11]] * 1000, 0)</f>
        <v>161794</v>
      </c>
      <c r="I358" s="32">
        <f>ROUND(Table1[[#This Row],[Content.Column12]] * 1000, 0)</f>
        <v>41468</v>
      </c>
      <c r="J358" s="32">
        <f>ROUND(Table1[[#This Row],[Content.Column13]] * 1000, 0)</f>
        <v>203262</v>
      </c>
      <c r="K358" s="32">
        <f>ROUND(Table1[[#This Row],[Content.Column14]] * 1000, 0)</f>
        <v>208049</v>
      </c>
      <c r="L358" s="30">
        <f>ROUND(Table1[[#This Row],[Content.Column3]] * 1000, 0)</f>
        <v>181894</v>
      </c>
      <c r="M358" s="30">
        <f>ROUND(Table1[[#This Row],[Content.Column4]] * 1000, 0)</f>
        <v>45965</v>
      </c>
      <c r="N358" s="30">
        <f>ROUND(Table1[[#This Row],[Content.Column5]] * 1000, 0)</f>
        <v>227859</v>
      </c>
      <c r="O358" s="30">
        <f>ROUND(Table1[[#This Row],[Content.Column6]] * 1000, 0)</f>
        <v>232650</v>
      </c>
      <c r="P358" s="27"/>
      <c r="Q358" s="27"/>
      <c r="R358"/>
      <c r="S358"/>
    </row>
    <row r="359" spans="1:19" x14ac:dyDescent="0.3">
      <c r="A359">
        <v>2016</v>
      </c>
      <c r="B359" t="s">
        <v>65</v>
      </c>
      <c r="C359" t="s">
        <v>64</v>
      </c>
      <c r="D359" s="34">
        <f>ROUND(Table1[[#This Row],[Content.Column7]] * 1000, 0)</f>
        <v>13723</v>
      </c>
      <c r="E359" s="34">
        <f>ROUND(Table1[[#This Row],[Content.Column8]] * 1000, 0)</f>
        <v>4626</v>
      </c>
      <c r="F359" s="34">
        <f>ROUND(Table1[[#This Row],[Content.Column9]] * 1000, 0)</f>
        <v>18349</v>
      </c>
      <c r="G359" s="34">
        <f>ROUND(Table1[[#This Row],[Content.Column10]] * 1000, 0)</f>
        <v>18583</v>
      </c>
      <c r="H359" s="32">
        <f>ROUND(Table1[[#This Row],[Content.Column11]] * 1000, 0)</f>
        <v>79487</v>
      </c>
      <c r="I359" s="32">
        <f>ROUND(Table1[[#This Row],[Content.Column12]] * 1000, 0)</f>
        <v>29472</v>
      </c>
      <c r="J359" s="32">
        <f>ROUND(Table1[[#This Row],[Content.Column13]] * 1000, 0)</f>
        <v>108959</v>
      </c>
      <c r="K359" s="32">
        <f>ROUND(Table1[[#This Row],[Content.Column14]] * 1000, 0)</f>
        <v>111748</v>
      </c>
      <c r="L359" s="30">
        <f>ROUND(Table1[[#This Row],[Content.Column3]] * 1000, 0)</f>
        <v>93210</v>
      </c>
      <c r="M359" s="30">
        <f>ROUND(Table1[[#This Row],[Content.Column4]] * 1000, 0)</f>
        <v>34098</v>
      </c>
      <c r="N359" s="30">
        <f>ROUND(Table1[[#This Row],[Content.Column5]] * 1000, 0)</f>
        <v>127308</v>
      </c>
      <c r="O359" s="30">
        <f>ROUND(Table1[[#This Row],[Content.Column6]] * 1000, 0)</f>
        <v>130332</v>
      </c>
      <c r="P359" s="27"/>
      <c r="Q359" s="27"/>
      <c r="R359"/>
      <c r="S359"/>
    </row>
    <row r="360" spans="1:19" x14ac:dyDescent="0.3">
      <c r="A360">
        <v>2016</v>
      </c>
      <c r="B360" t="s">
        <v>67</v>
      </c>
      <c r="C360" t="s">
        <v>66</v>
      </c>
      <c r="D360" s="34">
        <f>ROUND(Table1[[#This Row],[Content.Column7]] * 1000, 0)</f>
        <v>7078</v>
      </c>
      <c r="E360" s="34">
        <f>ROUND(Table1[[#This Row],[Content.Column8]] * 1000, 0)</f>
        <v>4346</v>
      </c>
      <c r="F360" s="34">
        <f>ROUND(Table1[[#This Row],[Content.Column9]] * 1000, 0)</f>
        <v>11424</v>
      </c>
      <c r="G360" s="34">
        <f>ROUND(Table1[[#This Row],[Content.Column10]] * 1000, 0)</f>
        <v>11441</v>
      </c>
      <c r="H360" s="32">
        <f>ROUND(Table1[[#This Row],[Content.Column11]] * 1000, 0)</f>
        <v>44101</v>
      </c>
      <c r="I360" s="32">
        <f>ROUND(Table1[[#This Row],[Content.Column12]] * 1000, 0)</f>
        <v>24868</v>
      </c>
      <c r="J360" s="32">
        <f>ROUND(Table1[[#This Row],[Content.Column13]] * 1000, 0)</f>
        <v>68970</v>
      </c>
      <c r="K360" s="32">
        <f>ROUND(Table1[[#This Row],[Content.Column14]] * 1000, 0)</f>
        <v>70479</v>
      </c>
      <c r="L360" s="30">
        <f>ROUND(Table1[[#This Row],[Content.Column3]] * 1000, 0)</f>
        <v>51179</v>
      </c>
      <c r="M360" s="30">
        <f>ROUND(Table1[[#This Row],[Content.Column4]] * 1000, 0)</f>
        <v>29214</v>
      </c>
      <c r="N360" s="30">
        <f>ROUND(Table1[[#This Row],[Content.Column5]] * 1000, 0)</f>
        <v>80394</v>
      </c>
      <c r="O360" s="30">
        <f>ROUND(Table1[[#This Row],[Content.Column6]] * 1000, 0)</f>
        <v>81919</v>
      </c>
      <c r="P360" s="27"/>
      <c r="Q360" s="27"/>
      <c r="R360"/>
      <c r="S360"/>
    </row>
    <row r="361" spans="1:19" x14ac:dyDescent="0.3">
      <c r="A361">
        <v>2016</v>
      </c>
      <c r="B361" t="s">
        <v>69</v>
      </c>
      <c r="C361" t="s">
        <v>68</v>
      </c>
      <c r="D361" s="34">
        <f>ROUND(Table1[[#This Row],[Content.Column7]] * 1000, 0)</f>
        <v>26524</v>
      </c>
      <c r="E361" s="34">
        <f>ROUND(Table1[[#This Row],[Content.Column8]] * 1000, 0)</f>
        <v>8787</v>
      </c>
      <c r="F361" s="34">
        <f>ROUND(Table1[[#This Row],[Content.Column9]] * 1000, 0)</f>
        <v>35311</v>
      </c>
      <c r="G361" s="34">
        <f>ROUND(Table1[[#This Row],[Content.Column10]] * 1000, 0)</f>
        <v>35353</v>
      </c>
      <c r="H361" s="32">
        <f>ROUND(Table1[[#This Row],[Content.Column11]] * 1000, 0)</f>
        <v>76139</v>
      </c>
      <c r="I361" s="32">
        <f>ROUND(Table1[[#This Row],[Content.Column12]] * 1000, 0)</f>
        <v>31109</v>
      </c>
      <c r="J361" s="32">
        <f>ROUND(Table1[[#This Row],[Content.Column13]] * 1000, 0)</f>
        <v>107249</v>
      </c>
      <c r="K361" s="32">
        <f>ROUND(Table1[[#This Row],[Content.Column14]] * 1000, 0)</f>
        <v>109899</v>
      </c>
      <c r="L361" s="30">
        <f>ROUND(Table1[[#This Row],[Content.Column3]] * 1000, 0)</f>
        <v>102664</v>
      </c>
      <c r="M361" s="30">
        <f>ROUND(Table1[[#This Row],[Content.Column4]] * 1000, 0)</f>
        <v>39896</v>
      </c>
      <c r="N361" s="30">
        <f>ROUND(Table1[[#This Row],[Content.Column5]] * 1000, 0)</f>
        <v>142560</v>
      </c>
      <c r="O361" s="30">
        <f>ROUND(Table1[[#This Row],[Content.Column6]] * 1000, 0)</f>
        <v>145251</v>
      </c>
      <c r="P361" s="27"/>
      <c r="Q361" s="27"/>
      <c r="R361"/>
      <c r="S361"/>
    </row>
    <row r="362" spans="1:19" x14ac:dyDescent="0.3">
      <c r="A362">
        <v>2016</v>
      </c>
      <c r="B362" t="s">
        <v>71</v>
      </c>
      <c r="C362" t="s">
        <v>70</v>
      </c>
      <c r="D362" s="34">
        <f>ROUND(Table1[[#This Row],[Content.Column7]] * 1000, 0)</f>
        <v>9210</v>
      </c>
      <c r="E362" s="34">
        <f>ROUND(Table1[[#This Row],[Content.Column8]] * 1000, 0)</f>
        <v>6143</v>
      </c>
      <c r="F362" s="34">
        <f>ROUND(Table1[[#This Row],[Content.Column9]] * 1000, 0)</f>
        <v>15353</v>
      </c>
      <c r="G362" s="34">
        <f>ROUND(Table1[[#This Row],[Content.Column10]] * 1000, 0)</f>
        <v>15616</v>
      </c>
      <c r="H362" s="32">
        <f>ROUND(Table1[[#This Row],[Content.Column11]] * 1000, 0)</f>
        <v>31604</v>
      </c>
      <c r="I362" s="32">
        <f>ROUND(Table1[[#This Row],[Content.Column12]] * 1000, 0)</f>
        <v>19128</v>
      </c>
      <c r="J362" s="32">
        <f>ROUND(Table1[[#This Row],[Content.Column13]] * 1000, 0)</f>
        <v>50732</v>
      </c>
      <c r="K362" s="32">
        <f>ROUND(Table1[[#This Row],[Content.Column14]] * 1000, 0)</f>
        <v>52641</v>
      </c>
      <c r="L362" s="30">
        <f>ROUND(Table1[[#This Row],[Content.Column3]] * 1000, 0)</f>
        <v>40815</v>
      </c>
      <c r="M362" s="30">
        <f>ROUND(Table1[[#This Row],[Content.Column4]] * 1000, 0)</f>
        <v>25270</v>
      </c>
      <c r="N362" s="30">
        <f>ROUND(Table1[[#This Row],[Content.Column5]] * 1000, 0)</f>
        <v>66085</v>
      </c>
      <c r="O362" s="30">
        <f>ROUND(Table1[[#This Row],[Content.Column6]] * 1000, 0)</f>
        <v>68257</v>
      </c>
      <c r="P362" s="27"/>
      <c r="Q362" s="27"/>
      <c r="R362"/>
      <c r="S362"/>
    </row>
    <row r="363" spans="1:19" x14ac:dyDescent="0.3">
      <c r="A363">
        <v>2016</v>
      </c>
      <c r="B363" t="s">
        <v>73</v>
      </c>
      <c r="C363" t="s">
        <v>72</v>
      </c>
      <c r="D363" s="34">
        <f>ROUND(Table1[[#This Row],[Content.Column7]] * 1000, 0)</f>
        <v>6073</v>
      </c>
      <c r="E363" s="34">
        <f>ROUND(Table1[[#This Row],[Content.Column8]] * 1000, 0)</f>
        <v>2561</v>
      </c>
      <c r="F363" s="34">
        <f>ROUND(Table1[[#This Row],[Content.Column9]] * 1000, 0)</f>
        <v>8634</v>
      </c>
      <c r="G363" s="34">
        <f>ROUND(Table1[[#This Row],[Content.Column10]] * 1000, 0)</f>
        <v>8639</v>
      </c>
      <c r="H363" s="32">
        <f>ROUND(Table1[[#This Row],[Content.Column11]] * 1000, 0)</f>
        <v>49834</v>
      </c>
      <c r="I363" s="32">
        <f>ROUND(Table1[[#This Row],[Content.Column12]] * 1000, 0)</f>
        <v>22095</v>
      </c>
      <c r="J363" s="32">
        <f>ROUND(Table1[[#This Row],[Content.Column13]] * 1000, 0)</f>
        <v>71929</v>
      </c>
      <c r="K363" s="32">
        <f>ROUND(Table1[[#This Row],[Content.Column14]] * 1000, 0)</f>
        <v>73352</v>
      </c>
      <c r="L363" s="30">
        <f>ROUND(Table1[[#This Row],[Content.Column3]] * 1000, 0)</f>
        <v>55907</v>
      </c>
      <c r="M363" s="30">
        <f>ROUND(Table1[[#This Row],[Content.Column4]] * 1000, 0)</f>
        <v>24657</v>
      </c>
      <c r="N363" s="30">
        <f>ROUND(Table1[[#This Row],[Content.Column5]] * 1000, 0)</f>
        <v>80563</v>
      </c>
      <c r="O363" s="30">
        <f>ROUND(Table1[[#This Row],[Content.Column6]] * 1000, 0)</f>
        <v>81992</v>
      </c>
      <c r="P363" s="27"/>
      <c r="Q363" s="27"/>
      <c r="R363"/>
      <c r="S363"/>
    </row>
    <row r="364" spans="1:19" x14ac:dyDescent="0.3">
      <c r="A364">
        <v>2016</v>
      </c>
      <c r="B364" t="s">
        <v>75</v>
      </c>
      <c r="C364" t="s">
        <v>74</v>
      </c>
      <c r="D364" s="34">
        <f>ROUND(Table1[[#This Row],[Content.Column7]] * 1000, 0)</f>
        <v>16203</v>
      </c>
      <c r="E364" s="34">
        <f>ROUND(Table1[[#This Row],[Content.Column8]] * 1000, 0)</f>
        <v>7430</v>
      </c>
      <c r="F364" s="34">
        <f>ROUND(Table1[[#This Row],[Content.Column9]] * 1000, 0)</f>
        <v>23632</v>
      </c>
      <c r="G364" s="34">
        <f>ROUND(Table1[[#This Row],[Content.Column10]] * 1000, 0)</f>
        <v>23660</v>
      </c>
      <c r="H364" s="32">
        <f>ROUND(Table1[[#This Row],[Content.Column11]] * 1000, 0)</f>
        <v>52323</v>
      </c>
      <c r="I364" s="32">
        <f>ROUND(Table1[[#This Row],[Content.Column12]] * 1000, 0)</f>
        <v>26894</v>
      </c>
      <c r="J364" s="32">
        <f>ROUND(Table1[[#This Row],[Content.Column13]] * 1000, 0)</f>
        <v>79217</v>
      </c>
      <c r="K364" s="32">
        <f>ROUND(Table1[[#This Row],[Content.Column14]] * 1000, 0)</f>
        <v>81107</v>
      </c>
      <c r="L364" s="30">
        <f>ROUND(Table1[[#This Row],[Content.Column3]] * 1000, 0)</f>
        <v>68526</v>
      </c>
      <c r="M364" s="30">
        <f>ROUND(Table1[[#This Row],[Content.Column4]] * 1000, 0)</f>
        <v>34324</v>
      </c>
      <c r="N364" s="30">
        <f>ROUND(Table1[[#This Row],[Content.Column5]] * 1000, 0)</f>
        <v>102849</v>
      </c>
      <c r="O364" s="30">
        <f>ROUND(Table1[[#This Row],[Content.Column6]] * 1000, 0)</f>
        <v>104767</v>
      </c>
      <c r="P364" s="27"/>
      <c r="Q364" s="27"/>
      <c r="R364"/>
      <c r="S364"/>
    </row>
    <row r="365" spans="1:19" x14ac:dyDescent="0.3">
      <c r="A365">
        <v>2016</v>
      </c>
      <c r="B365" t="s">
        <v>77</v>
      </c>
      <c r="C365" t="s">
        <v>76</v>
      </c>
      <c r="D365" s="34">
        <f>ROUND(Table1[[#This Row],[Content.Column7]] * 1000, 0)</f>
        <v>10585</v>
      </c>
      <c r="E365" s="34">
        <f>ROUND(Table1[[#This Row],[Content.Column8]] * 1000, 0)</f>
        <v>5406</v>
      </c>
      <c r="F365" s="34">
        <f>ROUND(Table1[[#This Row],[Content.Column9]] * 1000, 0)</f>
        <v>15991</v>
      </c>
      <c r="G365" s="34">
        <f>ROUND(Table1[[#This Row],[Content.Column10]] * 1000, 0)</f>
        <v>16000</v>
      </c>
      <c r="H365" s="32">
        <f>ROUND(Table1[[#This Row],[Content.Column11]] * 1000, 0)</f>
        <v>39543</v>
      </c>
      <c r="I365" s="32">
        <f>ROUND(Table1[[#This Row],[Content.Column12]] * 1000, 0)</f>
        <v>19764</v>
      </c>
      <c r="J365" s="32">
        <f>ROUND(Table1[[#This Row],[Content.Column13]] * 1000, 0)</f>
        <v>59307</v>
      </c>
      <c r="K365" s="32">
        <f>ROUND(Table1[[#This Row],[Content.Column14]] * 1000, 0)</f>
        <v>61277</v>
      </c>
      <c r="L365" s="30">
        <f>ROUND(Table1[[#This Row],[Content.Column3]] * 1000, 0)</f>
        <v>50128</v>
      </c>
      <c r="M365" s="30">
        <f>ROUND(Table1[[#This Row],[Content.Column4]] * 1000, 0)</f>
        <v>25170</v>
      </c>
      <c r="N365" s="30">
        <f>ROUND(Table1[[#This Row],[Content.Column5]] * 1000, 0)</f>
        <v>75298</v>
      </c>
      <c r="O365" s="30">
        <f>ROUND(Table1[[#This Row],[Content.Column6]] * 1000, 0)</f>
        <v>77277</v>
      </c>
      <c r="P365" s="27"/>
      <c r="Q365" s="27"/>
      <c r="R365"/>
      <c r="S365"/>
    </row>
    <row r="366" spans="1:19" x14ac:dyDescent="0.3">
      <c r="A366">
        <v>2016</v>
      </c>
      <c r="B366" t="s">
        <v>79</v>
      </c>
      <c r="C366" t="s">
        <v>78</v>
      </c>
      <c r="D366" s="34">
        <f>ROUND(Table1[[#This Row],[Content.Column7]] * 1000, 0)</f>
        <v>6525</v>
      </c>
      <c r="E366" s="34">
        <f>ROUND(Table1[[#This Row],[Content.Column8]] * 1000, 0)</f>
        <v>3423</v>
      </c>
      <c r="F366" s="34">
        <f>ROUND(Table1[[#This Row],[Content.Column9]] * 1000, 0)</f>
        <v>9947</v>
      </c>
      <c r="G366" s="34">
        <f>ROUND(Table1[[#This Row],[Content.Column10]] * 1000, 0)</f>
        <v>9957</v>
      </c>
      <c r="H366" s="32">
        <f>ROUND(Table1[[#This Row],[Content.Column11]] * 1000, 0)</f>
        <v>49330</v>
      </c>
      <c r="I366" s="32">
        <f>ROUND(Table1[[#This Row],[Content.Column12]] * 1000, 0)</f>
        <v>21505</v>
      </c>
      <c r="J366" s="32">
        <f>ROUND(Table1[[#This Row],[Content.Column13]] * 1000, 0)</f>
        <v>70835</v>
      </c>
      <c r="K366" s="32">
        <f>ROUND(Table1[[#This Row],[Content.Column14]] * 1000, 0)</f>
        <v>73152</v>
      </c>
      <c r="L366" s="30">
        <f>ROUND(Table1[[#This Row],[Content.Column3]] * 1000, 0)</f>
        <v>55855</v>
      </c>
      <c r="M366" s="30">
        <f>ROUND(Table1[[#This Row],[Content.Column4]] * 1000, 0)</f>
        <v>24927</v>
      </c>
      <c r="N366" s="30">
        <f>ROUND(Table1[[#This Row],[Content.Column5]] * 1000, 0)</f>
        <v>80782</v>
      </c>
      <c r="O366" s="30">
        <f>ROUND(Table1[[#This Row],[Content.Column6]] * 1000, 0)</f>
        <v>83108</v>
      </c>
      <c r="P366" s="27"/>
      <c r="Q366" s="27"/>
      <c r="R366"/>
      <c r="S366"/>
    </row>
    <row r="367" spans="1:19" x14ac:dyDescent="0.3">
      <c r="A367">
        <v>2016</v>
      </c>
      <c r="B367" t="s">
        <v>81</v>
      </c>
      <c r="C367" t="s">
        <v>80</v>
      </c>
      <c r="D367" s="34">
        <f>ROUND(Table1[[#This Row],[Content.Column7]] * 1000, 0)</f>
        <v>34085</v>
      </c>
      <c r="E367" s="34">
        <f>ROUND(Table1[[#This Row],[Content.Column8]] * 1000, 0)</f>
        <v>6366</v>
      </c>
      <c r="F367" s="34">
        <f>ROUND(Table1[[#This Row],[Content.Column9]] * 1000, 0)</f>
        <v>40451</v>
      </c>
      <c r="G367" s="34">
        <f>ROUND(Table1[[#This Row],[Content.Column10]] * 1000, 0)</f>
        <v>40693</v>
      </c>
      <c r="H367" s="32">
        <f>ROUND(Table1[[#This Row],[Content.Column11]] * 1000, 0)</f>
        <v>149264</v>
      </c>
      <c r="I367" s="32">
        <f>ROUND(Table1[[#This Row],[Content.Column12]] * 1000, 0)</f>
        <v>40845</v>
      </c>
      <c r="J367" s="32">
        <f>ROUND(Table1[[#This Row],[Content.Column13]] * 1000, 0)</f>
        <v>190108</v>
      </c>
      <c r="K367" s="32">
        <f>ROUND(Table1[[#This Row],[Content.Column14]] * 1000, 0)</f>
        <v>196079</v>
      </c>
      <c r="L367" s="30">
        <f>ROUND(Table1[[#This Row],[Content.Column3]] * 1000, 0)</f>
        <v>183349</v>
      </c>
      <c r="M367" s="30">
        <f>ROUND(Table1[[#This Row],[Content.Column4]] * 1000, 0)</f>
        <v>47211</v>
      </c>
      <c r="N367" s="30">
        <f>ROUND(Table1[[#This Row],[Content.Column5]] * 1000, 0)</f>
        <v>230559</v>
      </c>
      <c r="O367" s="30">
        <f>ROUND(Table1[[#This Row],[Content.Column6]] * 1000, 0)</f>
        <v>236772</v>
      </c>
      <c r="P367" s="27"/>
      <c r="Q367" s="27"/>
      <c r="R367"/>
      <c r="S367"/>
    </row>
    <row r="368" spans="1:19" x14ac:dyDescent="0.3">
      <c r="A368">
        <v>2016</v>
      </c>
      <c r="B368" t="s">
        <v>83</v>
      </c>
      <c r="C368" t="s">
        <v>82</v>
      </c>
      <c r="D368" s="34">
        <f>ROUND(Table1[[#This Row],[Content.Column7]] * 1000, 0)</f>
        <v>8637</v>
      </c>
      <c r="E368" s="34">
        <f>ROUND(Table1[[#This Row],[Content.Column8]] * 1000, 0)</f>
        <v>4955</v>
      </c>
      <c r="F368" s="34">
        <f>ROUND(Table1[[#This Row],[Content.Column9]] * 1000, 0)</f>
        <v>13592</v>
      </c>
      <c r="G368" s="34">
        <f>ROUND(Table1[[#This Row],[Content.Column10]] * 1000, 0)</f>
        <v>13704</v>
      </c>
      <c r="H368" s="32">
        <f>ROUND(Table1[[#This Row],[Content.Column11]] * 1000, 0)</f>
        <v>36907</v>
      </c>
      <c r="I368" s="32">
        <f>ROUND(Table1[[#This Row],[Content.Column12]] * 1000, 0)</f>
        <v>21192</v>
      </c>
      <c r="J368" s="32">
        <f>ROUND(Table1[[#This Row],[Content.Column13]] * 1000, 0)</f>
        <v>58098</v>
      </c>
      <c r="K368" s="32">
        <f>ROUND(Table1[[#This Row],[Content.Column14]] * 1000, 0)</f>
        <v>59817</v>
      </c>
      <c r="L368" s="30">
        <f>ROUND(Table1[[#This Row],[Content.Column3]] * 1000, 0)</f>
        <v>45544</v>
      </c>
      <c r="M368" s="30">
        <f>ROUND(Table1[[#This Row],[Content.Column4]] * 1000, 0)</f>
        <v>26147</v>
      </c>
      <c r="N368" s="30">
        <f>ROUND(Table1[[#This Row],[Content.Column5]] * 1000, 0)</f>
        <v>71690</v>
      </c>
      <c r="O368" s="30">
        <f>ROUND(Table1[[#This Row],[Content.Column6]] * 1000, 0)</f>
        <v>73522</v>
      </c>
      <c r="P368" s="27"/>
      <c r="Q368" s="27"/>
      <c r="R368"/>
      <c r="S368"/>
    </row>
    <row r="369" spans="1:19" x14ac:dyDescent="0.3">
      <c r="A369">
        <v>2016</v>
      </c>
      <c r="B369" t="s">
        <v>85</v>
      </c>
      <c r="C369" t="s">
        <v>84</v>
      </c>
      <c r="D369" s="34">
        <f>ROUND(Table1[[#This Row],[Content.Column7]] * 1000, 0)</f>
        <v>29878</v>
      </c>
      <c r="E369" s="34">
        <f>ROUND(Table1[[#This Row],[Content.Column8]] * 1000, 0)</f>
        <v>13438</v>
      </c>
      <c r="F369" s="34">
        <f>ROUND(Table1[[#This Row],[Content.Column9]] * 1000, 0)</f>
        <v>43316</v>
      </c>
      <c r="G369" s="34">
        <f>ROUND(Table1[[#This Row],[Content.Column10]] * 1000, 0)</f>
        <v>43444</v>
      </c>
      <c r="H369" s="32">
        <f>ROUND(Table1[[#This Row],[Content.Column11]] * 1000, 0)</f>
        <v>188660</v>
      </c>
      <c r="I369" s="32">
        <f>ROUND(Table1[[#This Row],[Content.Column12]] * 1000, 0)</f>
        <v>45030</v>
      </c>
      <c r="J369" s="32">
        <f>ROUND(Table1[[#This Row],[Content.Column13]] * 1000, 0)</f>
        <v>233690</v>
      </c>
      <c r="K369" s="32">
        <f>ROUND(Table1[[#This Row],[Content.Column14]] * 1000, 0)</f>
        <v>238272</v>
      </c>
      <c r="L369" s="30">
        <f>ROUND(Table1[[#This Row],[Content.Column3]] * 1000, 0)</f>
        <v>218537</v>
      </c>
      <c r="M369" s="30">
        <f>ROUND(Table1[[#This Row],[Content.Column4]] * 1000, 0)</f>
        <v>58468</v>
      </c>
      <c r="N369" s="30">
        <f>ROUND(Table1[[#This Row],[Content.Column5]] * 1000, 0)</f>
        <v>277005</v>
      </c>
      <c r="O369" s="30">
        <f>ROUND(Table1[[#This Row],[Content.Column6]] * 1000, 0)</f>
        <v>281717</v>
      </c>
      <c r="P369" s="27"/>
      <c r="Q369" s="27"/>
      <c r="R369"/>
      <c r="S369"/>
    </row>
    <row r="370" spans="1:19" x14ac:dyDescent="0.3">
      <c r="A370">
        <v>2016</v>
      </c>
      <c r="B370" t="s">
        <v>87</v>
      </c>
      <c r="C370" t="s">
        <v>86</v>
      </c>
      <c r="D370" s="34">
        <f>ROUND(Table1[[#This Row],[Content.Column7]] * 1000, 0)</f>
        <v>10049</v>
      </c>
      <c r="E370" s="34">
        <f>ROUND(Table1[[#This Row],[Content.Column8]] * 1000, 0)</f>
        <v>4403</v>
      </c>
      <c r="F370" s="34">
        <f>ROUND(Table1[[#This Row],[Content.Column9]] * 1000, 0)</f>
        <v>14451</v>
      </c>
      <c r="G370" s="34">
        <f>ROUND(Table1[[#This Row],[Content.Column10]] * 1000, 0)</f>
        <v>14460</v>
      </c>
      <c r="H370" s="32">
        <f>ROUND(Table1[[#This Row],[Content.Column11]] * 1000, 0)</f>
        <v>38140</v>
      </c>
      <c r="I370" s="32">
        <f>ROUND(Table1[[#This Row],[Content.Column12]] * 1000, 0)</f>
        <v>17012</v>
      </c>
      <c r="J370" s="32">
        <f>ROUND(Table1[[#This Row],[Content.Column13]] * 1000, 0)</f>
        <v>55152</v>
      </c>
      <c r="K370" s="32">
        <f>ROUND(Table1[[#This Row],[Content.Column14]] * 1000, 0)</f>
        <v>56975</v>
      </c>
      <c r="L370" s="30">
        <f>ROUND(Table1[[#This Row],[Content.Column3]] * 1000, 0)</f>
        <v>48189</v>
      </c>
      <c r="M370" s="30">
        <f>ROUND(Table1[[#This Row],[Content.Column4]] * 1000, 0)</f>
        <v>21414</v>
      </c>
      <c r="N370" s="30">
        <f>ROUND(Table1[[#This Row],[Content.Column5]] * 1000, 0)</f>
        <v>69604</v>
      </c>
      <c r="O370" s="30">
        <f>ROUND(Table1[[#This Row],[Content.Column6]] * 1000, 0)</f>
        <v>71435</v>
      </c>
      <c r="P370" s="27"/>
      <c r="Q370" s="27"/>
      <c r="R370"/>
      <c r="S370"/>
    </row>
    <row r="371" spans="1:19" x14ac:dyDescent="0.3">
      <c r="A371">
        <v>2016</v>
      </c>
      <c r="B371" t="s">
        <v>89</v>
      </c>
      <c r="C371" t="s">
        <v>88</v>
      </c>
      <c r="D371" s="34">
        <f>ROUND(Table1[[#This Row],[Content.Column7]] * 1000, 0)</f>
        <v>17737</v>
      </c>
      <c r="E371" s="34">
        <f>ROUND(Table1[[#This Row],[Content.Column8]] * 1000, 0)</f>
        <v>7369</v>
      </c>
      <c r="F371" s="34">
        <f>ROUND(Table1[[#This Row],[Content.Column9]] * 1000, 0)</f>
        <v>25105</v>
      </c>
      <c r="G371" s="34">
        <f>ROUND(Table1[[#This Row],[Content.Column10]] * 1000, 0)</f>
        <v>25115</v>
      </c>
      <c r="H371" s="32">
        <f>ROUND(Table1[[#This Row],[Content.Column11]] * 1000, 0)</f>
        <v>63093</v>
      </c>
      <c r="I371" s="32">
        <f>ROUND(Table1[[#This Row],[Content.Column12]] * 1000, 0)</f>
        <v>28788</v>
      </c>
      <c r="J371" s="32">
        <f>ROUND(Table1[[#This Row],[Content.Column13]] * 1000, 0)</f>
        <v>91881</v>
      </c>
      <c r="K371" s="32">
        <f>ROUND(Table1[[#This Row],[Content.Column14]] * 1000, 0)</f>
        <v>94460</v>
      </c>
      <c r="L371" s="30">
        <f>ROUND(Table1[[#This Row],[Content.Column3]] * 1000, 0)</f>
        <v>80829</v>
      </c>
      <c r="M371" s="30">
        <f>ROUND(Table1[[#This Row],[Content.Column4]] * 1000, 0)</f>
        <v>36157</v>
      </c>
      <c r="N371" s="30">
        <f>ROUND(Table1[[#This Row],[Content.Column5]] * 1000, 0)</f>
        <v>116986</v>
      </c>
      <c r="O371" s="30">
        <f>ROUND(Table1[[#This Row],[Content.Column6]] * 1000, 0)</f>
        <v>119575</v>
      </c>
      <c r="P371" s="27"/>
      <c r="Q371" s="27"/>
      <c r="R371"/>
      <c r="S371"/>
    </row>
    <row r="372" spans="1:19" x14ac:dyDescent="0.3">
      <c r="A372">
        <v>2016</v>
      </c>
      <c r="B372" t="s">
        <v>91</v>
      </c>
      <c r="C372" t="s">
        <v>90</v>
      </c>
      <c r="D372" s="34">
        <f>ROUND(Table1[[#This Row],[Content.Column7]] * 1000, 0)</f>
        <v>81142</v>
      </c>
      <c r="E372" s="34">
        <f>ROUND(Table1[[#This Row],[Content.Column8]] * 1000, 0)</f>
        <v>10973</v>
      </c>
      <c r="F372" s="34">
        <f>ROUND(Table1[[#This Row],[Content.Column9]] * 1000, 0)</f>
        <v>92115</v>
      </c>
      <c r="G372" s="34">
        <f>ROUND(Table1[[#This Row],[Content.Column10]] * 1000, 0)</f>
        <v>92536</v>
      </c>
      <c r="H372" s="32">
        <f>ROUND(Table1[[#This Row],[Content.Column11]] * 1000, 0)</f>
        <v>472910</v>
      </c>
      <c r="I372" s="32">
        <f>ROUND(Table1[[#This Row],[Content.Column12]] * 1000, 0)</f>
        <v>135969</v>
      </c>
      <c r="J372" s="32">
        <f>ROUND(Table1[[#This Row],[Content.Column13]] * 1000, 0)</f>
        <v>608880</v>
      </c>
      <c r="K372" s="32">
        <f>ROUND(Table1[[#This Row],[Content.Column14]] * 1000, 0)</f>
        <v>631377</v>
      </c>
      <c r="L372" s="30">
        <f>ROUND(Table1[[#This Row],[Content.Column3]] * 1000, 0)</f>
        <v>554052</v>
      </c>
      <c r="M372" s="30">
        <f>ROUND(Table1[[#This Row],[Content.Column4]] * 1000, 0)</f>
        <v>146942</v>
      </c>
      <c r="N372" s="30">
        <f>ROUND(Table1[[#This Row],[Content.Column5]] * 1000, 0)</f>
        <v>700994</v>
      </c>
      <c r="O372" s="30">
        <f>ROUND(Table1[[#This Row],[Content.Column6]] * 1000, 0)</f>
        <v>723913</v>
      </c>
      <c r="P372" s="27"/>
      <c r="Q372" s="27"/>
      <c r="R372"/>
      <c r="S372"/>
    </row>
    <row r="373" spans="1:19" x14ac:dyDescent="0.3">
      <c r="A373">
        <v>2016</v>
      </c>
      <c r="B373" t="s">
        <v>93</v>
      </c>
      <c r="C373" t="s">
        <v>92</v>
      </c>
      <c r="D373" s="34">
        <f>ROUND(Table1[[#This Row],[Content.Column7]] * 1000, 0)</f>
        <v>339751</v>
      </c>
      <c r="E373" s="34">
        <f>ROUND(Table1[[#This Row],[Content.Column8]] * 1000, 0)</f>
        <v>93734</v>
      </c>
      <c r="F373" s="34">
        <f>ROUND(Table1[[#This Row],[Content.Column9]] * 1000, 0)</f>
        <v>433485</v>
      </c>
      <c r="G373" s="34">
        <f>ROUND(Table1[[#This Row],[Content.Column10]] * 1000, 0)</f>
        <v>435108</v>
      </c>
      <c r="H373" s="32">
        <f>ROUND(Table1[[#This Row],[Content.Column11]] * 1000, 0)</f>
        <v>2094525</v>
      </c>
      <c r="I373" s="32">
        <f>ROUND(Table1[[#This Row],[Content.Column12]] * 1000, 0)</f>
        <v>615494</v>
      </c>
      <c r="J373" s="32">
        <f>ROUND(Table1[[#This Row],[Content.Column13]] * 1000, 0)</f>
        <v>2710018</v>
      </c>
      <c r="K373" s="32">
        <f>ROUND(Table1[[#This Row],[Content.Column14]] * 1000, 0)</f>
        <v>2794555</v>
      </c>
      <c r="L373" s="30">
        <f>ROUND(Table1[[#This Row],[Content.Column3]] * 1000, 0)</f>
        <v>2434276</v>
      </c>
      <c r="M373" s="30">
        <f>ROUND(Table1[[#This Row],[Content.Column4]] * 1000, 0)</f>
        <v>709228</v>
      </c>
      <c r="N373" s="30">
        <f>ROUND(Table1[[#This Row],[Content.Column5]] * 1000, 0)</f>
        <v>3143503</v>
      </c>
      <c r="O373" s="30">
        <f>ROUND(Table1[[#This Row],[Content.Column6]] * 1000, 0)</f>
        <v>3229662</v>
      </c>
      <c r="P373" s="27"/>
      <c r="Q373" s="27"/>
      <c r="R373"/>
      <c r="S373"/>
    </row>
    <row r="374" spans="1:19" x14ac:dyDescent="0.3">
      <c r="A374">
        <v>2016</v>
      </c>
      <c r="B374" t="s">
        <v>95</v>
      </c>
      <c r="C374" t="s">
        <v>94</v>
      </c>
      <c r="D374" s="34">
        <f>ROUND(Table1[[#This Row],[Content.Column7]] * 1000, 0)</f>
        <v>194362</v>
      </c>
      <c r="E374" s="34">
        <f>ROUND(Table1[[#This Row],[Content.Column8]] * 1000, 0)</f>
        <v>108318</v>
      </c>
      <c r="F374" s="34">
        <f>ROUND(Table1[[#This Row],[Content.Column9]] * 1000, 0)</f>
        <v>302680</v>
      </c>
      <c r="G374" s="34">
        <f>ROUND(Table1[[#This Row],[Content.Column10]] * 1000, 0)</f>
        <v>303129</v>
      </c>
      <c r="H374" s="32">
        <f>ROUND(Table1[[#This Row],[Content.Column11]] * 1000, 0)</f>
        <v>1086581</v>
      </c>
      <c r="I374" s="32">
        <f>ROUND(Table1[[#This Row],[Content.Column12]] * 1000, 0)</f>
        <v>486296</v>
      </c>
      <c r="J374" s="32">
        <f>ROUND(Table1[[#This Row],[Content.Column13]] * 1000, 0)</f>
        <v>1572878</v>
      </c>
      <c r="K374" s="32">
        <f>ROUND(Table1[[#This Row],[Content.Column14]] * 1000, 0)</f>
        <v>1614411</v>
      </c>
      <c r="L374" s="30">
        <f>ROUND(Table1[[#This Row],[Content.Column3]] * 1000, 0)</f>
        <v>1280943</v>
      </c>
      <c r="M374" s="30">
        <f>ROUND(Table1[[#This Row],[Content.Column4]] * 1000, 0)</f>
        <v>594614</v>
      </c>
      <c r="N374" s="30">
        <f>ROUND(Table1[[#This Row],[Content.Column5]] * 1000, 0)</f>
        <v>1875557</v>
      </c>
      <c r="O374" s="30">
        <f>ROUND(Table1[[#This Row],[Content.Column6]] * 1000, 0)</f>
        <v>1917540</v>
      </c>
      <c r="P374" s="27"/>
      <c r="Q374" s="27"/>
      <c r="R374"/>
      <c r="S374"/>
    </row>
    <row r="375" spans="1:19" x14ac:dyDescent="0.3">
      <c r="A375">
        <v>2016</v>
      </c>
      <c r="B375" t="s">
        <v>97</v>
      </c>
      <c r="C375" t="s">
        <v>96</v>
      </c>
      <c r="D375" s="34">
        <f>ROUND(Table1[[#This Row],[Content.Column7]] * 1000, 0)</f>
        <v>143848</v>
      </c>
      <c r="E375" s="34">
        <f>ROUND(Table1[[#This Row],[Content.Column8]] * 1000, 0)</f>
        <v>84257</v>
      </c>
      <c r="F375" s="34">
        <f>ROUND(Table1[[#This Row],[Content.Column9]] * 1000, 0)</f>
        <v>228105</v>
      </c>
      <c r="G375" s="34">
        <f>ROUND(Table1[[#This Row],[Content.Column10]] * 1000, 0)</f>
        <v>228574</v>
      </c>
      <c r="H375" s="32">
        <f>ROUND(Table1[[#This Row],[Content.Column11]] * 1000, 0)</f>
        <v>542628</v>
      </c>
      <c r="I375" s="32">
        <f>ROUND(Table1[[#This Row],[Content.Column12]] * 1000, 0)</f>
        <v>266115</v>
      </c>
      <c r="J375" s="32">
        <f>ROUND(Table1[[#This Row],[Content.Column13]] * 1000, 0)</f>
        <v>808743</v>
      </c>
      <c r="K375" s="32">
        <f>ROUND(Table1[[#This Row],[Content.Column14]] * 1000, 0)</f>
        <v>843853</v>
      </c>
      <c r="L375" s="30">
        <f>ROUND(Table1[[#This Row],[Content.Column3]] * 1000, 0)</f>
        <v>686476</v>
      </c>
      <c r="M375" s="30">
        <f>ROUND(Table1[[#This Row],[Content.Column4]] * 1000, 0)</f>
        <v>350372</v>
      </c>
      <c r="N375" s="30">
        <f>ROUND(Table1[[#This Row],[Content.Column5]] * 1000, 0)</f>
        <v>1036848</v>
      </c>
      <c r="O375" s="30">
        <f>ROUND(Table1[[#This Row],[Content.Column6]] * 1000, 0)</f>
        <v>1072428</v>
      </c>
      <c r="P375" s="27"/>
      <c r="Q375" s="27"/>
      <c r="R375"/>
      <c r="S375"/>
    </row>
    <row r="376" spans="1:19" x14ac:dyDescent="0.3">
      <c r="A376">
        <v>2016</v>
      </c>
      <c r="B376" t="s">
        <v>99</v>
      </c>
      <c r="C376" t="s">
        <v>98</v>
      </c>
      <c r="D376" s="34">
        <f>ROUND(Table1[[#This Row],[Content.Column7]] * 1000, 0)</f>
        <v>378912</v>
      </c>
      <c r="E376" s="34">
        <f>ROUND(Table1[[#This Row],[Content.Column8]] * 1000, 0)</f>
        <v>225875</v>
      </c>
      <c r="F376" s="34">
        <f>ROUND(Table1[[#This Row],[Content.Column9]] * 1000, 0)</f>
        <v>604787</v>
      </c>
      <c r="G376" s="34">
        <f>ROUND(Table1[[#This Row],[Content.Column10]] * 1000, 0)</f>
        <v>605919</v>
      </c>
      <c r="H376" s="32">
        <f>ROUND(Table1[[#This Row],[Content.Column11]] * 1000, 0)</f>
        <v>1800545</v>
      </c>
      <c r="I376" s="32">
        <f>ROUND(Table1[[#This Row],[Content.Column12]] * 1000, 0)</f>
        <v>840867</v>
      </c>
      <c r="J376" s="32">
        <f>ROUND(Table1[[#This Row],[Content.Column13]] * 1000, 0)</f>
        <v>2641414</v>
      </c>
      <c r="K376" s="32">
        <f>ROUND(Table1[[#This Row],[Content.Column14]] * 1000, 0)</f>
        <v>2738058</v>
      </c>
      <c r="L376" s="30">
        <f>ROUND(Table1[[#This Row],[Content.Column3]] * 1000, 0)</f>
        <v>2179457</v>
      </c>
      <c r="M376" s="30">
        <f>ROUND(Table1[[#This Row],[Content.Column4]] * 1000, 0)</f>
        <v>1066742</v>
      </c>
      <c r="N376" s="30">
        <f>ROUND(Table1[[#This Row],[Content.Column5]] * 1000, 0)</f>
        <v>3246201</v>
      </c>
      <c r="O376" s="30">
        <f>ROUND(Table1[[#This Row],[Content.Column6]] * 1000, 0)</f>
        <v>3343977</v>
      </c>
      <c r="P376" s="27"/>
      <c r="Q376" s="27"/>
      <c r="R376"/>
      <c r="S376"/>
    </row>
    <row r="377" spans="1:19" x14ac:dyDescent="0.3">
      <c r="A377">
        <v>2016</v>
      </c>
      <c r="B377" t="s">
        <v>101</v>
      </c>
      <c r="C377" t="s">
        <v>100</v>
      </c>
      <c r="D377" s="34">
        <f>ROUND(Table1[[#This Row],[Content.Column7]] * 1000, 0)</f>
        <v>271781</v>
      </c>
      <c r="E377" s="34">
        <f>ROUND(Table1[[#This Row],[Content.Column8]] * 1000, 0)</f>
        <v>174397</v>
      </c>
      <c r="F377" s="34">
        <f>ROUND(Table1[[#This Row],[Content.Column9]] * 1000, 0)</f>
        <v>446178</v>
      </c>
      <c r="G377" s="34">
        <f>ROUND(Table1[[#This Row],[Content.Column10]] * 1000, 0)</f>
        <v>447136</v>
      </c>
      <c r="H377" s="32">
        <f>ROUND(Table1[[#This Row],[Content.Column11]] * 1000, 0)</f>
        <v>1284904</v>
      </c>
      <c r="I377" s="32">
        <f>ROUND(Table1[[#This Row],[Content.Column12]] * 1000, 0)</f>
        <v>609060</v>
      </c>
      <c r="J377" s="32">
        <f>ROUND(Table1[[#This Row],[Content.Column13]] * 1000, 0)</f>
        <v>1893965</v>
      </c>
      <c r="K377" s="32">
        <f>ROUND(Table1[[#This Row],[Content.Column14]] * 1000, 0)</f>
        <v>1971993</v>
      </c>
      <c r="L377" s="30">
        <f>ROUND(Table1[[#This Row],[Content.Column3]] * 1000, 0)</f>
        <v>1556685</v>
      </c>
      <c r="M377" s="30">
        <f>ROUND(Table1[[#This Row],[Content.Column4]] * 1000, 0)</f>
        <v>783457</v>
      </c>
      <c r="N377" s="30">
        <f>ROUND(Table1[[#This Row],[Content.Column5]] * 1000, 0)</f>
        <v>2340143</v>
      </c>
      <c r="O377" s="30">
        <f>ROUND(Table1[[#This Row],[Content.Column6]] * 1000, 0)</f>
        <v>2419129</v>
      </c>
      <c r="P377" s="27"/>
      <c r="Q377" s="27"/>
      <c r="R377"/>
      <c r="S377"/>
    </row>
    <row r="378" spans="1:19" x14ac:dyDescent="0.3">
      <c r="A378">
        <v>2016</v>
      </c>
      <c r="B378" t="s">
        <v>103</v>
      </c>
      <c r="C378" t="s">
        <v>102</v>
      </c>
      <c r="D378" s="34">
        <f>ROUND(Table1[[#This Row],[Content.Column7]] * 1000, 0)</f>
        <v>192686</v>
      </c>
      <c r="E378" s="34">
        <f>ROUND(Table1[[#This Row],[Content.Column8]] * 1000, 0)</f>
        <v>138312</v>
      </c>
      <c r="F378" s="34">
        <f>ROUND(Table1[[#This Row],[Content.Column9]] * 1000, 0)</f>
        <v>330998</v>
      </c>
      <c r="G378" s="34">
        <f>ROUND(Table1[[#This Row],[Content.Column10]] * 1000, 0)</f>
        <v>332107</v>
      </c>
      <c r="H378" s="32">
        <f>ROUND(Table1[[#This Row],[Content.Column11]] * 1000, 0)</f>
        <v>1197212</v>
      </c>
      <c r="I378" s="32">
        <f>ROUND(Table1[[#This Row],[Content.Column12]] * 1000, 0)</f>
        <v>533520</v>
      </c>
      <c r="J378" s="32">
        <f>ROUND(Table1[[#This Row],[Content.Column13]] * 1000, 0)</f>
        <v>1730733</v>
      </c>
      <c r="K378" s="32">
        <f>ROUND(Table1[[#This Row],[Content.Column14]] * 1000, 0)</f>
        <v>1801178</v>
      </c>
      <c r="L378" s="30">
        <f>ROUND(Table1[[#This Row],[Content.Column3]] * 1000, 0)</f>
        <v>1389898</v>
      </c>
      <c r="M378" s="30">
        <f>ROUND(Table1[[#This Row],[Content.Column4]] * 1000, 0)</f>
        <v>671832</v>
      </c>
      <c r="N378" s="30">
        <f>ROUND(Table1[[#This Row],[Content.Column5]] * 1000, 0)</f>
        <v>2061731</v>
      </c>
      <c r="O378" s="30">
        <f>ROUND(Table1[[#This Row],[Content.Column6]] * 1000, 0)</f>
        <v>2133285</v>
      </c>
      <c r="P378" s="27"/>
      <c r="Q378" s="27"/>
      <c r="R378"/>
      <c r="S378"/>
    </row>
    <row r="379" spans="1:19" x14ac:dyDescent="0.3">
      <c r="A379">
        <v>2016</v>
      </c>
      <c r="B379" t="s">
        <v>105</v>
      </c>
      <c r="C379" t="s">
        <v>104</v>
      </c>
      <c r="D379" s="34">
        <f>ROUND(Table1[[#This Row],[Content.Column7]] * 1000, 0)</f>
        <v>265397</v>
      </c>
      <c r="E379" s="34">
        <f>ROUND(Table1[[#This Row],[Content.Column8]] * 1000, 0)</f>
        <v>168415</v>
      </c>
      <c r="F379" s="34">
        <f>ROUND(Table1[[#This Row],[Content.Column9]] * 1000, 0)</f>
        <v>433812</v>
      </c>
      <c r="G379" s="34">
        <f>ROUND(Table1[[#This Row],[Content.Column10]] * 1000, 0)</f>
        <v>434297</v>
      </c>
      <c r="H379" s="32">
        <f>ROUND(Table1[[#This Row],[Content.Column11]] * 1000, 0)</f>
        <v>1440959</v>
      </c>
      <c r="I379" s="32">
        <f>ROUND(Table1[[#This Row],[Content.Column12]] * 1000, 0)</f>
        <v>630605</v>
      </c>
      <c r="J379" s="32">
        <f>ROUND(Table1[[#This Row],[Content.Column13]] * 1000, 0)</f>
        <v>2071563</v>
      </c>
      <c r="K379" s="32">
        <f>ROUND(Table1[[#This Row],[Content.Column14]] * 1000, 0)</f>
        <v>2151976</v>
      </c>
      <c r="L379" s="30">
        <f>ROUND(Table1[[#This Row],[Content.Column3]] * 1000, 0)</f>
        <v>1706356</v>
      </c>
      <c r="M379" s="30">
        <f>ROUND(Table1[[#This Row],[Content.Column4]] * 1000, 0)</f>
        <v>799020</v>
      </c>
      <c r="N379" s="30">
        <f>ROUND(Table1[[#This Row],[Content.Column5]] * 1000, 0)</f>
        <v>2505375</v>
      </c>
      <c r="O379" s="30">
        <f>ROUND(Table1[[#This Row],[Content.Column6]] * 1000, 0)</f>
        <v>2586273</v>
      </c>
      <c r="P379" s="27"/>
      <c r="Q379" s="27"/>
      <c r="R379"/>
      <c r="S379"/>
    </row>
    <row r="380" spans="1:19" x14ac:dyDescent="0.3">
      <c r="A380">
        <v>2016</v>
      </c>
      <c r="B380" t="s">
        <v>107</v>
      </c>
      <c r="C380" t="s">
        <v>106</v>
      </c>
      <c r="D380" s="34">
        <f>ROUND(Table1[[#This Row],[Content.Column7]] * 1000, 0)</f>
        <v>233722</v>
      </c>
      <c r="E380" s="34">
        <f>ROUND(Table1[[#This Row],[Content.Column8]] * 1000, 0)</f>
        <v>190298</v>
      </c>
      <c r="F380" s="34">
        <f>ROUND(Table1[[#This Row],[Content.Column9]] * 1000, 0)</f>
        <v>424020</v>
      </c>
      <c r="G380" s="34">
        <f>ROUND(Table1[[#This Row],[Content.Column10]] * 1000, 0)</f>
        <v>424821</v>
      </c>
      <c r="H380" s="32">
        <f>ROUND(Table1[[#This Row],[Content.Column11]] * 1000, 0)</f>
        <v>1536382</v>
      </c>
      <c r="I380" s="32">
        <f>ROUND(Table1[[#This Row],[Content.Column12]] * 1000, 0)</f>
        <v>740960</v>
      </c>
      <c r="J380" s="32">
        <f>ROUND(Table1[[#This Row],[Content.Column13]] * 1000, 0)</f>
        <v>2277341</v>
      </c>
      <c r="K380" s="32">
        <f>ROUND(Table1[[#This Row],[Content.Column14]] * 1000, 0)</f>
        <v>2376537</v>
      </c>
      <c r="L380" s="30">
        <f>ROUND(Table1[[#This Row],[Content.Column3]] * 1000, 0)</f>
        <v>1770104</v>
      </c>
      <c r="M380" s="30">
        <f>ROUND(Table1[[#This Row],[Content.Column4]] * 1000, 0)</f>
        <v>931258</v>
      </c>
      <c r="N380" s="30">
        <f>ROUND(Table1[[#This Row],[Content.Column5]] * 1000, 0)</f>
        <v>2701361</v>
      </c>
      <c r="O380" s="30">
        <f>ROUND(Table1[[#This Row],[Content.Column6]] * 1000, 0)</f>
        <v>2801358</v>
      </c>
      <c r="P380" s="27"/>
      <c r="Q380" s="27"/>
      <c r="R380"/>
      <c r="S380"/>
    </row>
    <row r="381" spans="1:19" x14ac:dyDescent="0.3">
      <c r="A381">
        <v>2016</v>
      </c>
      <c r="B381" t="s">
        <v>109</v>
      </c>
      <c r="C381" t="s">
        <v>108</v>
      </c>
      <c r="D381" s="34">
        <f>ROUND(Table1[[#This Row],[Content.Column7]] * 1000, 0)</f>
        <v>534113</v>
      </c>
      <c r="E381" s="34">
        <f>ROUND(Table1[[#This Row],[Content.Column8]] * 1000, 0)</f>
        <v>202052</v>
      </c>
      <c r="F381" s="34">
        <f>ROUND(Table1[[#This Row],[Content.Column9]] * 1000, 0)</f>
        <v>736164</v>
      </c>
      <c r="G381" s="34">
        <f>ROUND(Table1[[#This Row],[Content.Column10]] * 1000, 0)</f>
        <v>738236</v>
      </c>
      <c r="H381" s="32">
        <f>ROUND(Table1[[#This Row],[Content.Column11]] * 1000, 0)</f>
        <v>3181105</v>
      </c>
      <c r="I381" s="32">
        <f>ROUND(Table1[[#This Row],[Content.Column12]] * 1000, 0)</f>
        <v>1101790</v>
      </c>
      <c r="J381" s="32">
        <f>ROUND(Table1[[#This Row],[Content.Column13]] * 1000, 0)</f>
        <v>4282895</v>
      </c>
      <c r="K381" s="32">
        <f>ROUND(Table1[[#This Row],[Content.Column14]] * 1000, 0)</f>
        <v>4408966</v>
      </c>
      <c r="L381" s="30">
        <f>ROUND(Table1[[#This Row],[Content.Column3]] * 1000, 0)</f>
        <v>3715218</v>
      </c>
      <c r="M381" s="30">
        <f>ROUND(Table1[[#This Row],[Content.Column4]] * 1000, 0)</f>
        <v>1303842</v>
      </c>
      <c r="N381" s="30">
        <f>ROUND(Table1[[#This Row],[Content.Column5]] * 1000, 0)</f>
        <v>5019060</v>
      </c>
      <c r="O381" s="30">
        <f>ROUND(Table1[[#This Row],[Content.Column6]] * 1000, 0)</f>
        <v>5147202</v>
      </c>
      <c r="P381" s="27"/>
      <c r="Q381" s="27"/>
      <c r="R381"/>
      <c r="S381"/>
    </row>
    <row r="382" spans="1:19" x14ac:dyDescent="0.3">
      <c r="A382">
        <v>2016</v>
      </c>
      <c r="B382" t="s">
        <v>111</v>
      </c>
      <c r="C382" t="s">
        <v>110</v>
      </c>
      <c r="D382" s="34">
        <f>ROUND(Table1[[#This Row],[Content.Column7]] * 1000, 0)</f>
        <v>355313</v>
      </c>
      <c r="E382" s="34">
        <f>ROUND(Table1[[#This Row],[Content.Column8]] * 1000, 0)</f>
        <v>239898</v>
      </c>
      <c r="F382" s="34">
        <f>ROUND(Table1[[#This Row],[Content.Column9]] * 1000, 0)</f>
        <v>595211</v>
      </c>
      <c r="G382" s="34">
        <f>ROUND(Table1[[#This Row],[Content.Column10]] * 1000, 0)</f>
        <v>596813</v>
      </c>
      <c r="H382" s="32">
        <f>ROUND(Table1[[#This Row],[Content.Column11]] * 1000, 0)</f>
        <v>2444334</v>
      </c>
      <c r="I382" s="32">
        <f>ROUND(Table1[[#This Row],[Content.Column12]] * 1000, 0)</f>
        <v>1107613</v>
      </c>
      <c r="J382" s="32">
        <f>ROUND(Table1[[#This Row],[Content.Column13]] * 1000, 0)</f>
        <v>3551945</v>
      </c>
      <c r="K382" s="32">
        <f>ROUND(Table1[[#This Row],[Content.Column14]] * 1000, 0)</f>
        <v>3681170</v>
      </c>
      <c r="L382" s="30">
        <f>ROUND(Table1[[#This Row],[Content.Column3]] * 1000, 0)</f>
        <v>2799647</v>
      </c>
      <c r="M382" s="30">
        <f>ROUND(Table1[[#This Row],[Content.Column4]] * 1000, 0)</f>
        <v>1347511</v>
      </c>
      <c r="N382" s="30">
        <f>ROUND(Table1[[#This Row],[Content.Column5]] * 1000, 0)</f>
        <v>4147156</v>
      </c>
      <c r="O382" s="30">
        <f>ROUND(Table1[[#This Row],[Content.Column6]] * 1000, 0)</f>
        <v>4277983</v>
      </c>
      <c r="P382" s="27"/>
      <c r="Q382" s="27"/>
      <c r="R382"/>
      <c r="S382"/>
    </row>
    <row r="383" spans="1:19" x14ac:dyDescent="0.3">
      <c r="A383">
        <v>2016</v>
      </c>
      <c r="B383" t="s">
        <v>113</v>
      </c>
      <c r="C383" t="s">
        <v>112</v>
      </c>
      <c r="D383" s="34">
        <f>ROUND(Table1[[#This Row],[Content.Column7]] * 1000, 0)</f>
        <v>233842</v>
      </c>
      <c r="E383" s="34">
        <f>ROUND(Table1[[#This Row],[Content.Column8]] * 1000, 0)</f>
        <v>165447</v>
      </c>
      <c r="F383" s="34">
        <f>ROUND(Table1[[#This Row],[Content.Column9]] * 1000, 0)</f>
        <v>399289</v>
      </c>
      <c r="G383" s="34">
        <f>ROUND(Table1[[#This Row],[Content.Column10]] * 1000, 0)</f>
        <v>400605</v>
      </c>
      <c r="H383" s="32">
        <f>ROUND(Table1[[#This Row],[Content.Column11]] * 1000, 0)</f>
        <v>1338127</v>
      </c>
      <c r="I383" s="32">
        <f>ROUND(Table1[[#This Row],[Content.Column12]] * 1000, 0)</f>
        <v>682135</v>
      </c>
      <c r="J383" s="32">
        <f>ROUND(Table1[[#This Row],[Content.Column13]] * 1000, 0)</f>
        <v>2020261</v>
      </c>
      <c r="K383" s="32">
        <f>ROUND(Table1[[#This Row],[Content.Column14]] * 1000, 0)</f>
        <v>2148142</v>
      </c>
      <c r="L383" s="30">
        <f>ROUND(Table1[[#This Row],[Content.Column3]] * 1000, 0)</f>
        <v>1571969</v>
      </c>
      <c r="M383" s="30">
        <f>ROUND(Table1[[#This Row],[Content.Column4]] * 1000, 0)</f>
        <v>847582</v>
      </c>
      <c r="N383" s="30">
        <f>ROUND(Table1[[#This Row],[Content.Column5]] * 1000, 0)</f>
        <v>2419550</v>
      </c>
      <c r="O383" s="30">
        <f>ROUND(Table1[[#This Row],[Content.Column6]] * 1000, 0)</f>
        <v>2548747</v>
      </c>
      <c r="P383" s="27"/>
      <c r="Q383" s="27"/>
      <c r="R383"/>
      <c r="S383"/>
    </row>
    <row r="384" spans="1:19" x14ac:dyDescent="0.3">
      <c r="A384">
        <v>2016</v>
      </c>
      <c r="B384" t="s">
        <v>115</v>
      </c>
      <c r="C384" t="s">
        <v>114</v>
      </c>
      <c r="D384" s="34">
        <f>ROUND(Table1[[#This Row],[Content.Column7]] * 1000, 0)</f>
        <v>179809</v>
      </c>
      <c r="E384" s="34">
        <f>ROUND(Table1[[#This Row],[Content.Column8]] * 1000, 0)</f>
        <v>119215</v>
      </c>
      <c r="F384" s="34">
        <f>ROUND(Table1[[#This Row],[Content.Column9]] * 1000, 0)</f>
        <v>299024</v>
      </c>
      <c r="G384" s="34">
        <f>ROUND(Table1[[#This Row],[Content.Column10]] * 1000, 0)</f>
        <v>299069</v>
      </c>
      <c r="H384" s="32">
        <f>ROUND(Table1[[#This Row],[Content.Column11]] * 1000, 0)</f>
        <v>632598</v>
      </c>
      <c r="I384" s="32">
        <f>ROUND(Table1[[#This Row],[Content.Column12]] * 1000, 0)</f>
        <v>323938</v>
      </c>
      <c r="J384" s="32">
        <f>ROUND(Table1[[#This Row],[Content.Column13]] * 1000, 0)</f>
        <v>956536</v>
      </c>
      <c r="K384" s="32">
        <f>ROUND(Table1[[#This Row],[Content.Column14]] * 1000, 0)</f>
        <v>1034431</v>
      </c>
      <c r="L384" s="30">
        <f>ROUND(Table1[[#This Row],[Content.Column3]] * 1000, 0)</f>
        <v>812407</v>
      </c>
      <c r="M384" s="30">
        <f>ROUND(Table1[[#This Row],[Content.Column4]] * 1000, 0)</f>
        <v>443154</v>
      </c>
      <c r="N384" s="30">
        <f>ROUND(Table1[[#This Row],[Content.Column5]] * 1000, 0)</f>
        <v>1255560</v>
      </c>
      <c r="O384" s="30">
        <f>ROUND(Table1[[#This Row],[Content.Column6]] * 1000, 0)</f>
        <v>1333501</v>
      </c>
      <c r="P384" s="27"/>
      <c r="Q384" s="27"/>
      <c r="R384"/>
      <c r="S384"/>
    </row>
    <row r="385" spans="1:19" x14ac:dyDescent="0.3">
      <c r="A385">
        <v>2016</v>
      </c>
      <c r="B385" t="s">
        <v>117</v>
      </c>
      <c r="C385" t="s">
        <v>116</v>
      </c>
      <c r="D385" s="34">
        <f>ROUND(Table1[[#This Row],[Content.Column7]] * 1000, 0)</f>
        <v>353048</v>
      </c>
      <c r="E385" s="34">
        <f>ROUND(Table1[[#This Row],[Content.Column8]] * 1000, 0)</f>
        <v>224762</v>
      </c>
      <c r="F385" s="34">
        <f>ROUND(Table1[[#This Row],[Content.Column9]] * 1000, 0)</f>
        <v>577809</v>
      </c>
      <c r="G385" s="34">
        <f>ROUND(Table1[[#This Row],[Content.Column10]] * 1000, 0)</f>
        <v>578058</v>
      </c>
      <c r="H385" s="32">
        <f>ROUND(Table1[[#This Row],[Content.Column11]] * 1000, 0)</f>
        <v>1296265</v>
      </c>
      <c r="I385" s="32">
        <f>ROUND(Table1[[#This Row],[Content.Column12]] * 1000, 0)</f>
        <v>607059</v>
      </c>
      <c r="J385" s="32">
        <f>ROUND(Table1[[#This Row],[Content.Column13]] * 1000, 0)</f>
        <v>1903325</v>
      </c>
      <c r="K385" s="32">
        <f>ROUND(Table1[[#This Row],[Content.Column14]] * 1000, 0)</f>
        <v>2008212</v>
      </c>
      <c r="L385" s="30">
        <f>ROUND(Table1[[#This Row],[Content.Column3]] * 1000, 0)</f>
        <v>1649313</v>
      </c>
      <c r="M385" s="30">
        <f>ROUND(Table1[[#This Row],[Content.Column4]] * 1000, 0)</f>
        <v>831821</v>
      </c>
      <c r="N385" s="30">
        <f>ROUND(Table1[[#This Row],[Content.Column5]] * 1000, 0)</f>
        <v>2481134</v>
      </c>
      <c r="O385" s="30">
        <f>ROUND(Table1[[#This Row],[Content.Column6]] * 1000, 0)</f>
        <v>2586270</v>
      </c>
      <c r="P385" s="27"/>
      <c r="Q385" s="27"/>
      <c r="R385"/>
      <c r="S385"/>
    </row>
    <row r="386" spans="1:19" x14ac:dyDescent="0.3">
      <c r="A386">
        <v>2016</v>
      </c>
      <c r="B386" t="s">
        <v>119</v>
      </c>
      <c r="C386" t="s">
        <v>118</v>
      </c>
      <c r="D386" s="34">
        <f>ROUND(Table1[[#This Row],[Content.Column7]] * 1000, 0)</f>
        <v>2609614</v>
      </c>
      <c r="E386" s="34">
        <f>ROUND(Table1[[#This Row],[Content.Column8]] * 1000, 0)</f>
        <v>1588951</v>
      </c>
      <c r="F386" s="34">
        <f>ROUND(Table1[[#This Row],[Content.Column9]] * 1000, 0)</f>
        <v>4198565</v>
      </c>
      <c r="G386" s="34">
        <f>ROUND(Table1[[#This Row],[Content.Column10]] * 1000, 0)</f>
        <v>4208508</v>
      </c>
      <c r="H386" s="32">
        <f>ROUND(Table1[[#This Row],[Content.Column11]] * 1000, 0)</f>
        <v>14766196</v>
      </c>
      <c r="I386" s="32">
        <f>ROUND(Table1[[#This Row],[Content.Column12]] * 1000, 0)</f>
        <v>6512666</v>
      </c>
      <c r="J386" s="32">
        <f>ROUND(Table1[[#This Row],[Content.Column13]] * 1000, 0)</f>
        <v>21278860</v>
      </c>
      <c r="K386" s="32">
        <f>ROUND(Table1[[#This Row],[Content.Column14]] * 1000, 0)</f>
        <v>22121873</v>
      </c>
      <c r="L386" s="30">
        <f>ROUND(Table1[[#This Row],[Content.Column3]] * 1000, 0)</f>
        <v>17375809</v>
      </c>
      <c r="M386" s="30">
        <f>ROUND(Table1[[#This Row],[Content.Column4]] * 1000, 0)</f>
        <v>8101617</v>
      </c>
      <c r="N386" s="30">
        <f>ROUND(Table1[[#This Row],[Content.Column5]] * 1000, 0)</f>
        <v>25477425</v>
      </c>
      <c r="O386" s="30">
        <f>ROUND(Table1[[#This Row],[Content.Column6]] * 1000, 0)</f>
        <v>26330381</v>
      </c>
      <c r="P386" s="27"/>
      <c r="Q386" s="27"/>
      <c r="R386"/>
      <c r="S386"/>
    </row>
    <row r="387" spans="1:19" x14ac:dyDescent="0.3">
      <c r="A387">
        <v>2016</v>
      </c>
      <c r="B387" t="s">
        <v>121</v>
      </c>
      <c r="C387" t="s">
        <v>120</v>
      </c>
      <c r="D387" s="34">
        <f>ROUND(Table1[[#This Row],[Content.Column7]] * 1000, 0)</f>
        <v>3142470</v>
      </c>
      <c r="E387" s="34">
        <f>ROUND(Table1[[#This Row],[Content.Column8]] * 1000, 0)</f>
        <v>1932928</v>
      </c>
      <c r="F387" s="34">
        <f>ROUND(Table1[[#This Row],[Content.Column9]] * 1000, 0)</f>
        <v>5075399</v>
      </c>
      <c r="G387" s="34">
        <f>ROUND(Table1[[#This Row],[Content.Column10]] * 1000, 0)</f>
        <v>5085635</v>
      </c>
      <c r="H387" s="32">
        <f>ROUND(Table1[[#This Row],[Content.Column11]] * 1000, 0)</f>
        <v>16695059</v>
      </c>
      <c r="I387" s="32">
        <f>ROUND(Table1[[#This Row],[Content.Column12]] * 1000, 0)</f>
        <v>7443663</v>
      </c>
      <c r="J387" s="32">
        <f>ROUND(Table1[[#This Row],[Content.Column13]] * 1000, 0)</f>
        <v>24138720</v>
      </c>
      <c r="K387" s="32">
        <f>ROUND(Table1[[#This Row],[Content.Column14]] * 1000, 0)</f>
        <v>25164516</v>
      </c>
      <c r="L387" s="30">
        <f>ROUND(Table1[[#This Row],[Content.Column3]] * 1000, 0)</f>
        <v>19837529</v>
      </c>
      <c r="M387" s="30">
        <f>ROUND(Table1[[#This Row],[Content.Column4]] * 1000, 0)</f>
        <v>9376592</v>
      </c>
      <c r="N387" s="30">
        <f>ROUND(Table1[[#This Row],[Content.Column5]] * 1000, 0)</f>
        <v>29214119</v>
      </c>
      <c r="O387" s="30">
        <f>ROUND(Table1[[#This Row],[Content.Column6]] * 1000, 0)</f>
        <v>30250152</v>
      </c>
      <c r="P387" s="27"/>
      <c r="Q387" s="27"/>
      <c r="R387"/>
      <c r="S387"/>
    </row>
    <row r="388" spans="1:19" x14ac:dyDescent="0.3">
      <c r="A388">
        <v>2017</v>
      </c>
      <c r="B388" t="s">
        <v>27</v>
      </c>
      <c r="C388" t="s">
        <v>26</v>
      </c>
      <c r="D388" s="34">
        <f>ROUND(Table1[[#This Row],[Content.Column7]] * 1000, 0)</f>
        <v>14953</v>
      </c>
      <c r="E388" s="34">
        <f>ROUND(Table1[[#This Row],[Content.Column8]] * 1000, 0)</f>
        <v>2628</v>
      </c>
      <c r="F388" s="34">
        <f>ROUND(Table1[[#This Row],[Content.Column9]] * 1000, 0)</f>
        <v>17581</v>
      </c>
      <c r="G388" s="34">
        <f>ROUND(Table1[[#This Row],[Content.Column10]] * 1000, 0)</f>
        <v>17652</v>
      </c>
      <c r="H388" s="32">
        <f>ROUND(Table1[[#This Row],[Content.Column11]] * 1000, 0)</f>
        <v>407119</v>
      </c>
      <c r="I388" s="32">
        <f>ROUND(Table1[[#This Row],[Content.Column12]] * 1000, 0)</f>
        <v>70899</v>
      </c>
      <c r="J388" s="32">
        <f>ROUND(Table1[[#This Row],[Content.Column13]] * 1000, 0)</f>
        <v>478018</v>
      </c>
      <c r="K388" s="32">
        <f>ROUND(Table1[[#This Row],[Content.Column14]] * 1000, 0)</f>
        <v>495180</v>
      </c>
      <c r="L388" s="30">
        <f>ROUND(Table1[[#This Row],[Content.Column3]] * 1000, 0)</f>
        <v>422072</v>
      </c>
      <c r="M388" s="30">
        <f>ROUND(Table1[[#This Row],[Content.Column4]] * 1000, 0)</f>
        <v>73527</v>
      </c>
      <c r="N388" s="30">
        <f>ROUND(Table1[[#This Row],[Content.Column5]] * 1000, 0)</f>
        <v>495599</v>
      </c>
      <c r="O388" s="30">
        <f>ROUND(Table1[[#This Row],[Content.Column6]] * 1000, 0)</f>
        <v>512832</v>
      </c>
      <c r="P388" s="27"/>
      <c r="Q388" s="27"/>
      <c r="R388"/>
      <c r="S388"/>
    </row>
    <row r="389" spans="1:19" x14ac:dyDescent="0.3">
      <c r="A389">
        <v>2017</v>
      </c>
      <c r="B389" t="s">
        <v>29</v>
      </c>
      <c r="C389" t="s">
        <v>28</v>
      </c>
      <c r="D389" s="34">
        <f>ROUND(Table1[[#This Row],[Content.Column7]] * 1000, 0)</f>
        <v>5975</v>
      </c>
      <c r="E389" s="34">
        <f>ROUND(Table1[[#This Row],[Content.Column8]] * 1000, 0)</f>
        <v>3742</v>
      </c>
      <c r="F389" s="34">
        <f>ROUND(Table1[[#This Row],[Content.Column9]] * 1000, 0)</f>
        <v>9717</v>
      </c>
      <c r="G389" s="34">
        <f>ROUND(Table1[[#This Row],[Content.Column10]] * 1000, 0)</f>
        <v>9723</v>
      </c>
      <c r="H389" s="32">
        <f>ROUND(Table1[[#This Row],[Content.Column11]] * 1000, 0)</f>
        <v>31597</v>
      </c>
      <c r="I389" s="32">
        <f>ROUND(Table1[[#This Row],[Content.Column12]] * 1000, 0)</f>
        <v>13678</v>
      </c>
      <c r="J389" s="32">
        <f>ROUND(Table1[[#This Row],[Content.Column13]] * 1000, 0)</f>
        <v>45275</v>
      </c>
      <c r="K389" s="32">
        <f>ROUND(Table1[[#This Row],[Content.Column14]] * 1000, 0)</f>
        <v>46333</v>
      </c>
      <c r="L389" s="30">
        <f>ROUND(Table1[[#This Row],[Content.Column3]] * 1000, 0)</f>
        <v>37572</v>
      </c>
      <c r="M389" s="30">
        <f>ROUND(Table1[[#This Row],[Content.Column4]] * 1000, 0)</f>
        <v>17420</v>
      </c>
      <c r="N389" s="30">
        <f>ROUND(Table1[[#This Row],[Content.Column5]] * 1000, 0)</f>
        <v>54993</v>
      </c>
      <c r="O389" s="30">
        <f>ROUND(Table1[[#This Row],[Content.Column6]] * 1000, 0)</f>
        <v>56056</v>
      </c>
      <c r="P389" s="27"/>
      <c r="Q389" s="27"/>
      <c r="R389"/>
      <c r="S389"/>
    </row>
    <row r="390" spans="1:19" x14ac:dyDescent="0.3">
      <c r="A390">
        <v>2017</v>
      </c>
      <c r="B390" t="s">
        <v>31</v>
      </c>
      <c r="C390" t="s">
        <v>30</v>
      </c>
      <c r="D390" s="34">
        <f>ROUND(Table1[[#This Row],[Content.Column7]] * 1000, 0)</f>
        <v>13500</v>
      </c>
      <c r="E390" s="34">
        <f>ROUND(Table1[[#This Row],[Content.Column8]] * 1000, 0)</f>
        <v>7824</v>
      </c>
      <c r="F390" s="34">
        <f>ROUND(Table1[[#This Row],[Content.Column9]] * 1000, 0)</f>
        <v>21324</v>
      </c>
      <c r="G390" s="34">
        <f>ROUND(Table1[[#This Row],[Content.Column10]] * 1000, 0)</f>
        <v>21353</v>
      </c>
      <c r="H390" s="32">
        <f>ROUND(Table1[[#This Row],[Content.Column11]] * 1000, 0)</f>
        <v>72135</v>
      </c>
      <c r="I390" s="32">
        <f>ROUND(Table1[[#This Row],[Content.Column12]] * 1000, 0)</f>
        <v>38876</v>
      </c>
      <c r="J390" s="32">
        <f>ROUND(Table1[[#This Row],[Content.Column13]] * 1000, 0)</f>
        <v>111011</v>
      </c>
      <c r="K390" s="32">
        <f>ROUND(Table1[[#This Row],[Content.Column14]] * 1000, 0)</f>
        <v>114763</v>
      </c>
      <c r="L390" s="30">
        <f>ROUND(Table1[[#This Row],[Content.Column3]] * 1000, 0)</f>
        <v>85635</v>
      </c>
      <c r="M390" s="30">
        <f>ROUND(Table1[[#This Row],[Content.Column4]] * 1000, 0)</f>
        <v>46700</v>
      </c>
      <c r="N390" s="30">
        <f>ROUND(Table1[[#This Row],[Content.Column5]] * 1000, 0)</f>
        <v>132335</v>
      </c>
      <c r="O390" s="30">
        <f>ROUND(Table1[[#This Row],[Content.Column6]] * 1000, 0)</f>
        <v>136116</v>
      </c>
      <c r="P390" s="27"/>
      <c r="Q390" s="27"/>
      <c r="R390"/>
      <c r="S390"/>
    </row>
    <row r="391" spans="1:19" x14ac:dyDescent="0.3">
      <c r="A391">
        <v>2017</v>
      </c>
      <c r="B391" t="s">
        <v>33</v>
      </c>
      <c r="C391" t="s">
        <v>32</v>
      </c>
      <c r="D391" s="34">
        <f>ROUND(Table1[[#This Row],[Content.Column7]] * 1000, 0)</f>
        <v>6745</v>
      </c>
      <c r="E391" s="34">
        <f>ROUND(Table1[[#This Row],[Content.Column8]] * 1000, 0)</f>
        <v>4283</v>
      </c>
      <c r="F391" s="34">
        <f>ROUND(Table1[[#This Row],[Content.Column9]] * 1000, 0)</f>
        <v>11027</v>
      </c>
      <c r="G391" s="34">
        <f>ROUND(Table1[[#This Row],[Content.Column10]] * 1000, 0)</f>
        <v>11053</v>
      </c>
      <c r="H391" s="32">
        <f>ROUND(Table1[[#This Row],[Content.Column11]] * 1000, 0)</f>
        <v>40867</v>
      </c>
      <c r="I391" s="32">
        <f>ROUND(Table1[[#This Row],[Content.Column12]] * 1000, 0)</f>
        <v>23231</v>
      </c>
      <c r="J391" s="32">
        <f>ROUND(Table1[[#This Row],[Content.Column13]] * 1000, 0)</f>
        <v>64097</v>
      </c>
      <c r="K391" s="32">
        <f>ROUND(Table1[[#This Row],[Content.Column14]] * 1000, 0)</f>
        <v>66002</v>
      </c>
      <c r="L391" s="30">
        <f>ROUND(Table1[[#This Row],[Content.Column3]] * 1000, 0)</f>
        <v>47611</v>
      </c>
      <c r="M391" s="30">
        <f>ROUND(Table1[[#This Row],[Content.Column4]] * 1000, 0)</f>
        <v>27513</v>
      </c>
      <c r="N391" s="30">
        <f>ROUND(Table1[[#This Row],[Content.Column5]] * 1000, 0)</f>
        <v>75124</v>
      </c>
      <c r="O391" s="30">
        <f>ROUND(Table1[[#This Row],[Content.Column6]] * 1000, 0)</f>
        <v>77055</v>
      </c>
      <c r="P391" s="27"/>
      <c r="Q391" s="27"/>
      <c r="R391"/>
      <c r="S391"/>
    </row>
    <row r="392" spans="1:19" x14ac:dyDescent="0.3">
      <c r="A392">
        <v>2017</v>
      </c>
      <c r="B392" t="s">
        <v>35</v>
      </c>
      <c r="C392" t="s">
        <v>34</v>
      </c>
      <c r="D392" s="34">
        <f>ROUND(Table1[[#This Row],[Content.Column7]] * 1000, 0)</f>
        <v>19075</v>
      </c>
      <c r="E392" s="34">
        <f>ROUND(Table1[[#This Row],[Content.Column8]] * 1000, 0)</f>
        <v>5480</v>
      </c>
      <c r="F392" s="34">
        <f>ROUND(Table1[[#This Row],[Content.Column9]] * 1000, 0)</f>
        <v>24556</v>
      </c>
      <c r="G392" s="34">
        <f>ROUND(Table1[[#This Row],[Content.Column10]] * 1000, 0)</f>
        <v>24592</v>
      </c>
      <c r="H392" s="32">
        <f>ROUND(Table1[[#This Row],[Content.Column11]] * 1000, 0)</f>
        <v>72074</v>
      </c>
      <c r="I392" s="32">
        <f>ROUND(Table1[[#This Row],[Content.Column12]] * 1000, 0)</f>
        <v>28941</v>
      </c>
      <c r="J392" s="32">
        <f>ROUND(Table1[[#This Row],[Content.Column13]] * 1000, 0)</f>
        <v>101015</v>
      </c>
      <c r="K392" s="32">
        <f>ROUND(Table1[[#This Row],[Content.Column14]] * 1000, 0)</f>
        <v>103640</v>
      </c>
      <c r="L392" s="30">
        <f>ROUND(Table1[[#This Row],[Content.Column3]] * 1000, 0)</f>
        <v>91149</v>
      </c>
      <c r="M392" s="30">
        <f>ROUND(Table1[[#This Row],[Content.Column4]] * 1000, 0)</f>
        <v>34421</v>
      </c>
      <c r="N392" s="30">
        <f>ROUND(Table1[[#This Row],[Content.Column5]] * 1000, 0)</f>
        <v>125571</v>
      </c>
      <c r="O392" s="30">
        <f>ROUND(Table1[[#This Row],[Content.Column6]] * 1000, 0)</f>
        <v>128232</v>
      </c>
      <c r="P392" s="27"/>
      <c r="Q392" s="27"/>
      <c r="R392"/>
      <c r="S392"/>
    </row>
    <row r="393" spans="1:19" x14ac:dyDescent="0.3">
      <c r="A393">
        <v>2017</v>
      </c>
      <c r="B393" t="s">
        <v>37</v>
      </c>
      <c r="C393" t="s">
        <v>36</v>
      </c>
      <c r="D393" s="34">
        <f>ROUND(Table1[[#This Row],[Content.Column7]] * 1000, 0)</f>
        <v>9046</v>
      </c>
      <c r="E393" s="34">
        <f>ROUND(Table1[[#This Row],[Content.Column8]] * 1000, 0)</f>
        <v>6424</v>
      </c>
      <c r="F393" s="34">
        <f>ROUND(Table1[[#This Row],[Content.Column9]] * 1000, 0)</f>
        <v>15470</v>
      </c>
      <c r="G393" s="34">
        <f>ROUND(Table1[[#This Row],[Content.Column10]] * 1000, 0)</f>
        <v>15518</v>
      </c>
      <c r="H393" s="32">
        <f>ROUND(Table1[[#This Row],[Content.Column11]] * 1000, 0)</f>
        <v>59957</v>
      </c>
      <c r="I393" s="32">
        <f>ROUND(Table1[[#This Row],[Content.Column12]] * 1000, 0)</f>
        <v>34284</v>
      </c>
      <c r="J393" s="32">
        <f>ROUND(Table1[[#This Row],[Content.Column13]] * 1000, 0)</f>
        <v>94241</v>
      </c>
      <c r="K393" s="32">
        <f>ROUND(Table1[[#This Row],[Content.Column14]] * 1000, 0)</f>
        <v>97059</v>
      </c>
      <c r="L393" s="30">
        <f>ROUND(Table1[[#This Row],[Content.Column3]] * 1000, 0)</f>
        <v>69003</v>
      </c>
      <c r="M393" s="30">
        <f>ROUND(Table1[[#This Row],[Content.Column4]] * 1000, 0)</f>
        <v>40708</v>
      </c>
      <c r="N393" s="30">
        <f>ROUND(Table1[[#This Row],[Content.Column5]] * 1000, 0)</f>
        <v>109711</v>
      </c>
      <c r="O393" s="30">
        <f>ROUND(Table1[[#This Row],[Content.Column6]] * 1000, 0)</f>
        <v>112577</v>
      </c>
      <c r="P393" s="27"/>
      <c r="Q393" s="27"/>
      <c r="R393"/>
      <c r="S393"/>
    </row>
    <row r="394" spans="1:19" x14ac:dyDescent="0.3">
      <c r="A394">
        <v>2017</v>
      </c>
      <c r="B394" t="s">
        <v>39</v>
      </c>
      <c r="C394" t="s">
        <v>38</v>
      </c>
      <c r="D394" s="34">
        <f>ROUND(Table1[[#This Row],[Content.Column7]] * 1000, 0)</f>
        <v>35214</v>
      </c>
      <c r="E394" s="34">
        <f>ROUND(Table1[[#This Row],[Content.Column8]] * 1000, 0)</f>
        <v>12980</v>
      </c>
      <c r="F394" s="34">
        <f>ROUND(Table1[[#This Row],[Content.Column9]] * 1000, 0)</f>
        <v>48194</v>
      </c>
      <c r="G394" s="34">
        <f>ROUND(Table1[[#This Row],[Content.Column10]] * 1000, 0)</f>
        <v>48272</v>
      </c>
      <c r="H394" s="32">
        <f>ROUND(Table1[[#This Row],[Content.Column11]] * 1000, 0)</f>
        <v>233397</v>
      </c>
      <c r="I394" s="32">
        <f>ROUND(Table1[[#This Row],[Content.Column12]] * 1000, 0)</f>
        <v>79449</v>
      </c>
      <c r="J394" s="32">
        <f>ROUND(Table1[[#This Row],[Content.Column13]] * 1000, 0)</f>
        <v>312846</v>
      </c>
      <c r="K394" s="32">
        <f>ROUND(Table1[[#This Row],[Content.Column14]] * 1000, 0)</f>
        <v>324756</v>
      </c>
      <c r="L394" s="30">
        <f>ROUND(Table1[[#This Row],[Content.Column3]] * 1000, 0)</f>
        <v>268611</v>
      </c>
      <c r="M394" s="30">
        <f>ROUND(Table1[[#This Row],[Content.Column4]] * 1000, 0)</f>
        <v>92429</v>
      </c>
      <c r="N394" s="30">
        <f>ROUND(Table1[[#This Row],[Content.Column5]] * 1000, 0)</f>
        <v>361040</v>
      </c>
      <c r="O394" s="30">
        <f>ROUND(Table1[[#This Row],[Content.Column6]] * 1000, 0)</f>
        <v>373028</v>
      </c>
      <c r="P394" s="27"/>
      <c r="Q394" s="27"/>
      <c r="R394"/>
      <c r="S394"/>
    </row>
    <row r="395" spans="1:19" x14ac:dyDescent="0.3">
      <c r="A395">
        <v>2017</v>
      </c>
      <c r="B395" t="s">
        <v>41</v>
      </c>
      <c r="C395" t="s">
        <v>40</v>
      </c>
      <c r="D395" s="34">
        <f>ROUND(Table1[[#This Row],[Content.Column7]] * 1000, 0)</f>
        <v>17234</v>
      </c>
      <c r="E395" s="34">
        <f>ROUND(Table1[[#This Row],[Content.Column8]] * 1000, 0)</f>
        <v>8127</v>
      </c>
      <c r="F395" s="34">
        <f>ROUND(Table1[[#This Row],[Content.Column9]] * 1000, 0)</f>
        <v>25361</v>
      </c>
      <c r="G395" s="34">
        <f>ROUND(Table1[[#This Row],[Content.Column10]] * 1000, 0)</f>
        <v>25405</v>
      </c>
      <c r="H395" s="32">
        <f>ROUND(Table1[[#This Row],[Content.Column11]] * 1000, 0)</f>
        <v>65674</v>
      </c>
      <c r="I395" s="32">
        <f>ROUND(Table1[[#This Row],[Content.Column12]] * 1000, 0)</f>
        <v>32988</v>
      </c>
      <c r="J395" s="32">
        <f>ROUND(Table1[[#This Row],[Content.Column13]] * 1000, 0)</f>
        <v>98662</v>
      </c>
      <c r="K395" s="32">
        <f>ROUND(Table1[[#This Row],[Content.Column14]] * 1000, 0)</f>
        <v>101831</v>
      </c>
      <c r="L395" s="30">
        <f>ROUND(Table1[[#This Row],[Content.Column3]] * 1000, 0)</f>
        <v>82908</v>
      </c>
      <c r="M395" s="30">
        <f>ROUND(Table1[[#This Row],[Content.Column4]] * 1000, 0)</f>
        <v>41115</v>
      </c>
      <c r="N395" s="30">
        <f>ROUND(Table1[[#This Row],[Content.Column5]] * 1000, 0)</f>
        <v>124022</v>
      </c>
      <c r="O395" s="30">
        <f>ROUND(Table1[[#This Row],[Content.Column6]] * 1000, 0)</f>
        <v>127236</v>
      </c>
      <c r="P395" s="27"/>
      <c r="Q395" s="27"/>
      <c r="R395"/>
      <c r="S395"/>
    </row>
    <row r="396" spans="1:19" x14ac:dyDescent="0.3">
      <c r="A396">
        <v>2017</v>
      </c>
      <c r="B396" t="s">
        <v>43</v>
      </c>
      <c r="C396" t="s">
        <v>42</v>
      </c>
      <c r="D396" s="34">
        <f>ROUND(Table1[[#This Row],[Content.Column7]] * 1000, 0)</f>
        <v>11946</v>
      </c>
      <c r="E396" s="34">
        <f>ROUND(Table1[[#This Row],[Content.Column8]] * 1000, 0)</f>
        <v>5402</v>
      </c>
      <c r="F396" s="34">
        <f>ROUND(Table1[[#This Row],[Content.Column9]] * 1000, 0)</f>
        <v>17348</v>
      </c>
      <c r="G396" s="34">
        <f>ROUND(Table1[[#This Row],[Content.Column10]] * 1000, 0)</f>
        <v>17368</v>
      </c>
      <c r="H396" s="32">
        <f>ROUND(Table1[[#This Row],[Content.Column11]] * 1000, 0)</f>
        <v>83007</v>
      </c>
      <c r="I396" s="32">
        <f>ROUND(Table1[[#This Row],[Content.Column12]] * 1000, 0)</f>
        <v>34149</v>
      </c>
      <c r="J396" s="32">
        <f>ROUND(Table1[[#This Row],[Content.Column13]] * 1000, 0)</f>
        <v>117156</v>
      </c>
      <c r="K396" s="32">
        <f>ROUND(Table1[[#This Row],[Content.Column14]] * 1000, 0)</f>
        <v>120386</v>
      </c>
      <c r="L396" s="30">
        <f>ROUND(Table1[[#This Row],[Content.Column3]] * 1000, 0)</f>
        <v>94953</v>
      </c>
      <c r="M396" s="30">
        <f>ROUND(Table1[[#This Row],[Content.Column4]] * 1000, 0)</f>
        <v>39551</v>
      </c>
      <c r="N396" s="30">
        <f>ROUND(Table1[[#This Row],[Content.Column5]] * 1000, 0)</f>
        <v>134504</v>
      </c>
      <c r="O396" s="30">
        <f>ROUND(Table1[[#This Row],[Content.Column6]] * 1000, 0)</f>
        <v>137755</v>
      </c>
      <c r="P396" s="27"/>
      <c r="Q396" s="27"/>
      <c r="R396"/>
      <c r="S396"/>
    </row>
    <row r="397" spans="1:19" x14ac:dyDescent="0.3">
      <c r="A397">
        <v>2017</v>
      </c>
      <c r="B397" t="s">
        <v>45</v>
      </c>
      <c r="C397" t="s">
        <v>44</v>
      </c>
      <c r="D397" s="34">
        <f>ROUND(Table1[[#This Row],[Content.Column7]] * 1000, 0)</f>
        <v>12654</v>
      </c>
      <c r="E397" s="34">
        <f>ROUND(Table1[[#This Row],[Content.Column8]] * 1000, 0)</f>
        <v>7968</v>
      </c>
      <c r="F397" s="34">
        <f>ROUND(Table1[[#This Row],[Content.Column9]] * 1000, 0)</f>
        <v>20622</v>
      </c>
      <c r="G397" s="34">
        <f>ROUND(Table1[[#This Row],[Content.Column10]] * 1000, 0)</f>
        <v>20633</v>
      </c>
      <c r="H397" s="32">
        <f>ROUND(Table1[[#This Row],[Content.Column11]] * 1000, 0)</f>
        <v>56104</v>
      </c>
      <c r="I397" s="32">
        <f>ROUND(Table1[[#This Row],[Content.Column12]] * 1000, 0)</f>
        <v>29092</v>
      </c>
      <c r="J397" s="32">
        <f>ROUND(Table1[[#This Row],[Content.Column13]] * 1000, 0)</f>
        <v>85196</v>
      </c>
      <c r="K397" s="32">
        <f>ROUND(Table1[[#This Row],[Content.Column14]] * 1000, 0)</f>
        <v>87406</v>
      </c>
      <c r="L397" s="30">
        <f>ROUND(Table1[[#This Row],[Content.Column3]] * 1000, 0)</f>
        <v>68758</v>
      </c>
      <c r="M397" s="30">
        <f>ROUND(Table1[[#This Row],[Content.Column4]] * 1000, 0)</f>
        <v>37060</v>
      </c>
      <c r="N397" s="30">
        <f>ROUND(Table1[[#This Row],[Content.Column5]] * 1000, 0)</f>
        <v>105818</v>
      </c>
      <c r="O397" s="30">
        <f>ROUND(Table1[[#This Row],[Content.Column6]] * 1000, 0)</f>
        <v>108039</v>
      </c>
      <c r="P397" s="27"/>
      <c r="Q397" s="27"/>
      <c r="R397"/>
      <c r="S397"/>
    </row>
    <row r="398" spans="1:19" x14ac:dyDescent="0.3">
      <c r="A398">
        <v>2017</v>
      </c>
      <c r="B398" t="s">
        <v>47</v>
      </c>
      <c r="C398" t="s">
        <v>46</v>
      </c>
      <c r="D398" s="34">
        <f>ROUND(Table1[[#This Row],[Content.Column7]] * 1000, 0)</f>
        <v>12914</v>
      </c>
      <c r="E398" s="34">
        <f>ROUND(Table1[[#This Row],[Content.Column8]] * 1000, 0)</f>
        <v>8700</v>
      </c>
      <c r="F398" s="34">
        <f>ROUND(Table1[[#This Row],[Content.Column9]] * 1000, 0)</f>
        <v>21614</v>
      </c>
      <c r="G398" s="34">
        <f>ROUND(Table1[[#This Row],[Content.Column10]] * 1000, 0)</f>
        <v>21620</v>
      </c>
      <c r="H398" s="32">
        <f>ROUND(Table1[[#This Row],[Content.Column11]] * 1000, 0)</f>
        <v>39079</v>
      </c>
      <c r="I398" s="32">
        <f>ROUND(Table1[[#This Row],[Content.Column12]] * 1000, 0)</f>
        <v>24281</v>
      </c>
      <c r="J398" s="32">
        <f>ROUND(Table1[[#This Row],[Content.Column13]] * 1000, 0)</f>
        <v>63360</v>
      </c>
      <c r="K398" s="32">
        <f>ROUND(Table1[[#This Row],[Content.Column14]] * 1000, 0)</f>
        <v>65512</v>
      </c>
      <c r="L398" s="30">
        <f>ROUND(Table1[[#This Row],[Content.Column3]] * 1000, 0)</f>
        <v>51993</v>
      </c>
      <c r="M398" s="30">
        <f>ROUND(Table1[[#This Row],[Content.Column4]] * 1000, 0)</f>
        <v>32981</v>
      </c>
      <c r="N398" s="30">
        <f>ROUND(Table1[[#This Row],[Content.Column5]] * 1000, 0)</f>
        <v>84973</v>
      </c>
      <c r="O398" s="30">
        <f>ROUND(Table1[[#This Row],[Content.Column6]] * 1000, 0)</f>
        <v>87132</v>
      </c>
      <c r="P398" s="27"/>
      <c r="Q398" s="27"/>
      <c r="R398"/>
      <c r="S398"/>
    </row>
    <row r="399" spans="1:19" x14ac:dyDescent="0.3">
      <c r="A399">
        <v>2017</v>
      </c>
      <c r="B399" t="s">
        <v>49</v>
      </c>
      <c r="C399" t="s">
        <v>48</v>
      </c>
      <c r="D399" s="34">
        <f>ROUND(Table1[[#This Row],[Content.Column7]] * 1000, 0)</f>
        <v>13599</v>
      </c>
      <c r="E399" s="34">
        <f>ROUND(Table1[[#This Row],[Content.Column8]] * 1000, 0)</f>
        <v>5452</v>
      </c>
      <c r="F399" s="34">
        <f>ROUND(Table1[[#This Row],[Content.Column9]] * 1000, 0)</f>
        <v>19052</v>
      </c>
      <c r="G399" s="34">
        <f>ROUND(Table1[[#This Row],[Content.Column10]] * 1000, 0)</f>
        <v>19076</v>
      </c>
      <c r="H399" s="32">
        <f>ROUND(Table1[[#This Row],[Content.Column11]] * 1000, 0)</f>
        <v>73492</v>
      </c>
      <c r="I399" s="32">
        <f>ROUND(Table1[[#This Row],[Content.Column12]] * 1000, 0)</f>
        <v>27163</v>
      </c>
      <c r="J399" s="32">
        <f>ROUND(Table1[[#This Row],[Content.Column13]] * 1000, 0)</f>
        <v>100655</v>
      </c>
      <c r="K399" s="32">
        <f>ROUND(Table1[[#This Row],[Content.Column14]] * 1000, 0)</f>
        <v>104267</v>
      </c>
      <c r="L399" s="30">
        <f>ROUND(Table1[[#This Row],[Content.Column3]] * 1000, 0)</f>
        <v>87091</v>
      </c>
      <c r="M399" s="30">
        <f>ROUND(Table1[[#This Row],[Content.Column4]] * 1000, 0)</f>
        <v>32615</v>
      </c>
      <c r="N399" s="30">
        <f>ROUND(Table1[[#This Row],[Content.Column5]] * 1000, 0)</f>
        <v>119706</v>
      </c>
      <c r="O399" s="30">
        <f>ROUND(Table1[[#This Row],[Content.Column6]] * 1000, 0)</f>
        <v>123343</v>
      </c>
      <c r="P399" s="27"/>
      <c r="Q399" s="27"/>
      <c r="R399"/>
      <c r="S399"/>
    </row>
    <row r="400" spans="1:19" x14ac:dyDescent="0.3">
      <c r="A400">
        <v>2017</v>
      </c>
      <c r="B400" t="s">
        <v>51</v>
      </c>
      <c r="C400" t="s">
        <v>50</v>
      </c>
      <c r="D400" s="34">
        <f>ROUND(Table1[[#This Row],[Content.Column7]] * 1000, 0)</f>
        <v>17142</v>
      </c>
      <c r="E400" s="34">
        <f>ROUND(Table1[[#This Row],[Content.Column8]] * 1000, 0)</f>
        <v>3527</v>
      </c>
      <c r="F400" s="34">
        <f>ROUND(Table1[[#This Row],[Content.Column9]] * 1000, 0)</f>
        <v>20669</v>
      </c>
      <c r="G400" s="34">
        <f>ROUND(Table1[[#This Row],[Content.Column10]] * 1000, 0)</f>
        <v>20741</v>
      </c>
      <c r="H400" s="32">
        <f>ROUND(Table1[[#This Row],[Content.Column11]] * 1000, 0)</f>
        <v>80464</v>
      </c>
      <c r="I400" s="32">
        <f>ROUND(Table1[[#This Row],[Content.Column12]] * 1000, 0)</f>
        <v>34103</v>
      </c>
      <c r="J400" s="32">
        <f>ROUND(Table1[[#This Row],[Content.Column13]] * 1000, 0)</f>
        <v>114566</v>
      </c>
      <c r="K400" s="32">
        <f>ROUND(Table1[[#This Row],[Content.Column14]] * 1000, 0)</f>
        <v>116838</v>
      </c>
      <c r="L400" s="30">
        <f>ROUND(Table1[[#This Row],[Content.Column3]] * 1000, 0)</f>
        <v>97606</v>
      </c>
      <c r="M400" s="30">
        <f>ROUND(Table1[[#This Row],[Content.Column4]] * 1000, 0)</f>
        <v>37630</v>
      </c>
      <c r="N400" s="30">
        <f>ROUND(Table1[[#This Row],[Content.Column5]] * 1000, 0)</f>
        <v>135235</v>
      </c>
      <c r="O400" s="30">
        <f>ROUND(Table1[[#This Row],[Content.Column6]] * 1000, 0)</f>
        <v>137579</v>
      </c>
      <c r="P400" s="27"/>
      <c r="Q400" s="27"/>
      <c r="R400"/>
      <c r="S400"/>
    </row>
    <row r="401" spans="1:19" x14ac:dyDescent="0.3">
      <c r="A401">
        <v>2017</v>
      </c>
      <c r="B401" t="s">
        <v>53</v>
      </c>
      <c r="C401" t="s">
        <v>52</v>
      </c>
      <c r="D401" s="34">
        <f>ROUND(Table1[[#This Row],[Content.Column7]] * 1000, 0)</f>
        <v>8786</v>
      </c>
      <c r="E401" s="34">
        <f>ROUND(Table1[[#This Row],[Content.Column8]] * 1000, 0)</f>
        <v>3238</v>
      </c>
      <c r="F401" s="34">
        <f>ROUND(Table1[[#This Row],[Content.Column9]] * 1000, 0)</f>
        <v>12024</v>
      </c>
      <c r="G401" s="34">
        <f>ROUND(Table1[[#This Row],[Content.Column10]] * 1000, 0)</f>
        <v>12045</v>
      </c>
      <c r="H401" s="32">
        <f>ROUND(Table1[[#This Row],[Content.Column11]] * 1000, 0)</f>
        <v>37215</v>
      </c>
      <c r="I401" s="32">
        <f>ROUND(Table1[[#This Row],[Content.Column12]] * 1000, 0)</f>
        <v>20626</v>
      </c>
      <c r="J401" s="32">
        <f>ROUND(Table1[[#This Row],[Content.Column13]] * 1000, 0)</f>
        <v>57841</v>
      </c>
      <c r="K401" s="32">
        <f>ROUND(Table1[[#This Row],[Content.Column14]] * 1000, 0)</f>
        <v>60534</v>
      </c>
      <c r="L401" s="30">
        <f>ROUND(Table1[[#This Row],[Content.Column3]] * 1000, 0)</f>
        <v>46001</v>
      </c>
      <c r="M401" s="30">
        <f>ROUND(Table1[[#This Row],[Content.Column4]] * 1000, 0)</f>
        <v>23864</v>
      </c>
      <c r="N401" s="30">
        <f>ROUND(Table1[[#This Row],[Content.Column5]] * 1000, 0)</f>
        <v>69866</v>
      </c>
      <c r="O401" s="30">
        <f>ROUND(Table1[[#This Row],[Content.Column6]] * 1000, 0)</f>
        <v>72579</v>
      </c>
      <c r="P401" s="27"/>
      <c r="Q401" s="27"/>
      <c r="R401"/>
      <c r="S401"/>
    </row>
    <row r="402" spans="1:19" x14ac:dyDescent="0.3">
      <c r="A402">
        <v>2017</v>
      </c>
      <c r="B402" t="s">
        <v>55</v>
      </c>
      <c r="C402" t="s">
        <v>54</v>
      </c>
      <c r="D402" s="34">
        <f>ROUND(Table1[[#This Row],[Content.Column7]] * 1000, 0)</f>
        <v>6105</v>
      </c>
      <c r="E402" s="34">
        <f>ROUND(Table1[[#This Row],[Content.Column8]] * 1000, 0)</f>
        <v>4818</v>
      </c>
      <c r="F402" s="34">
        <f>ROUND(Table1[[#This Row],[Content.Column9]] * 1000, 0)</f>
        <v>10922</v>
      </c>
      <c r="G402" s="34">
        <f>ROUND(Table1[[#This Row],[Content.Column10]] * 1000, 0)</f>
        <v>10931</v>
      </c>
      <c r="H402" s="32">
        <f>ROUND(Table1[[#This Row],[Content.Column11]] * 1000, 0)</f>
        <v>42138</v>
      </c>
      <c r="I402" s="32">
        <f>ROUND(Table1[[#This Row],[Content.Column12]] * 1000, 0)</f>
        <v>21166</v>
      </c>
      <c r="J402" s="32">
        <f>ROUND(Table1[[#This Row],[Content.Column13]] * 1000, 0)</f>
        <v>63303</v>
      </c>
      <c r="K402" s="32">
        <f>ROUND(Table1[[#This Row],[Content.Column14]] * 1000, 0)</f>
        <v>65565</v>
      </c>
      <c r="L402" s="30">
        <f>ROUND(Table1[[#This Row],[Content.Column3]] * 1000, 0)</f>
        <v>48242</v>
      </c>
      <c r="M402" s="30">
        <f>ROUND(Table1[[#This Row],[Content.Column4]] * 1000, 0)</f>
        <v>25983</v>
      </c>
      <c r="N402" s="30">
        <f>ROUND(Table1[[#This Row],[Content.Column5]] * 1000, 0)</f>
        <v>74225</v>
      </c>
      <c r="O402" s="30">
        <f>ROUND(Table1[[#This Row],[Content.Column6]] * 1000, 0)</f>
        <v>76496</v>
      </c>
      <c r="P402" s="27"/>
      <c r="Q402" s="27"/>
      <c r="R402"/>
      <c r="S402"/>
    </row>
    <row r="403" spans="1:19" x14ac:dyDescent="0.3">
      <c r="A403">
        <v>2017</v>
      </c>
      <c r="B403" t="s">
        <v>57</v>
      </c>
      <c r="C403" t="s">
        <v>56</v>
      </c>
      <c r="D403" s="34">
        <f>ROUND(Table1[[#This Row],[Content.Column7]] * 1000, 0)</f>
        <v>10336</v>
      </c>
      <c r="E403" s="34">
        <f>ROUND(Table1[[#This Row],[Content.Column8]] * 1000, 0)</f>
        <v>6080</v>
      </c>
      <c r="F403" s="34">
        <f>ROUND(Table1[[#This Row],[Content.Column9]] * 1000, 0)</f>
        <v>16415</v>
      </c>
      <c r="G403" s="34">
        <f>ROUND(Table1[[#This Row],[Content.Column10]] * 1000, 0)</f>
        <v>16423</v>
      </c>
      <c r="H403" s="32">
        <f>ROUND(Table1[[#This Row],[Content.Column11]] * 1000, 0)</f>
        <v>43820</v>
      </c>
      <c r="I403" s="32">
        <f>ROUND(Table1[[#This Row],[Content.Column12]] * 1000, 0)</f>
        <v>23864</v>
      </c>
      <c r="J403" s="32">
        <f>ROUND(Table1[[#This Row],[Content.Column13]] * 1000, 0)</f>
        <v>67684</v>
      </c>
      <c r="K403" s="32">
        <f>ROUND(Table1[[#This Row],[Content.Column14]] * 1000, 0)</f>
        <v>69664</v>
      </c>
      <c r="L403" s="30">
        <f>ROUND(Table1[[#This Row],[Content.Column3]] * 1000, 0)</f>
        <v>54156</v>
      </c>
      <c r="M403" s="30">
        <f>ROUND(Table1[[#This Row],[Content.Column4]] * 1000, 0)</f>
        <v>29944</v>
      </c>
      <c r="N403" s="30">
        <f>ROUND(Table1[[#This Row],[Content.Column5]] * 1000, 0)</f>
        <v>84100</v>
      </c>
      <c r="O403" s="30">
        <f>ROUND(Table1[[#This Row],[Content.Column6]] * 1000, 0)</f>
        <v>86087</v>
      </c>
      <c r="P403" s="27"/>
      <c r="Q403" s="27"/>
      <c r="R403"/>
      <c r="S403"/>
    </row>
    <row r="404" spans="1:19" x14ac:dyDescent="0.3">
      <c r="A404">
        <v>2017</v>
      </c>
      <c r="B404" t="s">
        <v>59</v>
      </c>
      <c r="C404" t="s">
        <v>58</v>
      </c>
      <c r="D404" s="34">
        <f>ROUND(Table1[[#This Row],[Content.Column7]] * 1000, 0)</f>
        <v>14910</v>
      </c>
      <c r="E404" s="34">
        <f>ROUND(Table1[[#This Row],[Content.Column8]] * 1000, 0)</f>
        <v>9884</v>
      </c>
      <c r="F404" s="34">
        <f>ROUND(Table1[[#This Row],[Content.Column9]] * 1000, 0)</f>
        <v>24795</v>
      </c>
      <c r="G404" s="34">
        <f>ROUND(Table1[[#This Row],[Content.Column10]] * 1000, 0)</f>
        <v>24889</v>
      </c>
      <c r="H404" s="32">
        <f>ROUND(Table1[[#This Row],[Content.Column11]] * 1000, 0)</f>
        <v>123953</v>
      </c>
      <c r="I404" s="32">
        <f>ROUND(Table1[[#This Row],[Content.Column12]] * 1000, 0)</f>
        <v>40611</v>
      </c>
      <c r="J404" s="32">
        <f>ROUND(Table1[[#This Row],[Content.Column13]] * 1000, 0)</f>
        <v>164564</v>
      </c>
      <c r="K404" s="32">
        <f>ROUND(Table1[[#This Row],[Content.Column14]] * 1000, 0)</f>
        <v>167501</v>
      </c>
      <c r="L404" s="30">
        <f>ROUND(Table1[[#This Row],[Content.Column3]] * 1000, 0)</f>
        <v>138863</v>
      </c>
      <c r="M404" s="30">
        <f>ROUND(Table1[[#This Row],[Content.Column4]] * 1000, 0)</f>
        <v>50496</v>
      </c>
      <c r="N404" s="30">
        <f>ROUND(Table1[[#This Row],[Content.Column5]] * 1000, 0)</f>
        <v>189359</v>
      </c>
      <c r="O404" s="30">
        <f>ROUND(Table1[[#This Row],[Content.Column6]] * 1000, 0)</f>
        <v>192389</v>
      </c>
      <c r="P404" s="27"/>
      <c r="Q404" s="27"/>
      <c r="R404"/>
      <c r="S404"/>
    </row>
    <row r="405" spans="1:19" x14ac:dyDescent="0.3">
      <c r="A405">
        <v>2017</v>
      </c>
      <c r="B405" t="s">
        <v>61</v>
      </c>
      <c r="C405" t="s">
        <v>60</v>
      </c>
      <c r="D405" s="34">
        <f>ROUND(Table1[[#This Row],[Content.Column7]] * 1000, 0)</f>
        <v>12002</v>
      </c>
      <c r="E405" s="34">
        <f>ROUND(Table1[[#This Row],[Content.Column8]] * 1000, 0)</f>
        <v>4061</v>
      </c>
      <c r="F405" s="34">
        <f>ROUND(Table1[[#This Row],[Content.Column9]] * 1000, 0)</f>
        <v>16063</v>
      </c>
      <c r="G405" s="34">
        <f>ROUND(Table1[[#This Row],[Content.Column10]] * 1000, 0)</f>
        <v>16412</v>
      </c>
      <c r="H405" s="32">
        <f>ROUND(Table1[[#This Row],[Content.Column11]] * 1000, 0)</f>
        <v>105039</v>
      </c>
      <c r="I405" s="32">
        <f>ROUND(Table1[[#This Row],[Content.Column12]] * 1000, 0)</f>
        <v>40976</v>
      </c>
      <c r="J405" s="32">
        <f>ROUND(Table1[[#This Row],[Content.Column13]] * 1000, 0)</f>
        <v>146015</v>
      </c>
      <c r="K405" s="32">
        <f>ROUND(Table1[[#This Row],[Content.Column14]] * 1000, 0)</f>
        <v>147931</v>
      </c>
      <c r="L405" s="30">
        <f>ROUND(Table1[[#This Row],[Content.Column3]] * 1000, 0)</f>
        <v>117042</v>
      </c>
      <c r="M405" s="30">
        <f>ROUND(Table1[[#This Row],[Content.Column4]] * 1000, 0)</f>
        <v>45036</v>
      </c>
      <c r="N405" s="30">
        <f>ROUND(Table1[[#This Row],[Content.Column5]] * 1000, 0)</f>
        <v>162078</v>
      </c>
      <c r="O405" s="30">
        <f>ROUND(Table1[[#This Row],[Content.Column6]] * 1000, 0)</f>
        <v>164343</v>
      </c>
      <c r="P405" s="27"/>
      <c r="Q405" s="27"/>
      <c r="R405"/>
      <c r="S405"/>
    </row>
    <row r="406" spans="1:19" x14ac:dyDescent="0.3">
      <c r="A406">
        <v>2017</v>
      </c>
      <c r="B406" t="s">
        <v>63</v>
      </c>
      <c r="C406" t="s">
        <v>62</v>
      </c>
      <c r="D406" s="34">
        <f>ROUND(Table1[[#This Row],[Content.Column7]] * 1000, 0)</f>
        <v>14583</v>
      </c>
      <c r="E406" s="34">
        <f>ROUND(Table1[[#This Row],[Content.Column8]] * 1000, 0)</f>
        <v>4019</v>
      </c>
      <c r="F406" s="34">
        <f>ROUND(Table1[[#This Row],[Content.Column9]] * 1000, 0)</f>
        <v>18602</v>
      </c>
      <c r="G406" s="34">
        <f>ROUND(Table1[[#This Row],[Content.Column10]] * 1000, 0)</f>
        <v>18611</v>
      </c>
      <c r="H406" s="32">
        <f>ROUND(Table1[[#This Row],[Content.Column11]] * 1000, 0)</f>
        <v>160657</v>
      </c>
      <c r="I406" s="32">
        <f>ROUND(Table1[[#This Row],[Content.Column12]] * 1000, 0)</f>
        <v>41400</v>
      </c>
      <c r="J406" s="32">
        <f>ROUND(Table1[[#This Row],[Content.Column13]] * 1000, 0)</f>
        <v>202058</v>
      </c>
      <c r="K406" s="32">
        <f>ROUND(Table1[[#This Row],[Content.Column14]] * 1000, 0)</f>
        <v>207627</v>
      </c>
      <c r="L406" s="30">
        <f>ROUND(Table1[[#This Row],[Content.Column3]] * 1000, 0)</f>
        <v>175241</v>
      </c>
      <c r="M406" s="30">
        <f>ROUND(Table1[[#This Row],[Content.Column4]] * 1000, 0)</f>
        <v>45419</v>
      </c>
      <c r="N406" s="30">
        <f>ROUND(Table1[[#This Row],[Content.Column5]] * 1000, 0)</f>
        <v>220660</v>
      </c>
      <c r="O406" s="30">
        <f>ROUND(Table1[[#This Row],[Content.Column6]] * 1000, 0)</f>
        <v>226239</v>
      </c>
      <c r="P406" s="27"/>
      <c r="Q406" s="27"/>
      <c r="R406"/>
      <c r="S406"/>
    </row>
    <row r="407" spans="1:19" x14ac:dyDescent="0.3">
      <c r="A407">
        <v>2017</v>
      </c>
      <c r="B407" t="s">
        <v>65</v>
      </c>
      <c r="C407" t="s">
        <v>64</v>
      </c>
      <c r="D407" s="34">
        <f>ROUND(Table1[[#This Row],[Content.Column7]] * 1000, 0)</f>
        <v>14861</v>
      </c>
      <c r="E407" s="34">
        <f>ROUND(Table1[[#This Row],[Content.Column8]] * 1000, 0)</f>
        <v>4933</v>
      </c>
      <c r="F407" s="34">
        <f>ROUND(Table1[[#This Row],[Content.Column9]] * 1000, 0)</f>
        <v>19794</v>
      </c>
      <c r="G407" s="34">
        <f>ROUND(Table1[[#This Row],[Content.Column10]] * 1000, 0)</f>
        <v>19800</v>
      </c>
      <c r="H407" s="32">
        <f>ROUND(Table1[[#This Row],[Content.Column11]] * 1000, 0)</f>
        <v>84524</v>
      </c>
      <c r="I407" s="32">
        <f>ROUND(Table1[[#This Row],[Content.Column12]] * 1000, 0)</f>
        <v>31192</v>
      </c>
      <c r="J407" s="32">
        <f>ROUND(Table1[[#This Row],[Content.Column13]] * 1000, 0)</f>
        <v>115716</v>
      </c>
      <c r="K407" s="32">
        <f>ROUND(Table1[[#This Row],[Content.Column14]] * 1000, 0)</f>
        <v>119366</v>
      </c>
      <c r="L407" s="30">
        <f>ROUND(Table1[[#This Row],[Content.Column3]] * 1000, 0)</f>
        <v>99385</v>
      </c>
      <c r="M407" s="30">
        <f>ROUND(Table1[[#This Row],[Content.Column4]] * 1000, 0)</f>
        <v>36125</v>
      </c>
      <c r="N407" s="30">
        <f>ROUND(Table1[[#This Row],[Content.Column5]] * 1000, 0)</f>
        <v>135510</v>
      </c>
      <c r="O407" s="30">
        <f>ROUND(Table1[[#This Row],[Content.Column6]] * 1000, 0)</f>
        <v>139166</v>
      </c>
      <c r="P407" s="27"/>
      <c r="Q407" s="27"/>
      <c r="R407"/>
      <c r="S407"/>
    </row>
    <row r="408" spans="1:19" x14ac:dyDescent="0.3">
      <c r="A408">
        <v>2017</v>
      </c>
      <c r="B408" t="s">
        <v>67</v>
      </c>
      <c r="C408" t="s">
        <v>66</v>
      </c>
      <c r="D408" s="34">
        <f>ROUND(Table1[[#This Row],[Content.Column7]] * 1000, 0)</f>
        <v>7068</v>
      </c>
      <c r="E408" s="34">
        <f>ROUND(Table1[[#This Row],[Content.Column8]] * 1000, 0)</f>
        <v>4478</v>
      </c>
      <c r="F408" s="34">
        <f>ROUND(Table1[[#This Row],[Content.Column9]] * 1000, 0)</f>
        <v>11546</v>
      </c>
      <c r="G408" s="34">
        <f>ROUND(Table1[[#This Row],[Content.Column10]] * 1000, 0)</f>
        <v>11560</v>
      </c>
      <c r="H408" s="32">
        <f>ROUND(Table1[[#This Row],[Content.Column11]] * 1000, 0)</f>
        <v>45923</v>
      </c>
      <c r="I408" s="32">
        <f>ROUND(Table1[[#This Row],[Content.Column12]] * 1000, 0)</f>
        <v>28260</v>
      </c>
      <c r="J408" s="32">
        <f>ROUND(Table1[[#This Row],[Content.Column13]] * 1000, 0)</f>
        <v>74183</v>
      </c>
      <c r="K408" s="32">
        <f>ROUND(Table1[[#This Row],[Content.Column14]] * 1000, 0)</f>
        <v>75497</v>
      </c>
      <c r="L408" s="30">
        <f>ROUND(Table1[[#This Row],[Content.Column3]] * 1000, 0)</f>
        <v>52991</v>
      </c>
      <c r="M408" s="30">
        <f>ROUND(Table1[[#This Row],[Content.Column4]] * 1000, 0)</f>
        <v>32738</v>
      </c>
      <c r="N408" s="30">
        <f>ROUND(Table1[[#This Row],[Content.Column5]] * 1000, 0)</f>
        <v>85729</v>
      </c>
      <c r="O408" s="30">
        <f>ROUND(Table1[[#This Row],[Content.Column6]] * 1000, 0)</f>
        <v>87057</v>
      </c>
      <c r="P408" s="27"/>
      <c r="Q408" s="27"/>
      <c r="R408"/>
      <c r="S408"/>
    </row>
    <row r="409" spans="1:19" x14ac:dyDescent="0.3">
      <c r="A409">
        <v>2017</v>
      </c>
      <c r="B409" t="s">
        <v>69</v>
      </c>
      <c r="C409" t="s">
        <v>68</v>
      </c>
      <c r="D409" s="34">
        <f>ROUND(Table1[[#This Row],[Content.Column7]] * 1000, 0)</f>
        <v>26993</v>
      </c>
      <c r="E409" s="34">
        <f>ROUND(Table1[[#This Row],[Content.Column8]] * 1000, 0)</f>
        <v>9036</v>
      </c>
      <c r="F409" s="34">
        <f>ROUND(Table1[[#This Row],[Content.Column9]] * 1000, 0)</f>
        <v>36029</v>
      </c>
      <c r="G409" s="34">
        <f>ROUND(Table1[[#This Row],[Content.Column10]] * 1000, 0)</f>
        <v>36359</v>
      </c>
      <c r="H409" s="32">
        <f>ROUND(Table1[[#This Row],[Content.Column11]] * 1000, 0)</f>
        <v>77009</v>
      </c>
      <c r="I409" s="32">
        <f>ROUND(Table1[[#This Row],[Content.Column12]] * 1000, 0)</f>
        <v>34990</v>
      </c>
      <c r="J409" s="32">
        <f>ROUND(Table1[[#This Row],[Content.Column13]] * 1000, 0)</f>
        <v>111999</v>
      </c>
      <c r="K409" s="32">
        <f>ROUND(Table1[[#This Row],[Content.Column14]] * 1000, 0)</f>
        <v>115614</v>
      </c>
      <c r="L409" s="30">
        <f>ROUND(Table1[[#This Row],[Content.Column3]] * 1000, 0)</f>
        <v>104003</v>
      </c>
      <c r="M409" s="30">
        <f>ROUND(Table1[[#This Row],[Content.Column4]] * 1000, 0)</f>
        <v>44025</v>
      </c>
      <c r="N409" s="30">
        <f>ROUND(Table1[[#This Row],[Content.Column5]] * 1000, 0)</f>
        <v>148028</v>
      </c>
      <c r="O409" s="30">
        <f>ROUND(Table1[[#This Row],[Content.Column6]] * 1000, 0)</f>
        <v>151973</v>
      </c>
      <c r="P409" s="27"/>
      <c r="Q409" s="27"/>
      <c r="R409"/>
      <c r="S409"/>
    </row>
    <row r="410" spans="1:19" x14ac:dyDescent="0.3">
      <c r="A410">
        <v>2017</v>
      </c>
      <c r="B410" t="s">
        <v>71</v>
      </c>
      <c r="C410" t="s">
        <v>70</v>
      </c>
      <c r="D410" s="34">
        <f>ROUND(Table1[[#This Row],[Content.Column7]] * 1000, 0)</f>
        <v>9742</v>
      </c>
      <c r="E410" s="34">
        <f>ROUND(Table1[[#This Row],[Content.Column8]] * 1000, 0)</f>
        <v>6024</v>
      </c>
      <c r="F410" s="34">
        <f>ROUND(Table1[[#This Row],[Content.Column9]] * 1000, 0)</f>
        <v>15765</v>
      </c>
      <c r="G410" s="34">
        <f>ROUND(Table1[[#This Row],[Content.Column10]] * 1000, 0)</f>
        <v>16182</v>
      </c>
      <c r="H410" s="32">
        <f>ROUND(Table1[[#This Row],[Content.Column11]] * 1000, 0)</f>
        <v>31585</v>
      </c>
      <c r="I410" s="32">
        <f>ROUND(Table1[[#This Row],[Content.Column12]] * 1000, 0)</f>
        <v>19945</v>
      </c>
      <c r="J410" s="32">
        <f>ROUND(Table1[[#This Row],[Content.Column13]] * 1000, 0)</f>
        <v>51530</v>
      </c>
      <c r="K410" s="32">
        <f>ROUND(Table1[[#This Row],[Content.Column14]] * 1000, 0)</f>
        <v>53224</v>
      </c>
      <c r="L410" s="30">
        <f>ROUND(Table1[[#This Row],[Content.Column3]] * 1000, 0)</f>
        <v>41327</v>
      </c>
      <c r="M410" s="30">
        <f>ROUND(Table1[[#This Row],[Content.Column4]] * 1000, 0)</f>
        <v>25969</v>
      </c>
      <c r="N410" s="30">
        <f>ROUND(Table1[[#This Row],[Content.Column5]] * 1000, 0)</f>
        <v>67296</v>
      </c>
      <c r="O410" s="30">
        <f>ROUND(Table1[[#This Row],[Content.Column6]] * 1000, 0)</f>
        <v>69406</v>
      </c>
      <c r="P410" s="27"/>
      <c r="Q410" s="27"/>
      <c r="R410"/>
      <c r="S410"/>
    </row>
    <row r="411" spans="1:19" x14ac:dyDescent="0.3">
      <c r="A411">
        <v>2017</v>
      </c>
      <c r="B411" t="s">
        <v>73</v>
      </c>
      <c r="C411" t="s">
        <v>72</v>
      </c>
      <c r="D411" s="34">
        <f>ROUND(Table1[[#This Row],[Content.Column7]] * 1000, 0)</f>
        <v>6015</v>
      </c>
      <c r="E411" s="34">
        <f>ROUND(Table1[[#This Row],[Content.Column8]] * 1000, 0)</f>
        <v>2851</v>
      </c>
      <c r="F411" s="34">
        <f>ROUND(Table1[[#This Row],[Content.Column9]] * 1000, 0)</f>
        <v>8866</v>
      </c>
      <c r="G411" s="34">
        <f>ROUND(Table1[[#This Row],[Content.Column10]] * 1000, 0)</f>
        <v>8873</v>
      </c>
      <c r="H411" s="32">
        <f>ROUND(Table1[[#This Row],[Content.Column11]] * 1000, 0)</f>
        <v>50464</v>
      </c>
      <c r="I411" s="32">
        <f>ROUND(Table1[[#This Row],[Content.Column12]] * 1000, 0)</f>
        <v>23511</v>
      </c>
      <c r="J411" s="32">
        <f>ROUND(Table1[[#This Row],[Content.Column13]] * 1000, 0)</f>
        <v>73976</v>
      </c>
      <c r="K411" s="32">
        <f>ROUND(Table1[[#This Row],[Content.Column14]] * 1000, 0)</f>
        <v>75684</v>
      </c>
      <c r="L411" s="30">
        <f>ROUND(Table1[[#This Row],[Content.Column3]] * 1000, 0)</f>
        <v>56480</v>
      </c>
      <c r="M411" s="30">
        <f>ROUND(Table1[[#This Row],[Content.Column4]] * 1000, 0)</f>
        <v>26363</v>
      </c>
      <c r="N411" s="30">
        <f>ROUND(Table1[[#This Row],[Content.Column5]] * 1000, 0)</f>
        <v>82842</v>
      </c>
      <c r="O411" s="30">
        <f>ROUND(Table1[[#This Row],[Content.Column6]] * 1000, 0)</f>
        <v>84557</v>
      </c>
      <c r="P411" s="27"/>
      <c r="Q411" s="27"/>
      <c r="R411"/>
      <c r="S411"/>
    </row>
    <row r="412" spans="1:19" x14ac:dyDescent="0.3">
      <c r="A412">
        <v>2017</v>
      </c>
      <c r="B412" t="s">
        <v>75</v>
      </c>
      <c r="C412" t="s">
        <v>74</v>
      </c>
      <c r="D412" s="34">
        <f>ROUND(Table1[[#This Row],[Content.Column7]] * 1000, 0)</f>
        <v>15917</v>
      </c>
      <c r="E412" s="34">
        <f>ROUND(Table1[[#This Row],[Content.Column8]] * 1000, 0)</f>
        <v>6776</v>
      </c>
      <c r="F412" s="34">
        <f>ROUND(Table1[[#This Row],[Content.Column9]] * 1000, 0)</f>
        <v>22693</v>
      </c>
      <c r="G412" s="34">
        <f>ROUND(Table1[[#This Row],[Content.Column10]] * 1000, 0)</f>
        <v>22734</v>
      </c>
      <c r="H412" s="32">
        <f>ROUND(Table1[[#This Row],[Content.Column11]] * 1000, 0)</f>
        <v>54446</v>
      </c>
      <c r="I412" s="32">
        <f>ROUND(Table1[[#This Row],[Content.Column12]] * 1000, 0)</f>
        <v>29946</v>
      </c>
      <c r="J412" s="32">
        <f>ROUND(Table1[[#This Row],[Content.Column13]] * 1000, 0)</f>
        <v>84392</v>
      </c>
      <c r="K412" s="32">
        <f>ROUND(Table1[[#This Row],[Content.Column14]] * 1000, 0)</f>
        <v>86382</v>
      </c>
      <c r="L412" s="30">
        <f>ROUND(Table1[[#This Row],[Content.Column3]] * 1000, 0)</f>
        <v>70363</v>
      </c>
      <c r="M412" s="30">
        <f>ROUND(Table1[[#This Row],[Content.Column4]] * 1000, 0)</f>
        <v>36722</v>
      </c>
      <c r="N412" s="30">
        <f>ROUND(Table1[[#This Row],[Content.Column5]] * 1000, 0)</f>
        <v>107085</v>
      </c>
      <c r="O412" s="30">
        <f>ROUND(Table1[[#This Row],[Content.Column6]] * 1000, 0)</f>
        <v>109116</v>
      </c>
      <c r="P412" s="27"/>
      <c r="Q412" s="27"/>
      <c r="R412"/>
      <c r="S412"/>
    </row>
    <row r="413" spans="1:19" x14ac:dyDescent="0.3">
      <c r="A413">
        <v>2017</v>
      </c>
      <c r="B413" t="s">
        <v>77</v>
      </c>
      <c r="C413" t="s">
        <v>76</v>
      </c>
      <c r="D413" s="34">
        <f>ROUND(Table1[[#This Row],[Content.Column7]] * 1000, 0)</f>
        <v>11932</v>
      </c>
      <c r="E413" s="34">
        <f>ROUND(Table1[[#This Row],[Content.Column8]] * 1000, 0)</f>
        <v>5638</v>
      </c>
      <c r="F413" s="34">
        <f>ROUND(Table1[[#This Row],[Content.Column9]] * 1000, 0)</f>
        <v>17570</v>
      </c>
      <c r="G413" s="34">
        <f>ROUND(Table1[[#This Row],[Content.Column10]] * 1000, 0)</f>
        <v>17582</v>
      </c>
      <c r="H413" s="32">
        <f>ROUND(Table1[[#This Row],[Content.Column11]] * 1000, 0)</f>
        <v>40376</v>
      </c>
      <c r="I413" s="32">
        <f>ROUND(Table1[[#This Row],[Content.Column12]] * 1000, 0)</f>
        <v>22190</v>
      </c>
      <c r="J413" s="32">
        <f>ROUND(Table1[[#This Row],[Content.Column13]] * 1000, 0)</f>
        <v>62566</v>
      </c>
      <c r="K413" s="32">
        <f>ROUND(Table1[[#This Row],[Content.Column14]] * 1000, 0)</f>
        <v>64706</v>
      </c>
      <c r="L413" s="30">
        <f>ROUND(Table1[[#This Row],[Content.Column3]] * 1000, 0)</f>
        <v>52308</v>
      </c>
      <c r="M413" s="30">
        <f>ROUND(Table1[[#This Row],[Content.Column4]] * 1000, 0)</f>
        <v>27829</v>
      </c>
      <c r="N413" s="30">
        <f>ROUND(Table1[[#This Row],[Content.Column5]] * 1000, 0)</f>
        <v>80136</v>
      </c>
      <c r="O413" s="30">
        <f>ROUND(Table1[[#This Row],[Content.Column6]] * 1000, 0)</f>
        <v>82288</v>
      </c>
      <c r="P413" s="27"/>
      <c r="Q413" s="27"/>
      <c r="R413"/>
      <c r="S413"/>
    </row>
    <row r="414" spans="1:19" x14ac:dyDescent="0.3">
      <c r="A414">
        <v>2017</v>
      </c>
      <c r="B414" t="s">
        <v>79</v>
      </c>
      <c r="C414" t="s">
        <v>78</v>
      </c>
      <c r="D414" s="34">
        <f>ROUND(Table1[[#This Row],[Content.Column7]] * 1000, 0)</f>
        <v>6339</v>
      </c>
      <c r="E414" s="34">
        <f>ROUND(Table1[[#This Row],[Content.Column8]] * 1000, 0)</f>
        <v>3150</v>
      </c>
      <c r="F414" s="34">
        <f>ROUND(Table1[[#This Row],[Content.Column9]] * 1000, 0)</f>
        <v>9489</v>
      </c>
      <c r="G414" s="34">
        <f>ROUND(Table1[[#This Row],[Content.Column10]] * 1000, 0)</f>
        <v>9502</v>
      </c>
      <c r="H414" s="32">
        <f>ROUND(Table1[[#This Row],[Content.Column11]] * 1000, 0)</f>
        <v>48841</v>
      </c>
      <c r="I414" s="32">
        <f>ROUND(Table1[[#This Row],[Content.Column12]] * 1000, 0)</f>
        <v>22942</v>
      </c>
      <c r="J414" s="32">
        <f>ROUND(Table1[[#This Row],[Content.Column13]] * 1000, 0)</f>
        <v>71783</v>
      </c>
      <c r="K414" s="32">
        <f>ROUND(Table1[[#This Row],[Content.Column14]] * 1000, 0)</f>
        <v>74124</v>
      </c>
      <c r="L414" s="30">
        <f>ROUND(Table1[[#This Row],[Content.Column3]] * 1000, 0)</f>
        <v>55180</v>
      </c>
      <c r="M414" s="30">
        <f>ROUND(Table1[[#This Row],[Content.Column4]] * 1000, 0)</f>
        <v>26092</v>
      </c>
      <c r="N414" s="30">
        <f>ROUND(Table1[[#This Row],[Content.Column5]] * 1000, 0)</f>
        <v>81272</v>
      </c>
      <c r="O414" s="30">
        <f>ROUND(Table1[[#This Row],[Content.Column6]] * 1000, 0)</f>
        <v>83626</v>
      </c>
      <c r="P414" s="27"/>
      <c r="Q414" s="27"/>
      <c r="R414"/>
      <c r="S414"/>
    </row>
    <row r="415" spans="1:19" x14ac:dyDescent="0.3">
      <c r="A415">
        <v>2017</v>
      </c>
      <c r="B415" t="s">
        <v>81</v>
      </c>
      <c r="C415" t="s">
        <v>80</v>
      </c>
      <c r="D415" s="34">
        <f>ROUND(Table1[[#This Row],[Content.Column7]] * 1000, 0)</f>
        <v>34914</v>
      </c>
      <c r="E415" s="34">
        <f>ROUND(Table1[[#This Row],[Content.Column8]] * 1000, 0)</f>
        <v>7765</v>
      </c>
      <c r="F415" s="34">
        <f>ROUND(Table1[[#This Row],[Content.Column9]] * 1000, 0)</f>
        <v>42679</v>
      </c>
      <c r="G415" s="34">
        <f>ROUND(Table1[[#This Row],[Content.Column10]] * 1000, 0)</f>
        <v>42773</v>
      </c>
      <c r="H415" s="32">
        <f>ROUND(Table1[[#This Row],[Content.Column11]] * 1000, 0)</f>
        <v>150375</v>
      </c>
      <c r="I415" s="32">
        <f>ROUND(Table1[[#This Row],[Content.Column12]] * 1000, 0)</f>
        <v>41482</v>
      </c>
      <c r="J415" s="32">
        <f>ROUND(Table1[[#This Row],[Content.Column13]] * 1000, 0)</f>
        <v>191858</v>
      </c>
      <c r="K415" s="32">
        <f>ROUND(Table1[[#This Row],[Content.Column14]] * 1000, 0)</f>
        <v>197179</v>
      </c>
      <c r="L415" s="30">
        <f>ROUND(Table1[[#This Row],[Content.Column3]] * 1000, 0)</f>
        <v>185290</v>
      </c>
      <c r="M415" s="30">
        <f>ROUND(Table1[[#This Row],[Content.Column4]] * 1000, 0)</f>
        <v>49247</v>
      </c>
      <c r="N415" s="30">
        <f>ROUND(Table1[[#This Row],[Content.Column5]] * 1000, 0)</f>
        <v>234537</v>
      </c>
      <c r="O415" s="30">
        <f>ROUND(Table1[[#This Row],[Content.Column6]] * 1000, 0)</f>
        <v>239952</v>
      </c>
      <c r="P415" s="27"/>
      <c r="Q415" s="27"/>
      <c r="R415"/>
      <c r="S415"/>
    </row>
    <row r="416" spans="1:19" x14ac:dyDescent="0.3">
      <c r="A416">
        <v>2017</v>
      </c>
      <c r="B416" t="s">
        <v>83</v>
      </c>
      <c r="C416" t="s">
        <v>82</v>
      </c>
      <c r="D416" s="34">
        <f>ROUND(Table1[[#This Row],[Content.Column7]] * 1000, 0)</f>
        <v>8773</v>
      </c>
      <c r="E416" s="34">
        <f>ROUND(Table1[[#This Row],[Content.Column8]] * 1000, 0)</f>
        <v>5863</v>
      </c>
      <c r="F416" s="34">
        <f>ROUND(Table1[[#This Row],[Content.Column9]] * 1000, 0)</f>
        <v>14636</v>
      </c>
      <c r="G416" s="34">
        <f>ROUND(Table1[[#This Row],[Content.Column10]] * 1000, 0)</f>
        <v>14675</v>
      </c>
      <c r="H416" s="32">
        <f>ROUND(Table1[[#This Row],[Content.Column11]] * 1000, 0)</f>
        <v>36084</v>
      </c>
      <c r="I416" s="32">
        <f>ROUND(Table1[[#This Row],[Content.Column12]] * 1000, 0)</f>
        <v>20750</v>
      </c>
      <c r="J416" s="32">
        <f>ROUND(Table1[[#This Row],[Content.Column13]] * 1000, 0)</f>
        <v>56834</v>
      </c>
      <c r="K416" s="32">
        <f>ROUND(Table1[[#This Row],[Content.Column14]] * 1000, 0)</f>
        <v>58495</v>
      </c>
      <c r="L416" s="30">
        <f>ROUND(Table1[[#This Row],[Content.Column3]] * 1000, 0)</f>
        <v>44857</v>
      </c>
      <c r="M416" s="30">
        <f>ROUND(Table1[[#This Row],[Content.Column4]] * 1000, 0)</f>
        <v>26613</v>
      </c>
      <c r="N416" s="30">
        <f>ROUND(Table1[[#This Row],[Content.Column5]] * 1000, 0)</f>
        <v>71471</v>
      </c>
      <c r="O416" s="30">
        <f>ROUND(Table1[[#This Row],[Content.Column6]] * 1000, 0)</f>
        <v>73170</v>
      </c>
      <c r="P416" s="27"/>
      <c r="Q416" s="27"/>
      <c r="R416"/>
      <c r="S416"/>
    </row>
    <row r="417" spans="1:19" x14ac:dyDescent="0.3">
      <c r="A417">
        <v>2017</v>
      </c>
      <c r="B417" t="s">
        <v>85</v>
      </c>
      <c r="C417" t="s">
        <v>84</v>
      </c>
      <c r="D417" s="34">
        <f>ROUND(Table1[[#This Row],[Content.Column7]] * 1000, 0)</f>
        <v>30403</v>
      </c>
      <c r="E417" s="34">
        <f>ROUND(Table1[[#This Row],[Content.Column8]] * 1000, 0)</f>
        <v>15342</v>
      </c>
      <c r="F417" s="34">
        <f>ROUND(Table1[[#This Row],[Content.Column9]] * 1000, 0)</f>
        <v>45746</v>
      </c>
      <c r="G417" s="34">
        <f>ROUND(Table1[[#This Row],[Content.Column10]] * 1000, 0)</f>
        <v>45786</v>
      </c>
      <c r="H417" s="32">
        <f>ROUND(Table1[[#This Row],[Content.Column11]] * 1000, 0)</f>
        <v>196378</v>
      </c>
      <c r="I417" s="32">
        <f>ROUND(Table1[[#This Row],[Content.Column12]] * 1000, 0)</f>
        <v>48388</v>
      </c>
      <c r="J417" s="32">
        <f>ROUND(Table1[[#This Row],[Content.Column13]] * 1000, 0)</f>
        <v>244766</v>
      </c>
      <c r="K417" s="32">
        <f>ROUND(Table1[[#This Row],[Content.Column14]] * 1000, 0)</f>
        <v>249350</v>
      </c>
      <c r="L417" s="30">
        <f>ROUND(Table1[[#This Row],[Content.Column3]] * 1000, 0)</f>
        <v>226782</v>
      </c>
      <c r="M417" s="30">
        <f>ROUND(Table1[[#This Row],[Content.Column4]] * 1000, 0)</f>
        <v>63731</v>
      </c>
      <c r="N417" s="30">
        <f>ROUND(Table1[[#This Row],[Content.Column5]] * 1000, 0)</f>
        <v>290512</v>
      </c>
      <c r="O417" s="30">
        <f>ROUND(Table1[[#This Row],[Content.Column6]] * 1000, 0)</f>
        <v>295136</v>
      </c>
      <c r="P417" s="27"/>
      <c r="Q417" s="27"/>
      <c r="R417"/>
      <c r="S417"/>
    </row>
    <row r="418" spans="1:19" x14ac:dyDescent="0.3">
      <c r="A418">
        <v>2017</v>
      </c>
      <c r="B418" t="s">
        <v>87</v>
      </c>
      <c r="C418" t="s">
        <v>86</v>
      </c>
      <c r="D418" s="34">
        <f>ROUND(Table1[[#This Row],[Content.Column7]] * 1000, 0)</f>
        <v>10775</v>
      </c>
      <c r="E418" s="34">
        <f>ROUND(Table1[[#This Row],[Content.Column8]] * 1000, 0)</f>
        <v>4907</v>
      </c>
      <c r="F418" s="34">
        <f>ROUND(Table1[[#This Row],[Content.Column9]] * 1000, 0)</f>
        <v>15682</v>
      </c>
      <c r="G418" s="34">
        <f>ROUND(Table1[[#This Row],[Content.Column10]] * 1000, 0)</f>
        <v>15709</v>
      </c>
      <c r="H418" s="32">
        <f>ROUND(Table1[[#This Row],[Content.Column11]] * 1000, 0)</f>
        <v>38338</v>
      </c>
      <c r="I418" s="32">
        <f>ROUND(Table1[[#This Row],[Content.Column12]] * 1000, 0)</f>
        <v>18077</v>
      </c>
      <c r="J418" s="32">
        <f>ROUND(Table1[[#This Row],[Content.Column13]] * 1000, 0)</f>
        <v>56415</v>
      </c>
      <c r="K418" s="32">
        <f>ROUND(Table1[[#This Row],[Content.Column14]] * 1000, 0)</f>
        <v>58533</v>
      </c>
      <c r="L418" s="30">
        <f>ROUND(Table1[[#This Row],[Content.Column3]] * 1000, 0)</f>
        <v>49113</v>
      </c>
      <c r="M418" s="30">
        <f>ROUND(Table1[[#This Row],[Content.Column4]] * 1000, 0)</f>
        <v>22984</v>
      </c>
      <c r="N418" s="30">
        <f>ROUND(Table1[[#This Row],[Content.Column5]] * 1000, 0)</f>
        <v>72097</v>
      </c>
      <c r="O418" s="30">
        <f>ROUND(Table1[[#This Row],[Content.Column6]] * 1000, 0)</f>
        <v>74242</v>
      </c>
      <c r="P418" s="27"/>
      <c r="Q418" s="27"/>
      <c r="R418"/>
      <c r="S418"/>
    </row>
    <row r="419" spans="1:19" x14ac:dyDescent="0.3">
      <c r="A419">
        <v>2017</v>
      </c>
      <c r="B419" t="s">
        <v>89</v>
      </c>
      <c r="C419" t="s">
        <v>88</v>
      </c>
      <c r="D419" s="34">
        <f>ROUND(Table1[[#This Row],[Content.Column7]] * 1000, 0)</f>
        <v>17223</v>
      </c>
      <c r="E419" s="34">
        <f>ROUND(Table1[[#This Row],[Content.Column8]] * 1000, 0)</f>
        <v>8016</v>
      </c>
      <c r="F419" s="34">
        <f>ROUND(Table1[[#This Row],[Content.Column9]] * 1000, 0)</f>
        <v>25239</v>
      </c>
      <c r="G419" s="34">
        <f>ROUND(Table1[[#This Row],[Content.Column10]] * 1000, 0)</f>
        <v>25282</v>
      </c>
      <c r="H419" s="32">
        <f>ROUND(Table1[[#This Row],[Content.Column11]] * 1000, 0)</f>
        <v>62976</v>
      </c>
      <c r="I419" s="32">
        <f>ROUND(Table1[[#This Row],[Content.Column12]] * 1000, 0)</f>
        <v>31282</v>
      </c>
      <c r="J419" s="32">
        <f>ROUND(Table1[[#This Row],[Content.Column13]] * 1000, 0)</f>
        <v>94258</v>
      </c>
      <c r="K419" s="32">
        <f>ROUND(Table1[[#This Row],[Content.Column14]] * 1000, 0)</f>
        <v>97175</v>
      </c>
      <c r="L419" s="30">
        <f>ROUND(Table1[[#This Row],[Content.Column3]] * 1000, 0)</f>
        <v>80199</v>
      </c>
      <c r="M419" s="30">
        <f>ROUND(Table1[[#This Row],[Content.Column4]] * 1000, 0)</f>
        <v>39298</v>
      </c>
      <c r="N419" s="30">
        <f>ROUND(Table1[[#This Row],[Content.Column5]] * 1000, 0)</f>
        <v>119497</v>
      </c>
      <c r="O419" s="30">
        <f>ROUND(Table1[[#This Row],[Content.Column6]] * 1000, 0)</f>
        <v>122458</v>
      </c>
      <c r="P419" s="27"/>
      <c r="Q419" s="27"/>
      <c r="R419"/>
      <c r="S419"/>
    </row>
    <row r="420" spans="1:19" x14ac:dyDescent="0.3">
      <c r="A420">
        <v>2017</v>
      </c>
      <c r="B420" t="s">
        <v>91</v>
      </c>
      <c r="C420" t="s">
        <v>90</v>
      </c>
      <c r="D420" s="34">
        <f>ROUND(Table1[[#This Row],[Content.Column7]] * 1000, 0)</f>
        <v>87796</v>
      </c>
      <c r="E420" s="34">
        <f>ROUND(Table1[[#This Row],[Content.Column8]] * 1000, 0)</f>
        <v>11846</v>
      </c>
      <c r="F420" s="34">
        <f>ROUND(Table1[[#This Row],[Content.Column9]] * 1000, 0)</f>
        <v>99642</v>
      </c>
      <c r="G420" s="34">
        <f>ROUND(Table1[[#This Row],[Content.Column10]] * 1000, 0)</f>
        <v>99898</v>
      </c>
      <c r="H420" s="32">
        <f>ROUND(Table1[[#This Row],[Content.Column11]] * 1000, 0)</f>
        <v>458105</v>
      </c>
      <c r="I420" s="32">
        <f>ROUND(Table1[[#This Row],[Content.Column12]] * 1000, 0)</f>
        <v>141434</v>
      </c>
      <c r="J420" s="32">
        <f>ROUND(Table1[[#This Row],[Content.Column13]] * 1000, 0)</f>
        <v>599539</v>
      </c>
      <c r="K420" s="32">
        <f>ROUND(Table1[[#This Row],[Content.Column14]] * 1000, 0)</f>
        <v>620737</v>
      </c>
      <c r="L420" s="30">
        <f>ROUND(Table1[[#This Row],[Content.Column3]] * 1000, 0)</f>
        <v>545901</v>
      </c>
      <c r="M420" s="30">
        <f>ROUND(Table1[[#This Row],[Content.Column4]] * 1000, 0)</f>
        <v>153281</v>
      </c>
      <c r="N420" s="30">
        <f>ROUND(Table1[[#This Row],[Content.Column5]] * 1000, 0)</f>
        <v>699181</v>
      </c>
      <c r="O420" s="30">
        <f>ROUND(Table1[[#This Row],[Content.Column6]] * 1000, 0)</f>
        <v>720635</v>
      </c>
      <c r="P420" s="27"/>
      <c r="Q420" s="27"/>
      <c r="R420"/>
      <c r="S420"/>
    </row>
    <row r="421" spans="1:19" x14ac:dyDescent="0.3">
      <c r="A421">
        <v>2017</v>
      </c>
      <c r="B421" t="s">
        <v>93</v>
      </c>
      <c r="C421" t="s">
        <v>92</v>
      </c>
      <c r="D421" s="34">
        <f>ROUND(Table1[[#This Row],[Content.Column7]] * 1000, 0)</f>
        <v>342127</v>
      </c>
      <c r="E421" s="34">
        <f>ROUND(Table1[[#This Row],[Content.Column8]] * 1000, 0)</f>
        <v>101581</v>
      </c>
      <c r="F421" s="34">
        <f>ROUND(Table1[[#This Row],[Content.Column9]] * 1000, 0)</f>
        <v>443709</v>
      </c>
      <c r="G421" s="34">
        <f>ROUND(Table1[[#This Row],[Content.Column10]] * 1000, 0)</f>
        <v>445211</v>
      </c>
      <c r="H421" s="32">
        <f>ROUND(Table1[[#This Row],[Content.Column11]] * 1000, 0)</f>
        <v>2107743</v>
      </c>
      <c r="I421" s="32">
        <f>ROUND(Table1[[#This Row],[Content.Column12]] * 1000, 0)</f>
        <v>652299</v>
      </c>
      <c r="J421" s="32">
        <f>ROUND(Table1[[#This Row],[Content.Column13]] * 1000, 0)</f>
        <v>2760042</v>
      </c>
      <c r="K421" s="32">
        <f>ROUND(Table1[[#This Row],[Content.Column14]] * 1000, 0)</f>
        <v>2848230</v>
      </c>
      <c r="L421" s="30">
        <f>ROUND(Table1[[#This Row],[Content.Column3]] * 1000, 0)</f>
        <v>2449870</v>
      </c>
      <c r="M421" s="30">
        <f>ROUND(Table1[[#This Row],[Content.Column4]] * 1000, 0)</f>
        <v>753880</v>
      </c>
      <c r="N421" s="30">
        <f>ROUND(Table1[[#This Row],[Content.Column5]] * 1000, 0)</f>
        <v>3203751</v>
      </c>
      <c r="O421" s="30">
        <f>ROUND(Table1[[#This Row],[Content.Column6]] * 1000, 0)</f>
        <v>3293441</v>
      </c>
      <c r="P421" s="27"/>
      <c r="Q421" s="27"/>
      <c r="R421"/>
      <c r="S421"/>
    </row>
    <row r="422" spans="1:19" x14ac:dyDescent="0.3">
      <c r="A422">
        <v>2017</v>
      </c>
      <c r="B422" t="s">
        <v>95</v>
      </c>
      <c r="C422" t="s">
        <v>94</v>
      </c>
      <c r="D422" s="34">
        <f>ROUND(Table1[[#This Row],[Content.Column7]] * 1000, 0)</f>
        <v>203345</v>
      </c>
      <c r="E422" s="34">
        <f>ROUND(Table1[[#This Row],[Content.Column8]] * 1000, 0)</f>
        <v>109680</v>
      </c>
      <c r="F422" s="34">
        <f>ROUND(Table1[[#This Row],[Content.Column9]] * 1000, 0)</f>
        <v>313024</v>
      </c>
      <c r="G422" s="34">
        <f>ROUND(Table1[[#This Row],[Content.Column10]] * 1000, 0)</f>
        <v>313821</v>
      </c>
      <c r="H422" s="32">
        <f>ROUND(Table1[[#This Row],[Content.Column11]] * 1000, 0)</f>
        <v>1095468</v>
      </c>
      <c r="I422" s="32">
        <f>ROUND(Table1[[#This Row],[Content.Column12]] * 1000, 0)</f>
        <v>521868</v>
      </c>
      <c r="J422" s="32">
        <f>ROUND(Table1[[#This Row],[Content.Column13]] * 1000, 0)</f>
        <v>1617336</v>
      </c>
      <c r="K422" s="32">
        <f>ROUND(Table1[[#This Row],[Content.Column14]] * 1000, 0)</f>
        <v>1660630</v>
      </c>
      <c r="L422" s="30">
        <f>ROUND(Table1[[#This Row],[Content.Column3]] * 1000, 0)</f>
        <v>1298813</v>
      </c>
      <c r="M422" s="30">
        <f>ROUND(Table1[[#This Row],[Content.Column4]] * 1000, 0)</f>
        <v>631547</v>
      </c>
      <c r="N422" s="30">
        <f>ROUND(Table1[[#This Row],[Content.Column5]] * 1000, 0)</f>
        <v>1930360</v>
      </c>
      <c r="O422" s="30">
        <f>ROUND(Table1[[#This Row],[Content.Column6]] * 1000, 0)</f>
        <v>1974451</v>
      </c>
      <c r="P422" s="27"/>
      <c r="Q422" s="27"/>
      <c r="R422"/>
      <c r="S422"/>
    </row>
    <row r="423" spans="1:19" x14ac:dyDescent="0.3">
      <c r="A423">
        <v>2017</v>
      </c>
      <c r="B423" t="s">
        <v>97</v>
      </c>
      <c r="C423" t="s">
        <v>96</v>
      </c>
      <c r="D423" s="34">
        <f>ROUND(Table1[[#This Row],[Content.Column7]] * 1000, 0)</f>
        <v>140240</v>
      </c>
      <c r="E423" s="34">
        <f>ROUND(Table1[[#This Row],[Content.Column8]] * 1000, 0)</f>
        <v>85422</v>
      </c>
      <c r="F423" s="34">
        <f>ROUND(Table1[[#This Row],[Content.Column9]] * 1000, 0)</f>
        <v>225662</v>
      </c>
      <c r="G423" s="34">
        <f>ROUND(Table1[[#This Row],[Content.Column10]] * 1000, 0)</f>
        <v>225985</v>
      </c>
      <c r="H423" s="32">
        <f>ROUND(Table1[[#This Row],[Content.Column11]] * 1000, 0)</f>
        <v>559804</v>
      </c>
      <c r="I423" s="32">
        <f>ROUND(Table1[[#This Row],[Content.Column12]] * 1000, 0)</f>
        <v>278593</v>
      </c>
      <c r="J423" s="32">
        <f>ROUND(Table1[[#This Row],[Content.Column13]] * 1000, 0)</f>
        <v>838397</v>
      </c>
      <c r="K423" s="32">
        <f>ROUND(Table1[[#This Row],[Content.Column14]] * 1000, 0)</f>
        <v>870120</v>
      </c>
      <c r="L423" s="30">
        <f>ROUND(Table1[[#This Row],[Content.Column3]] * 1000, 0)</f>
        <v>700044</v>
      </c>
      <c r="M423" s="30">
        <f>ROUND(Table1[[#This Row],[Content.Column4]] * 1000, 0)</f>
        <v>364015</v>
      </c>
      <c r="N423" s="30">
        <f>ROUND(Table1[[#This Row],[Content.Column5]] * 1000, 0)</f>
        <v>1064059</v>
      </c>
      <c r="O423" s="30">
        <f>ROUND(Table1[[#This Row],[Content.Column6]] * 1000, 0)</f>
        <v>1096104</v>
      </c>
      <c r="P423" s="27"/>
      <c r="Q423" s="27"/>
      <c r="R423"/>
      <c r="S423"/>
    </row>
    <row r="424" spans="1:19" x14ac:dyDescent="0.3">
      <c r="A424">
        <v>2017</v>
      </c>
      <c r="B424" t="s">
        <v>99</v>
      </c>
      <c r="C424" t="s">
        <v>98</v>
      </c>
      <c r="D424" s="34">
        <f>ROUND(Table1[[#This Row],[Content.Column7]] * 1000, 0)</f>
        <v>377623</v>
      </c>
      <c r="E424" s="34">
        <f>ROUND(Table1[[#This Row],[Content.Column8]] * 1000, 0)</f>
        <v>231607</v>
      </c>
      <c r="F424" s="34">
        <f>ROUND(Table1[[#This Row],[Content.Column9]] * 1000, 0)</f>
        <v>609230</v>
      </c>
      <c r="G424" s="34">
        <f>ROUND(Table1[[#This Row],[Content.Column10]] * 1000, 0)</f>
        <v>610233</v>
      </c>
      <c r="H424" s="32">
        <f>ROUND(Table1[[#This Row],[Content.Column11]] * 1000, 0)</f>
        <v>1841019</v>
      </c>
      <c r="I424" s="32">
        <f>ROUND(Table1[[#This Row],[Content.Column12]] * 1000, 0)</f>
        <v>840654</v>
      </c>
      <c r="J424" s="32">
        <f>ROUND(Table1[[#This Row],[Content.Column13]] * 1000, 0)</f>
        <v>2681672</v>
      </c>
      <c r="K424" s="32">
        <f>ROUND(Table1[[#This Row],[Content.Column14]] * 1000, 0)</f>
        <v>2774064</v>
      </c>
      <c r="L424" s="30">
        <f>ROUND(Table1[[#This Row],[Content.Column3]] * 1000, 0)</f>
        <v>2218642</v>
      </c>
      <c r="M424" s="30">
        <f>ROUND(Table1[[#This Row],[Content.Column4]] * 1000, 0)</f>
        <v>1072261</v>
      </c>
      <c r="N424" s="30">
        <f>ROUND(Table1[[#This Row],[Content.Column5]] * 1000, 0)</f>
        <v>3290902</v>
      </c>
      <c r="O424" s="30">
        <f>ROUND(Table1[[#This Row],[Content.Column6]] * 1000, 0)</f>
        <v>3384297</v>
      </c>
      <c r="P424" s="27"/>
      <c r="Q424" s="27"/>
      <c r="R424"/>
      <c r="S424"/>
    </row>
    <row r="425" spans="1:19" x14ac:dyDescent="0.3">
      <c r="A425">
        <v>2017</v>
      </c>
      <c r="B425" t="s">
        <v>101</v>
      </c>
      <c r="C425" t="s">
        <v>100</v>
      </c>
      <c r="D425" s="34">
        <f>ROUND(Table1[[#This Row],[Content.Column7]] * 1000, 0)</f>
        <v>271779</v>
      </c>
      <c r="E425" s="34">
        <f>ROUND(Table1[[#This Row],[Content.Column8]] * 1000, 0)</f>
        <v>168719</v>
      </c>
      <c r="F425" s="34">
        <f>ROUND(Table1[[#This Row],[Content.Column9]] * 1000, 0)</f>
        <v>440498</v>
      </c>
      <c r="G425" s="34">
        <f>ROUND(Table1[[#This Row],[Content.Column10]] * 1000, 0)</f>
        <v>441264</v>
      </c>
      <c r="H425" s="32">
        <f>ROUND(Table1[[#This Row],[Content.Column11]] * 1000, 0)</f>
        <v>1323059</v>
      </c>
      <c r="I425" s="32">
        <f>ROUND(Table1[[#This Row],[Content.Column12]] * 1000, 0)</f>
        <v>613183</v>
      </c>
      <c r="J425" s="32">
        <f>ROUND(Table1[[#This Row],[Content.Column13]] * 1000, 0)</f>
        <v>1936241</v>
      </c>
      <c r="K425" s="32">
        <f>ROUND(Table1[[#This Row],[Content.Column14]] * 1000, 0)</f>
        <v>2021891</v>
      </c>
      <c r="L425" s="30">
        <f>ROUND(Table1[[#This Row],[Content.Column3]] * 1000, 0)</f>
        <v>1594838</v>
      </c>
      <c r="M425" s="30">
        <f>ROUND(Table1[[#This Row],[Content.Column4]] * 1000, 0)</f>
        <v>781902</v>
      </c>
      <c r="N425" s="30">
        <f>ROUND(Table1[[#This Row],[Content.Column5]] * 1000, 0)</f>
        <v>2376739</v>
      </c>
      <c r="O425" s="30">
        <f>ROUND(Table1[[#This Row],[Content.Column6]] * 1000, 0)</f>
        <v>2463155</v>
      </c>
      <c r="P425" s="27"/>
      <c r="Q425" s="27"/>
      <c r="R425"/>
      <c r="S425"/>
    </row>
    <row r="426" spans="1:19" x14ac:dyDescent="0.3">
      <c r="A426">
        <v>2017</v>
      </c>
      <c r="B426" t="s">
        <v>103</v>
      </c>
      <c r="C426" t="s">
        <v>102</v>
      </c>
      <c r="D426" s="34">
        <f>ROUND(Table1[[#This Row],[Content.Column7]] * 1000, 0)</f>
        <v>192976</v>
      </c>
      <c r="E426" s="34">
        <f>ROUND(Table1[[#This Row],[Content.Column8]] * 1000, 0)</f>
        <v>134685</v>
      </c>
      <c r="F426" s="34">
        <f>ROUND(Table1[[#This Row],[Content.Column9]] * 1000, 0)</f>
        <v>327662</v>
      </c>
      <c r="G426" s="34">
        <f>ROUND(Table1[[#This Row],[Content.Column10]] * 1000, 0)</f>
        <v>328120</v>
      </c>
      <c r="H426" s="32">
        <f>ROUND(Table1[[#This Row],[Content.Column11]] * 1000, 0)</f>
        <v>1227833</v>
      </c>
      <c r="I426" s="32">
        <f>ROUND(Table1[[#This Row],[Content.Column12]] * 1000, 0)</f>
        <v>532265</v>
      </c>
      <c r="J426" s="32">
        <f>ROUND(Table1[[#This Row],[Content.Column13]] * 1000, 0)</f>
        <v>1760098</v>
      </c>
      <c r="K426" s="32">
        <f>ROUND(Table1[[#This Row],[Content.Column14]] * 1000, 0)</f>
        <v>1827562</v>
      </c>
      <c r="L426" s="30">
        <f>ROUND(Table1[[#This Row],[Content.Column3]] * 1000, 0)</f>
        <v>1420809</v>
      </c>
      <c r="M426" s="30">
        <f>ROUND(Table1[[#This Row],[Content.Column4]] * 1000, 0)</f>
        <v>666950</v>
      </c>
      <c r="N426" s="30">
        <f>ROUND(Table1[[#This Row],[Content.Column5]] * 1000, 0)</f>
        <v>2087760</v>
      </c>
      <c r="O426" s="30">
        <f>ROUND(Table1[[#This Row],[Content.Column6]] * 1000, 0)</f>
        <v>2155682</v>
      </c>
      <c r="P426" s="27"/>
      <c r="Q426" s="27"/>
      <c r="R426"/>
      <c r="S426"/>
    </row>
    <row r="427" spans="1:19" x14ac:dyDescent="0.3">
      <c r="A427">
        <v>2017</v>
      </c>
      <c r="B427" t="s">
        <v>105</v>
      </c>
      <c r="C427" t="s">
        <v>104</v>
      </c>
      <c r="D427" s="34">
        <f>ROUND(Table1[[#This Row],[Content.Column7]] * 1000, 0)</f>
        <v>265691</v>
      </c>
      <c r="E427" s="34">
        <f>ROUND(Table1[[#This Row],[Content.Column8]] * 1000, 0)</f>
        <v>169278</v>
      </c>
      <c r="F427" s="34">
        <f>ROUND(Table1[[#This Row],[Content.Column9]] * 1000, 0)</f>
        <v>434969</v>
      </c>
      <c r="G427" s="34">
        <f>ROUND(Table1[[#This Row],[Content.Column10]] * 1000, 0)</f>
        <v>436783</v>
      </c>
      <c r="H427" s="32">
        <f>ROUND(Table1[[#This Row],[Content.Column11]] * 1000, 0)</f>
        <v>1478165</v>
      </c>
      <c r="I427" s="32">
        <f>ROUND(Table1[[#This Row],[Content.Column12]] * 1000, 0)</f>
        <v>665386</v>
      </c>
      <c r="J427" s="32">
        <f>ROUND(Table1[[#This Row],[Content.Column13]] * 1000, 0)</f>
        <v>2143551</v>
      </c>
      <c r="K427" s="32">
        <f>ROUND(Table1[[#This Row],[Content.Column14]] * 1000, 0)</f>
        <v>2227697</v>
      </c>
      <c r="L427" s="30">
        <f>ROUND(Table1[[#This Row],[Content.Column3]] * 1000, 0)</f>
        <v>1743856</v>
      </c>
      <c r="M427" s="30">
        <f>ROUND(Table1[[#This Row],[Content.Column4]] * 1000, 0)</f>
        <v>834664</v>
      </c>
      <c r="N427" s="30">
        <f>ROUND(Table1[[#This Row],[Content.Column5]] * 1000, 0)</f>
        <v>2578520</v>
      </c>
      <c r="O427" s="30">
        <f>ROUND(Table1[[#This Row],[Content.Column6]] * 1000, 0)</f>
        <v>2664480</v>
      </c>
      <c r="P427" s="27"/>
      <c r="Q427" s="27"/>
      <c r="R427"/>
      <c r="S427"/>
    </row>
    <row r="428" spans="1:19" x14ac:dyDescent="0.3">
      <c r="A428">
        <v>2017</v>
      </c>
      <c r="B428" t="s">
        <v>107</v>
      </c>
      <c r="C428" t="s">
        <v>106</v>
      </c>
      <c r="D428" s="34">
        <f>ROUND(Table1[[#This Row],[Content.Column7]] * 1000, 0)</f>
        <v>229508</v>
      </c>
      <c r="E428" s="34">
        <f>ROUND(Table1[[#This Row],[Content.Column8]] * 1000, 0)</f>
        <v>192885</v>
      </c>
      <c r="F428" s="34">
        <f>ROUND(Table1[[#This Row],[Content.Column9]] * 1000, 0)</f>
        <v>422392</v>
      </c>
      <c r="G428" s="34">
        <f>ROUND(Table1[[#This Row],[Content.Column10]] * 1000, 0)</f>
        <v>423096</v>
      </c>
      <c r="H428" s="32">
        <f>ROUND(Table1[[#This Row],[Content.Column11]] * 1000, 0)</f>
        <v>1573021</v>
      </c>
      <c r="I428" s="32">
        <f>ROUND(Table1[[#This Row],[Content.Column12]] * 1000, 0)</f>
        <v>761640</v>
      </c>
      <c r="J428" s="32">
        <f>ROUND(Table1[[#This Row],[Content.Column13]] * 1000, 0)</f>
        <v>2334662</v>
      </c>
      <c r="K428" s="32">
        <f>ROUND(Table1[[#This Row],[Content.Column14]] * 1000, 0)</f>
        <v>2426730</v>
      </c>
      <c r="L428" s="30">
        <f>ROUND(Table1[[#This Row],[Content.Column3]] * 1000, 0)</f>
        <v>1802529</v>
      </c>
      <c r="M428" s="30">
        <f>ROUND(Table1[[#This Row],[Content.Column4]] * 1000, 0)</f>
        <v>954525</v>
      </c>
      <c r="N428" s="30">
        <f>ROUND(Table1[[#This Row],[Content.Column5]] * 1000, 0)</f>
        <v>2757054</v>
      </c>
      <c r="O428" s="30">
        <f>ROUND(Table1[[#This Row],[Content.Column6]] * 1000, 0)</f>
        <v>2849826</v>
      </c>
      <c r="P428" s="27"/>
      <c r="Q428" s="27"/>
      <c r="R428"/>
      <c r="S428"/>
    </row>
    <row r="429" spans="1:19" x14ac:dyDescent="0.3">
      <c r="A429">
        <v>2017</v>
      </c>
      <c r="B429" t="s">
        <v>109</v>
      </c>
      <c r="C429" t="s">
        <v>108</v>
      </c>
      <c r="D429" s="34">
        <f>ROUND(Table1[[#This Row],[Content.Column7]] * 1000, 0)</f>
        <v>545472</v>
      </c>
      <c r="E429" s="34">
        <f>ROUND(Table1[[#This Row],[Content.Column8]] * 1000, 0)</f>
        <v>211261</v>
      </c>
      <c r="F429" s="34">
        <f>ROUND(Table1[[#This Row],[Content.Column9]] * 1000, 0)</f>
        <v>756733</v>
      </c>
      <c r="G429" s="34">
        <f>ROUND(Table1[[#This Row],[Content.Column10]] * 1000, 0)</f>
        <v>759033</v>
      </c>
      <c r="H429" s="32">
        <f>ROUND(Table1[[#This Row],[Content.Column11]] * 1000, 0)</f>
        <v>3203211</v>
      </c>
      <c r="I429" s="32">
        <f>ROUND(Table1[[#This Row],[Content.Column12]] * 1000, 0)</f>
        <v>1174167</v>
      </c>
      <c r="J429" s="32">
        <f>ROUND(Table1[[#This Row],[Content.Column13]] * 1000, 0)</f>
        <v>4377378</v>
      </c>
      <c r="K429" s="32">
        <f>ROUND(Table1[[#This Row],[Content.Column14]] * 1000, 0)</f>
        <v>4508860</v>
      </c>
      <c r="L429" s="30">
        <f>ROUND(Table1[[#This Row],[Content.Column3]] * 1000, 0)</f>
        <v>3748683</v>
      </c>
      <c r="M429" s="30">
        <f>ROUND(Table1[[#This Row],[Content.Column4]] * 1000, 0)</f>
        <v>1385428</v>
      </c>
      <c r="N429" s="30">
        <f>ROUND(Table1[[#This Row],[Content.Column5]] * 1000, 0)</f>
        <v>5134111</v>
      </c>
      <c r="O429" s="30">
        <f>ROUND(Table1[[#This Row],[Content.Column6]] * 1000, 0)</f>
        <v>5267893</v>
      </c>
      <c r="P429" s="27"/>
      <c r="Q429" s="27"/>
      <c r="R429"/>
      <c r="S429"/>
    </row>
    <row r="430" spans="1:19" x14ac:dyDescent="0.3">
      <c r="A430">
        <v>2017</v>
      </c>
      <c r="B430" t="s">
        <v>111</v>
      </c>
      <c r="C430" t="s">
        <v>110</v>
      </c>
      <c r="D430" s="34">
        <f>ROUND(Table1[[#This Row],[Content.Column7]] * 1000, 0)</f>
        <v>356041</v>
      </c>
      <c r="E430" s="34">
        <f>ROUND(Table1[[#This Row],[Content.Column8]] * 1000, 0)</f>
        <v>239439</v>
      </c>
      <c r="F430" s="34">
        <f>ROUND(Table1[[#This Row],[Content.Column9]] * 1000, 0)</f>
        <v>595480</v>
      </c>
      <c r="G430" s="34">
        <f>ROUND(Table1[[#This Row],[Content.Column10]] * 1000, 0)</f>
        <v>597223</v>
      </c>
      <c r="H430" s="32">
        <f>ROUND(Table1[[#This Row],[Content.Column11]] * 1000, 0)</f>
        <v>2362704</v>
      </c>
      <c r="I430" s="32">
        <f>ROUND(Table1[[#This Row],[Content.Column12]] * 1000, 0)</f>
        <v>1144813</v>
      </c>
      <c r="J430" s="32">
        <f>ROUND(Table1[[#This Row],[Content.Column13]] * 1000, 0)</f>
        <v>3507516</v>
      </c>
      <c r="K430" s="32">
        <f>ROUND(Table1[[#This Row],[Content.Column14]] * 1000, 0)</f>
        <v>3642358</v>
      </c>
      <c r="L430" s="30">
        <f>ROUND(Table1[[#This Row],[Content.Column3]] * 1000, 0)</f>
        <v>2718745</v>
      </c>
      <c r="M430" s="30">
        <f>ROUND(Table1[[#This Row],[Content.Column4]] * 1000, 0)</f>
        <v>1384252</v>
      </c>
      <c r="N430" s="30">
        <f>ROUND(Table1[[#This Row],[Content.Column5]] * 1000, 0)</f>
        <v>4102996</v>
      </c>
      <c r="O430" s="30">
        <f>ROUND(Table1[[#This Row],[Content.Column6]] * 1000, 0)</f>
        <v>4239582</v>
      </c>
      <c r="P430" s="27"/>
      <c r="Q430" s="27"/>
      <c r="R430"/>
      <c r="S430"/>
    </row>
    <row r="431" spans="1:19" x14ac:dyDescent="0.3">
      <c r="A431">
        <v>2017</v>
      </c>
      <c r="B431" t="s">
        <v>113</v>
      </c>
      <c r="C431" t="s">
        <v>112</v>
      </c>
      <c r="D431" s="34">
        <f>ROUND(Table1[[#This Row],[Content.Column7]] * 1000, 0)</f>
        <v>233275</v>
      </c>
      <c r="E431" s="34">
        <f>ROUND(Table1[[#This Row],[Content.Column8]] * 1000, 0)</f>
        <v>170225</v>
      </c>
      <c r="F431" s="34">
        <f>ROUND(Table1[[#This Row],[Content.Column9]] * 1000, 0)</f>
        <v>403500</v>
      </c>
      <c r="G431" s="34">
        <f>ROUND(Table1[[#This Row],[Content.Column10]] * 1000, 0)</f>
        <v>404146</v>
      </c>
      <c r="H431" s="32">
        <f>ROUND(Table1[[#This Row],[Content.Column11]] * 1000, 0)</f>
        <v>1330922</v>
      </c>
      <c r="I431" s="32">
        <f>ROUND(Table1[[#This Row],[Content.Column12]] * 1000, 0)</f>
        <v>693927</v>
      </c>
      <c r="J431" s="32">
        <f>ROUND(Table1[[#This Row],[Content.Column13]] * 1000, 0)</f>
        <v>2024848</v>
      </c>
      <c r="K431" s="32">
        <f>ROUND(Table1[[#This Row],[Content.Column14]] * 1000, 0)</f>
        <v>2156595</v>
      </c>
      <c r="L431" s="30">
        <f>ROUND(Table1[[#This Row],[Content.Column3]] * 1000, 0)</f>
        <v>1564197</v>
      </c>
      <c r="M431" s="30">
        <f>ROUND(Table1[[#This Row],[Content.Column4]] * 1000, 0)</f>
        <v>864152</v>
      </c>
      <c r="N431" s="30">
        <f>ROUND(Table1[[#This Row],[Content.Column5]] * 1000, 0)</f>
        <v>2428348</v>
      </c>
      <c r="O431" s="30">
        <f>ROUND(Table1[[#This Row],[Content.Column6]] * 1000, 0)</f>
        <v>2560741</v>
      </c>
      <c r="P431" s="27"/>
      <c r="Q431" s="27"/>
      <c r="R431"/>
      <c r="S431"/>
    </row>
    <row r="432" spans="1:19" x14ac:dyDescent="0.3">
      <c r="A432">
        <v>2017</v>
      </c>
      <c r="B432" t="s">
        <v>115</v>
      </c>
      <c r="C432" t="s">
        <v>114</v>
      </c>
      <c r="D432" s="34">
        <f>ROUND(Table1[[#This Row],[Content.Column7]] * 1000, 0)</f>
        <v>184080</v>
      </c>
      <c r="E432" s="34">
        <f>ROUND(Table1[[#This Row],[Content.Column8]] * 1000, 0)</f>
        <v>112019</v>
      </c>
      <c r="F432" s="34">
        <f>ROUND(Table1[[#This Row],[Content.Column9]] * 1000, 0)</f>
        <v>296099</v>
      </c>
      <c r="G432" s="34">
        <f>ROUND(Table1[[#This Row],[Content.Column10]] * 1000, 0)</f>
        <v>296416</v>
      </c>
      <c r="H432" s="32">
        <f>ROUND(Table1[[#This Row],[Content.Column11]] * 1000, 0)</f>
        <v>620838</v>
      </c>
      <c r="I432" s="32">
        <f>ROUND(Table1[[#This Row],[Content.Column12]] * 1000, 0)</f>
        <v>324299</v>
      </c>
      <c r="J432" s="32">
        <f>ROUND(Table1[[#This Row],[Content.Column13]] * 1000, 0)</f>
        <v>945137</v>
      </c>
      <c r="K432" s="32">
        <f>ROUND(Table1[[#This Row],[Content.Column14]] * 1000, 0)</f>
        <v>1025647</v>
      </c>
      <c r="L432" s="30">
        <f>ROUND(Table1[[#This Row],[Content.Column3]] * 1000, 0)</f>
        <v>804918</v>
      </c>
      <c r="M432" s="30">
        <f>ROUND(Table1[[#This Row],[Content.Column4]] * 1000, 0)</f>
        <v>436318</v>
      </c>
      <c r="N432" s="30">
        <f>ROUND(Table1[[#This Row],[Content.Column5]] * 1000, 0)</f>
        <v>1241236</v>
      </c>
      <c r="O432" s="30">
        <f>ROUND(Table1[[#This Row],[Content.Column6]] * 1000, 0)</f>
        <v>1322063</v>
      </c>
      <c r="P432" s="27"/>
      <c r="Q432" s="27"/>
      <c r="R432"/>
      <c r="S432"/>
    </row>
    <row r="433" spans="1:19" x14ac:dyDescent="0.3">
      <c r="A433">
        <v>2017</v>
      </c>
      <c r="B433" t="s">
        <v>117</v>
      </c>
      <c r="C433" t="s">
        <v>116</v>
      </c>
      <c r="D433" s="34">
        <f>ROUND(Table1[[#This Row],[Content.Column7]] * 1000, 0)</f>
        <v>359929</v>
      </c>
      <c r="E433" s="34">
        <f>ROUND(Table1[[#This Row],[Content.Column8]] * 1000, 0)</f>
        <v>223764</v>
      </c>
      <c r="F433" s="34">
        <f>ROUND(Table1[[#This Row],[Content.Column9]] * 1000, 0)</f>
        <v>583693</v>
      </c>
      <c r="G433" s="34">
        <f>ROUND(Table1[[#This Row],[Content.Column10]] * 1000, 0)</f>
        <v>583942</v>
      </c>
      <c r="H433" s="32">
        <f>ROUND(Table1[[#This Row],[Content.Column11]] * 1000, 0)</f>
        <v>1277637</v>
      </c>
      <c r="I433" s="32">
        <f>ROUND(Table1[[#This Row],[Content.Column12]] * 1000, 0)</f>
        <v>626836</v>
      </c>
      <c r="J433" s="32">
        <f>ROUND(Table1[[#This Row],[Content.Column13]] * 1000, 0)</f>
        <v>1904472</v>
      </c>
      <c r="K433" s="32">
        <f>ROUND(Table1[[#This Row],[Content.Column14]] * 1000, 0)</f>
        <v>2005423</v>
      </c>
      <c r="L433" s="30">
        <f>ROUND(Table1[[#This Row],[Content.Column3]] * 1000, 0)</f>
        <v>1637566</v>
      </c>
      <c r="M433" s="30">
        <f>ROUND(Table1[[#This Row],[Content.Column4]] * 1000, 0)</f>
        <v>850600</v>
      </c>
      <c r="N433" s="30">
        <f>ROUND(Table1[[#This Row],[Content.Column5]] * 1000, 0)</f>
        <v>2488165</v>
      </c>
      <c r="O433" s="30">
        <f>ROUND(Table1[[#This Row],[Content.Column6]] * 1000, 0)</f>
        <v>2589365</v>
      </c>
      <c r="P433" s="27"/>
      <c r="Q433" s="27"/>
      <c r="R433"/>
      <c r="S433"/>
    </row>
    <row r="434" spans="1:19" x14ac:dyDescent="0.3">
      <c r="A434">
        <v>2017</v>
      </c>
      <c r="B434" t="s">
        <v>119</v>
      </c>
      <c r="C434" t="s">
        <v>118</v>
      </c>
      <c r="D434" s="34">
        <f>ROUND(Table1[[#This Row],[Content.Column7]] * 1000, 0)</f>
        <v>2612605</v>
      </c>
      <c r="E434" s="34">
        <f>ROUND(Table1[[#This Row],[Content.Column8]] * 1000, 0)</f>
        <v>1603521</v>
      </c>
      <c r="F434" s="34">
        <f>ROUND(Table1[[#This Row],[Content.Column9]] * 1000, 0)</f>
        <v>4216127</v>
      </c>
      <c r="G434" s="34">
        <f>ROUND(Table1[[#This Row],[Content.Column10]] * 1000, 0)</f>
        <v>4225883</v>
      </c>
      <c r="H434" s="32">
        <f>ROUND(Table1[[#This Row],[Content.Column11]] * 1000, 0)</f>
        <v>14899738</v>
      </c>
      <c r="I434" s="32">
        <f>ROUND(Table1[[#This Row],[Content.Column12]] * 1000, 0)</f>
        <v>6704627</v>
      </c>
      <c r="J434" s="32">
        <f>ROUND(Table1[[#This Row],[Content.Column13]] * 1000, 0)</f>
        <v>21604363</v>
      </c>
      <c r="K434" s="32">
        <f>ROUND(Table1[[#This Row],[Content.Column14]] * 1000, 0)</f>
        <v>22455877</v>
      </c>
      <c r="L434" s="30">
        <f>ROUND(Table1[[#This Row],[Content.Column3]] * 1000, 0)</f>
        <v>17512344</v>
      </c>
      <c r="M434" s="30">
        <f>ROUND(Table1[[#This Row],[Content.Column4]] * 1000, 0)</f>
        <v>8308149</v>
      </c>
      <c r="N434" s="30">
        <f>ROUND(Table1[[#This Row],[Content.Column5]] * 1000, 0)</f>
        <v>25820490</v>
      </c>
      <c r="O434" s="30">
        <f>ROUND(Table1[[#This Row],[Content.Column6]] * 1000, 0)</f>
        <v>26681761</v>
      </c>
      <c r="P434" s="27"/>
      <c r="Q434" s="27"/>
      <c r="R434"/>
      <c r="S434"/>
    </row>
    <row r="435" spans="1:19" x14ac:dyDescent="0.3">
      <c r="A435">
        <v>2017</v>
      </c>
      <c r="B435" t="s">
        <v>121</v>
      </c>
      <c r="C435" t="s">
        <v>120</v>
      </c>
      <c r="D435" s="34">
        <f>ROUND(Table1[[#This Row],[Content.Column7]] * 1000, 0)</f>
        <v>3156614</v>
      </c>
      <c r="E435" s="34">
        <f>ROUND(Table1[[#This Row],[Content.Column8]] * 1000, 0)</f>
        <v>1939304</v>
      </c>
      <c r="F435" s="34">
        <f>ROUND(Table1[[#This Row],[Content.Column9]] * 1000, 0)</f>
        <v>5095918</v>
      </c>
      <c r="G435" s="34">
        <f>ROUND(Table1[[#This Row],[Content.Column10]] * 1000, 0)</f>
        <v>5106241</v>
      </c>
      <c r="H435" s="32">
        <f>ROUND(Table1[[#This Row],[Content.Column11]] * 1000, 0)</f>
        <v>16798213</v>
      </c>
      <c r="I435" s="32">
        <f>ROUND(Table1[[#This Row],[Content.Column12]] * 1000, 0)</f>
        <v>7655762</v>
      </c>
      <c r="J435" s="32">
        <f>ROUND(Table1[[#This Row],[Content.Column13]] * 1000, 0)</f>
        <v>24453972</v>
      </c>
      <c r="K435" s="32">
        <f>ROUND(Table1[[#This Row],[Content.Column14]] * 1000, 0)</f>
        <v>25486948</v>
      </c>
      <c r="L435" s="30">
        <f>ROUND(Table1[[#This Row],[Content.Column3]] * 1000, 0)</f>
        <v>19954827</v>
      </c>
      <c r="M435" s="30">
        <f>ROUND(Table1[[#This Row],[Content.Column4]] * 1000, 0)</f>
        <v>9595066</v>
      </c>
      <c r="N435" s="30">
        <f>ROUND(Table1[[#This Row],[Content.Column5]] * 1000, 0)</f>
        <v>29549891</v>
      </c>
      <c r="O435" s="30">
        <f>ROUND(Table1[[#This Row],[Content.Column6]] * 1000, 0)</f>
        <v>30593189</v>
      </c>
      <c r="P435" s="27"/>
      <c r="Q435" s="27"/>
      <c r="R435"/>
      <c r="S435"/>
    </row>
    <row r="436" spans="1:19" x14ac:dyDescent="0.3">
      <c r="A436">
        <v>2018</v>
      </c>
      <c r="B436" t="s">
        <v>27</v>
      </c>
      <c r="C436" t="s">
        <v>26</v>
      </c>
      <c r="D436" s="34">
        <f>ROUND(Table1[[#This Row],[Content.Column7]] * 1000, 0)</f>
        <v>14558</v>
      </c>
      <c r="E436" s="34">
        <f>ROUND(Table1[[#This Row],[Content.Column8]] * 1000, 0)</f>
        <v>2527</v>
      </c>
      <c r="F436" s="34">
        <f>ROUND(Table1[[#This Row],[Content.Column9]] * 1000, 0)</f>
        <v>17085</v>
      </c>
      <c r="G436" s="34">
        <f>ROUND(Table1[[#This Row],[Content.Column10]] * 1000, 0)</f>
        <v>17124</v>
      </c>
      <c r="H436" s="32">
        <f>ROUND(Table1[[#This Row],[Content.Column11]] * 1000, 0)</f>
        <v>423716</v>
      </c>
      <c r="I436" s="32">
        <f>ROUND(Table1[[#This Row],[Content.Column12]] * 1000, 0)</f>
        <v>65988</v>
      </c>
      <c r="J436" s="32">
        <f>ROUND(Table1[[#This Row],[Content.Column13]] * 1000, 0)</f>
        <v>489704</v>
      </c>
      <c r="K436" s="32">
        <f>ROUND(Table1[[#This Row],[Content.Column14]] * 1000, 0)</f>
        <v>505267</v>
      </c>
      <c r="L436" s="30">
        <f>ROUND(Table1[[#This Row],[Content.Column3]] * 1000, 0)</f>
        <v>438274</v>
      </c>
      <c r="M436" s="30">
        <f>ROUND(Table1[[#This Row],[Content.Column4]] * 1000, 0)</f>
        <v>68515</v>
      </c>
      <c r="N436" s="30">
        <f>ROUND(Table1[[#This Row],[Content.Column5]] * 1000, 0)</f>
        <v>506789</v>
      </c>
      <c r="O436" s="30">
        <f>ROUND(Table1[[#This Row],[Content.Column6]] * 1000, 0)</f>
        <v>522391</v>
      </c>
      <c r="P436" s="27"/>
      <c r="Q436" s="27"/>
      <c r="R436"/>
      <c r="S436"/>
    </row>
    <row r="437" spans="1:19" x14ac:dyDescent="0.3">
      <c r="A437">
        <v>2018</v>
      </c>
      <c r="B437" t="s">
        <v>29</v>
      </c>
      <c r="C437" t="s">
        <v>28</v>
      </c>
      <c r="D437" s="34">
        <f>ROUND(Table1[[#This Row],[Content.Column7]] * 1000, 0)</f>
        <v>5538</v>
      </c>
      <c r="E437" s="34">
        <f>ROUND(Table1[[#This Row],[Content.Column8]] * 1000, 0)</f>
        <v>3055</v>
      </c>
      <c r="F437" s="34">
        <f>ROUND(Table1[[#This Row],[Content.Column9]] * 1000, 0)</f>
        <v>8594</v>
      </c>
      <c r="G437" s="34">
        <f>ROUND(Table1[[#This Row],[Content.Column10]] * 1000, 0)</f>
        <v>8595</v>
      </c>
      <c r="H437" s="32">
        <f>ROUND(Table1[[#This Row],[Content.Column11]] * 1000, 0)</f>
        <v>31252</v>
      </c>
      <c r="I437" s="32">
        <f>ROUND(Table1[[#This Row],[Content.Column12]] * 1000, 0)</f>
        <v>14063</v>
      </c>
      <c r="J437" s="32">
        <f>ROUND(Table1[[#This Row],[Content.Column13]] * 1000, 0)</f>
        <v>45316</v>
      </c>
      <c r="K437" s="32">
        <f>ROUND(Table1[[#This Row],[Content.Column14]] * 1000, 0)</f>
        <v>46229</v>
      </c>
      <c r="L437" s="30">
        <f>ROUND(Table1[[#This Row],[Content.Column3]] * 1000, 0)</f>
        <v>36791</v>
      </c>
      <c r="M437" s="30">
        <f>ROUND(Table1[[#This Row],[Content.Column4]] * 1000, 0)</f>
        <v>17118</v>
      </c>
      <c r="N437" s="30">
        <f>ROUND(Table1[[#This Row],[Content.Column5]] * 1000, 0)</f>
        <v>53909</v>
      </c>
      <c r="O437" s="30">
        <f>ROUND(Table1[[#This Row],[Content.Column6]] * 1000, 0)</f>
        <v>54824</v>
      </c>
      <c r="P437" s="27"/>
      <c r="Q437" s="27"/>
      <c r="R437"/>
      <c r="S437"/>
    </row>
    <row r="438" spans="1:19" x14ac:dyDescent="0.3">
      <c r="A438">
        <v>2018</v>
      </c>
      <c r="B438" t="s">
        <v>31</v>
      </c>
      <c r="C438" t="s">
        <v>30</v>
      </c>
      <c r="D438" s="34">
        <f>ROUND(Table1[[#This Row],[Content.Column7]] * 1000, 0)</f>
        <v>13672</v>
      </c>
      <c r="E438" s="34">
        <f>ROUND(Table1[[#This Row],[Content.Column8]] * 1000, 0)</f>
        <v>6309</v>
      </c>
      <c r="F438" s="34">
        <f>ROUND(Table1[[#This Row],[Content.Column9]] * 1000, 0)</f>
        <v>19981</v>
      </c>
      <c r="G438" s="34">
        <f>ROUND(Table1[[#This Row],[Content.Column10]] * 1000, 0)</f>
        <v>20172</v>
      </c>
      <c r="H438" s="32">
        <f>ROUND(Table1[[#This Row],[Content.Column11]] * 1000, 0)</f>
        <v>72463</v>
      </c>
      <c r="I438" s="32">
        <f>ROUND(Table1[[#This Row],[Content.Column12]] * 1000, 0)</f>
        <v>38149</v>
      </c>
      <c r="J438" s="32">
        <f>ROUND(Table1[[#This Row],[Content.Column13]] * 1000, 0)</f>
        <v>110613</v>
      </c>
      <c r="K438" s="32">
        <f>ROUND(Table1[[#This Row],[Content.Column14]] * 1000, 0)</f>
        <v>114333</v>
      </c>
      <c r="L438" s="30">
        <f>ROUND(Table1[[#This Row],[Content.Column3]] * 1000, 0)</f>
        <v>86136</v>
      </c>
      <c r="M438" s="30">
        <f>ROUND(Table1[[#This Row],[Content.Column4]] * 1000, 0)</f>
        <v>44458</v>
      </c>
      <c r="N438" s="30">
        <f>ROUND(Table1[[#This Row],[Content.Column5]] * 1000, 0)</f>
        <v>130594</v>
      </c>
      <c r="O438" s="30">
        <f>ROUND(Table1[[#This Row],[Content.Column6]] * 1000, 0)</f>
        <v>134505</v>
      </c>
      <c r="P438" s="27"/>
      <c r="Q438" s="27"/>
      <c r="R438"/>
      <c r="S438"/>
    </row>
    <row r="439" spans="1:19" x14ac:dyDescent="0.3">
      <c r="A439">
        <v>2018</v>
      </c>
      <c r="B439" t="s">
        <v>33</v>
      </c>
      <c r="C439" t="s">
        <v>32</v>
      </c>
      <c r="D439" s="34">
        <f>ROUND(Table1[[#This Row],[Content.Column7]] * 1000, 0)</f>
        <v>6868</v>
      </c>
      <c r="E439" s="34">
        <f>ROUND(Table1[[#This Row],[Content.Column8]] * 1000, 0)</f>
        <v>4169</v>
      </c>
      <c r="F439" s="34">
        <f>ROUND(Table1[[#This Row],[Content.Column9]] * 1000, 0)</f>
        <v>11037</v>
      </c>
      <c r="G439" s="34">
        <f>ROUND(Table1[[#This Row],[Content.Column10]] * 1000, 0)</f>
        <v>11083</v>
      </c>
      <c r="H439" s="32">
        <f>ROUND(Table1[[#This Row],[Content.Column11]] * 1000, 0)</f>
        <v>40606</v>
      </c>
      <c r="I439" s="32">
        <f>ROUND(Table1[[#This Row],[Content.Column12]] * 1000, 0)</f>
        <v>22774</v>
      </c>
      <c r="J439" s="32">
        <f>ROUND(Table1[[#This Row],[Content.Column13]] * 1000, 0)</f>
        <v>63380</v>
      </c>
      <c r="K439" s="32">
        <f>ROUND(Table1[[#This Row],[Content.Column14]] * 1000, 0)</f>
        <v>64868</v>
      </c>
      <c r="L439" s="30">
        <f>ROUND(Table1[[#This Row],[Content.Column3]] * 1000, 0)</f>
        <v>47474</v>
      </c>
      <c r="M439" s="30">
        <f>ROUND(Table1[[#This Row],[Content.Column4]] * 1000, 0)</f>
        <v>26944</v>
      </c>
      <c r="N439" s="30">
        <f>ROUND(Table1[[#This Row],[Content.Column5]] * 1000, 0)</f>
        <v>74418</v>
      </c>
      <c r="O439" s="30">
        <f>ROUND(Table1[[#This Row],[Content.Column6]] * 1000, 0)</f>
        <v>75952</v>
      </c>
      <c r="P439" s="27"/>
      <c r="Q439" s="27"/>
      <c r="R439"/>
      <c r="S439"/>
    </row>
    <row r="440" spans="1:19" x14ac:dyDescent="0.3">
      <c r="A440">
        <v>2018</v>
      </c>
      <c r="B440" t="s">
        <v>35</v>
      </c>
      <c r="C440" t="s">
        <v>34</v>
      </c>
      <c r="D440" s="34">
        <f>ROUND(Table1[[#This Row],[Content.Column7]] * 1000, 0)</f>
        <v>18760</v>
      </c>
      <c r="E440" s="34">
        <f>ROUND(Table1[[#This Row],[Content.Column8]] * 1000, 0)</f>
        <v>5430</v>
      </c>
      <c r="F440" s="34">
        <f>ROUND(Table1[[#This Row],[Content.Column9]] * 1000, 0)</f>
        <v>24190</v>
      </c>
      <c r="G440" s="34">
        <f>ROUND(Table1[[#This Row],[Content.Column10]] * 1000, 0)</f>
        <v>24213</v>
      </c>
      <c r="H440" s="32">
        <f>ROUND(Table1[[#This Row],[Content.Column11]] * 1000, 0)</f>
        <v>69974</v>
      </c>
      <c r="I440" s="32">
        <f>ROUND(Table1[[#This Row],[Content.Column12]] * 1000, 0)</f>
        <v>29444</v>
      </c>
      <c r="J440" s="32">
        <f>ROUND(Table1[[#This Row],[Content.Column13]] * 1000, 0)</f>
        <v>99418</v>
      </c>
      <c r="K440" s="32">
        <f>ROUND(Table1[[#This Row],[Content.Column14]] * 1000, 0)</f>
        <v>102094</v>
      </c>
      <c r="L440" s="30">
        <f>ROUND(Table1[[#This Row],[Content.Column3]] * 1000, 0)</f>
        <v>88733</v>
      </c>
      <c r="M440" s="30">
        <f>ROUND(Table1[[#This Row],[Content.Column4]] * 1000, 0)</f>
        <v>34875</v>
      </c>
      <c r="N440" s="30">
        <f>ROUND(Table1[[#This Row],[Content.Column5]] * 1000, 0)</f>
        <v>123608</v>
      </c>
      <c r="O440" s="30">
        <f>ROUND(Table1[[#This Row],[Content.Column6]] * 1000, 0)</f>
        <v>126308</v>
      </c>
      <c r="P440" s="27"/>
      <c r="Q440" s="27"/>
      <c r="R440"/>
      <c r="S440"/>
    </row>
    <row r="441" spans="1:19" x14ac:dyDescent="0.3">
      <c r="A441">
        <v>2018</v>
      </c>
      <c r="B441" t="s">
        <v>37</v>
      </c>
      <c r="C441" t="s">
        <v>36</v>
      </c>
      <c r="D441" s="34">
        <f>ROUND(Table1[[#This Row],[Content.Column7]] * 1000, 0)</f>
        <v>8993</v>
      </c>
      <c r="E441" s="34">
        <f>ROUND(Table1[[#This Row],[Content.Column8]] * 1000, 0)</f>
        <v>5911</v>
      </c>
      <c r="F441" s="34">
        <f>ROUND(Table1[[#This Row],[Content.Column9]] * 1000, 0)</f>
        <v>14904</v>
      </c>
      <c r="G441" s="34">
        <f>ROUND(Table1[[#This Row],[Content.Column10]] * 1000, 0)</f>
        <v>14962</v>
      </c>
      <c r="H441" s="32">
        <f>ROUND(Table1[[#This Row],[Content.Column11]] * 1000, 0)</f>
        <v>58654</v>
      </c>
      <c r="I441" s="32">
        <f>ROUND(Table1[[#This Row],[Content.Column12]] * 1000, 0)</f>
        <v>33354</v>
      </c>
      <c r="J441" s="32">
        <f>ROUND(Table1[[#This Row],[Content.Column13]] * 1000, 0)</f>
        <v>92008</v>
      </c>
      <c r="K441" s="32">
        <f>ROUND(Table1[[#This Row],[Content.Column14]] * 1000, 0)</f>
        <v>94698</v>
      </c>
      <c r="L441" s="30">
        <f>ROUND(Table1[[#This Row],[Content.Column3]] * 1000, 0)</f>
        <v>67647</v>
      </c>
      <c r="M441" s="30">
        <f>ROUND(Table1[[#This Row],[Content.Column4]] * 1000, 0)</f>
        <v>39265</v>
      </c>
      <c r="N441" s="30">
        <f>ROUND(Table1[[#This Row],[Content.Column5]] * 1000, 0)</f>
        <v>106912</v>
      </c>
      <c r="O441" s="30">
        <f>ROUND(Table1[[#This Row],[Content.Column6]] * 1000, 0)</f>
        <v>109660</v>
      </c>
      <c r="P441" s="27"/>
      <c r="Q441" s="27"/>
      <c r="R441"/>
      <c r="S441"/>
    </row>
    <row r="442" spans="1:19" x14ac:dyDescent="0.3">
      <c r="A442">
        <v>2018</v>
      </c>
      <c r="B442" t="s">
        <v>39</v>
      </c>
      <c r="C442" t="s">
        <v>38</v>
      </c>
      <c r="D442" s="34">
        <f>ROUND(Table1[[#This Row],[Content.Column7]] * 1000, 0)</f>
        <v>34428</v>
      </c>
      <c r="E442" s="34">
        <f>ROUND(Table1[[#This Row],[Content.Column8]] * 1000, 0)</f>
        <v>11548</v>
      </c>
      <c r="F442" s="34">
        <f>ROUND(Table1[[#This Row],[Content.Column9]] * 1000, 0)</f>
        <v>45976</v>
      </c>
      <c r="G442" s="34">
        <f>ROUND(Table1[[#This Row],[Content.Column10]] * 1000, 0)</f>
        <v>45992</v>
      </c>
      <c r="H442" s="32">
        <f>ROUND(Table1[[#This Row],[Content.Column11]] * 1000, 0)</f>
        <v>244550</v>
      </c>
      <c r="I442" s="32">
        <f>ROUND(Table1[[#This Row],[Content.Column12]] * 1000, 0)</f>
        <v>72786</v>
      </c>
      <c r="J442" s="32">
        <f>ROUND(Table1[[#This Row],[Content.Column13]] * 1000, 0)</f>
        <v>317336</v>
      </c>
      <c r="K442" s="32">
        <f>ROUND(Table1[[#This Row],[Content.Column14]] * 1000, 0)</f>
        <v>328798</v>
      </c>
      <c r="L442" s="30">
        <f>ROUND(Table1[[#This Row],[Content.Column3]] * 1000, 0)</f>
        <v>278979</v>
      </c>
      <c r="M442" s="30">
        <f>ROUND(Table1[[#This Row],[Content.Column4]] * 1000, 0)</f>
        <v>84334</v>
      </c>
      <c r="N442" s="30">
        <f>ROUND(Table1[[#This Row],[Content.Column5]] * 1000, 0)</f>
        <v>363313</v>
      </c>
      <c r="O442" s="30">
        <f>ROUND(Table1[[#This Row],[Content.Column6]] * 1000, 0)</f>
        <v>374790</v>
      </c>
      <c r="P442" s="27"/>
      <c r="Q442" s="27"/>
      <c r="R442"/>
      <c r="S442"/>
    </row>
    <row r="443" spans="1:19" x14ac:dyDescent="0.3">
      <c r="A443">
        <v>2018</v>
      </c>
      <c r="B443" t="s">
        <v>41</v>
      </c>
      <c r="C443" t="s">
        <v>40</v>
      </c>
      <c r="D443" s="34">
        <f>ROUND(Table1[[#This Row],[Content.Column7]] * 1000, 0)</f>
        <v>18202</v>
      </c>
      <c r="E443" s="34">
        <f>ROUND(Table1[[#This Row],[Content.Column8]] * 1000, 0)</f>
        <v>7783</v>
      </c>
      <c r="F443" s="34">
        <f>ROUND(Table1[[#This Row],[Content.Column9]] * 1000, 0)</f>
        <v>25985</v>
      </c>
      <c r="G443" s="34">
        <f>ROUND(Table1[[#This Row],[Content.Column10]] * 1000, 0)</f>
        <v>26035</v>
      </c>
      <c r="H443" s="32">
        <f>ROUND(Table1[[#This Row],[Content.Column11]] * 1000, 0)</f>
        <v>63988</v>
      </c>
      <c r="I443" s="32">
        <f>ROUND(Table1[[#This Row],[Content.Column12]] * 1000, 0)</f>
        <v>32164</v>
      </c>
      <c r="J443" s="32">
        <f>ROUND(Table1[[#This Row],[Content.Column13]] * 1000, 0)</f>
        <v>96152</v>
      </c>
      <c r="K443" s="32">
        <f>ROUND(Table1[[#This Row],[Content.Column14]] * 1000, 0)</f>
        <v>98776</v>
      </c>
      <c r="L443" s="30">
        <f>ROUND(Table1[[#This Row],[Content.Column3]] * 1000, 0)</f>
        <v>82190</v>
      </c>
      <c r="M443" s="30">
        <f>ROUND(Table1[[#This Row],[Content.Column4]] * 1000, 0)</f>
        <v>39947</v>
      </c>
      <c r="N443" s="30">
        <f>ROUND(Table1[[#This Row],[Content.Column5]] * 1000, 0)</f>
        <v>122137</v>
      </c>
      <c r="O443" s="30">
        <f>ROUND(Table1[[#This Row],[Content.Column6]] * 1000, 0)</f>
        <v>124811</v>
      </c>
      <c r="P443" s="27"/>
      <c r="Q443" s="27"/>
      <c r="R443"/>
      <c r="S443"/>
    </row>
    <row r="444" spans="1:19" x14ac:dyDescent="0.3">
      <c r="A444">
        <v>2018</v>
      </c>
      <c r="B444" t="s">
        <v>43</v>
      </c>
      <c r="C444" t="s">
        <v>42</v>
      </c>
      <c r="D444" s="34">
        <f>ROUND(Table1[[#This Row],[Content.Column7]] * 1000, 0)</f>
        <v>10940</v>
      </c>
      <c r="E444" s="34">
        <f>ROUND(Table1[[#This Row],[Content.Column8]] * 1000, 0)</f>
        <v>5514</v>
      </c>
      <c r="F444" s="34">
        <f>ROUND(Table1[[#This Row],[Content.Column9]] * 1000, 0)</f>
        <v>16454</v>
      </c>
      <c r="G444" s="34">
        <f>ROUND(Table1[[#This Row],[Content.Column10]] * 1000, 0)</f>
        <v>16473</v>
      </c>
      <c r="H444" s="32">
        <f>ROUND(Table1[[#This Row],[Content.Column11]] * 1000, 0)</f>
        <v>79372</v>
      </c>
      <c r="I444" s="32">
        <f>ROUND(Table1[[#This Row],[Content.Column12]] * 1000, 0)</f>
        <v>31344</v>
      </c>
      <c r="J444" s="32">
        <f>ROUND(Table1[[#This Row],[Content.Column13]] * 1000, 0)</f>
        <v>110716</v>
      </c>
      <c r="K444" s="32">
        <f>ROUND(Table1[[#This Row],[Content.Column14]] * 1000, 0)</f>
        <v>112994</v>
      </c>
      <c r="L444" s="30">
        <f>ROUND(Table1[[#This Row],[Content.Column3]] * 1000, 0)</f>
        <v>90312</v>
      </c>
      <c r="M444" s="30">
        <f>ROUND(Table1[[#This Row],[Content.Column4]] * 1000, 0)</f>
        <v>36858</v>
      </c>
      <c r="N444" s="30">
        <f>ROUND(Table1[[#This Row],[Content.Column5]] * 1000, 0)</f>
        <v>127170</v>
      </c>
      <c r="O444" s="30">
        <f>ROUND(Table1[[#This Row],[Content.Column6]] * 1000, 0)</f>
        <v>129467</v>
      </c>
      <c r="P444" s="27"/>
      <c r="Q444" s="27"/>
      <c r="R444"/>
      <c r="S444"/>
    </row>
    <row r="445" spans="1:19" x14ac:dyDescent="0.3">
      <c r="A445">
        <v>2018</v>
      </c>
      <c r="B445" t="s">
        <v>45</v>
      </c>
      <c r="C445" t="s">
        <v>44</v>
      </c>
      <c r="D445" s="34">
        <f>ROUND(Table1[[#This Row],[Content.Column7]] * 1000, 0)</f>
        <v>11876</v>
      </c>
      <c r="E445" s="34">
        <f>ROUND(Table1[[#This Row],[Content.Column8]] * 1000, 0)</f>
        <v>8179</v>
      </c>
      <c r="F445" s="34">
        <f>ROUND(Table1[[#This Row],[Content.Column9]] * 1000, 0)</f>
        <v>20055</v>
      </c>
      <c r="G445" s="34">
        <f>ROUND(Table1[[#This Row],[Content.Column10]] * 1000, 0)</f>
        <v>20086</v>
      </c>
      <c r="H445" s="32">
        <f>ROUND(Table1[[#This Row],[Content.Column11]] * 1000, 0)</f>
        <v>54407</v>
      </c>
      <c r="I445" s="32">
        <f>ROUND(Table1[[#This Row],[Content.Column12]] * 1000, 0)</f>
        <v>29030</v>
      </c>
      <c r="J445" s="32">
        <f>ROUND(Table1[[#This Row],[Content.Column13]] * 1000, 0)</f>
        <v>83437</v>
      </c>
      <c r="K445" s="32">
        <f>ROUND(Table1[[#This Row],[Content.Column14]] * 1000, 0)</f>
        <v>85617</v>
      </c>
      <c r="L445" s="30">
        <f>ROUND(Table1[[#This Row],[Content.Column3]] * 1000, 0)</f>
        <v>66283</v>
      </c>
      <c r="M445" s="30">
        <f>ROUND(Table1[[#This Row],[Content.Column4]] * 1000, 0)</f>
        <v>37209</v>
      </c>
      <c r="N445" s="30">
        <f>ROUND(Table1[[#This Row],[Content.Column5]] * 1000, 0)</f>
        <v>103493</v>
      </c>
      <c r="O445" s="30">
        <f>ROUND(Table1[[#This Row],[Content.Column6]] * 1000, 0)</f>
        <v>105703</v>
      </c>
      <c r="P445" s="27"/>
      <c r="Q445" s="27"/>
      <c r="R445"/>
      <c r="S445"/>
    </row>
    <row r="446" spans="1:19" x14ac:dyDescent="0.3">
      <c r="A446">
        <v>2018</v>
      </c>
      <c r="B446" t="s">
        <v>47</v>
      </c>
      <c r="C446" t="s">
        <v>46</v>
      </c>
      <c r="D446" s="34">
        <f>ROUND(Table1[[#This Row],[Content.Column7]] * 1000, 0)</f>
        <v>13016</v>
      </c>
      <c r="E446" s="34">
        <f>ROUND(Table1[[#This Row],[Content.Column8]] * 1000, 0)</f>
        <v>8659</v>
      </c>
      <c r="F446" s="34">
        <f>ROUND(Table1[[#This Row],[Content.Column9]] * 1000, 0)</f>
        <v>21675</v>
      </c>
      <c r="G446" s="34">
        <f>ROUND(Table1[[#This Row],[Content.Column10]] * 1000, 0)</f>
        <v>21683</v>
      </c>
      <c r="H446" s="32">
        <f>ROUND(Table1[[#This Row],[Content.Column11]] * 1000, 0)</f>
        <v>39574</v>
      </c>
      <c r="I446" s="32">
        <f>ROUND(Table1[[#This Row],[Content.Column12]] * 1000, 0)</f>
        <v>23163</v>
      </c>
      <c r="J446" s="32">
        <f>ROUND(Table1[[#This Row],[Content.Column13]] * 1000, 0)</f>
        <v>62736</v>
      </c>
      <c r="K446" s="32">
        <f>ROUND(Table1[[#This Row],[Content.Column14]] * 1000, 0)</f>
        <v>64722</v>
      </c>
      <c r="L446" s="30">
        <f>ROUND(Table1[[#This Row],[Content.Column3]] * 1000, 0)</f>
        <v>52590</v>
      </c>
      <c r="M446" s="30">
        <f>ROUND(Table1[[#This Row],[Content.Column4]] * 1000, 0)</f>
        <v>31821</v>
      </c>
      <c r="N446" s="30">
        <f>ROUND(Table1[[#This Row],[Content.Column5]] * 1000, 0)</f>
        <v>84411</v>
      </c>
      <c r="O446" s="30">
        <f>ROUND(Table1[[#This Row],[Content.Column6]] * 1000, 0)</f>
        <v>86405</v>
      </c>
      <c r="P446" s="27"/>
      <c r="Q446" s="27"/>
      <c r="R446"/>
      <c r="S446"/>
    </row>
    <row r="447" spans="1:19" x14ac:dyDescent="0.3">
      <c r="A447">
        <v>2018</v>
      </c>
      <c r="B447" t="s">
        <v>49</v>
      </c>
      <c r="C447" t="s">
        <v>48</v>
      </c>
      <c r="D447" s="34">
        <f>ROUND(Table1[[#This Row],[Content.Column7]] * 1000, 0)</f>
        <v>13813</v>
      </c>
      <c r="E447" s="34">
        <f>ROUND(Table1[[#This Row],[Content.Column8]] * 1000, 0)</f>
        <v>4222</v>
      </c>
      <c r="F447" s="34">
        <f>ROUND(Table1[[#This Row],[Content.Column9]] * 1000, 0)</f>
        <v>18035</v>
      </c>
      <c r="G447" s="34">
        <f>ROUND(Table1[[#This Row],[Content.Column10]] * 1000, 0)</f>
        <v>18061</v>
      </c>
      <c r="H447" s="32">
        <f>ROUND(Table1[[#This Row],[Content.Column11]] * 1000, 0)</f>
        <v>78293</v>
      </c>
      <c r="I447" s="32">
        <f>ROUND(Table1[[#This Row],[Content.Column12]] * 1000, 0)</f>
        <v>29473</v>
      </c>
      <c r="J447" s="32">
        <f>ROUND(Table1[[#This Row],[Content.Column13]] * 1000, 0)</f>
        <v>107766</v>
      </c>
      <c r="K447" s="32">
        <f>ROUND(Table1[[#This Row],[Content.Column14]] * 1000, 0)</f>
        <v>110887</v>
      </c>
      <c r="L447" s="30">
        <f>ROUND(Table1[[#This Row],[Content.Column3]] * 1000, 0)</f>
        <v>92106</v>
      </c>
      <c r="M447" s="30">
        <f>ROUND(Table1[[#This Row],[Content.Column4]] * 1000, 0)</f>
        <v>33695</v>
      </c>
      <c r="N447" s="30">
        <f>ROUND(Table1[[#This Row],[Content.Column5]] * 1000, 0)</f>
        <v>125801</v>
      </c>
      <c r="O447" s="30">
        <f>ROUND(Table1[[#This Row],[Content.Column6]] * 1000, 0)</f>
        <v>128948</v>
      </c>
      <c r="P447" s="27"/>
      <c r="Q447" s="27"/>
      <c r="R447"/>
      <c r="S447"/>
    </row>
    <row r="448" spans="1:19" x14ac:dyDescent="0.3">
      <c r="A448">
        <v>2018</v>
      </c>
      <c r="B448" t="s">
        <v>51</v>
      </c>
      <c r="C448" t="s">
        <v>50</v>
      </c>
      <c r="D448" s="34">
        <f>ROUND(Table1[[#This Row],[Content.Column7]] * 1000, 0)</f>
        <v>18127</v>
      </c>
      <c r="E448" s="34">
        <f>ROUND(Table1[[#This Row],[Content.Column8]] * 1000, 0)</f>
        <v>3177</v>
      </c>
      <c r="F448" s="34">
        <f>ROUND(Table1[[#This Row],[Content.Column9]] * 1000, 0)</f>
        <v>21304</v>
      </c>
      <c r="G448" s="34">
        <f>ROUND(Table1[[#This Row],[Content.Column10]] * 1000, 0)</f>
        <v>21380</v>
      </c>
      <c r="H448" s="32">
        <f>ROUND(Table1[[#This Row],[Content.Column11]] * 1000, 0)</f>
        <v>80568</v>
      </c>
      <c r="I448" s="32">
        <f>ROUND(Table1[[#This Row],[Content.Column12]] * 1000, 0)</f>
        <v>35539</v>
      </c>
      <c r="J448" s="32">
        <f>ROUND(Table1[[#This Row],[Content.Column13]] * 1000, 0)</f>
        <v>116107</v>
      </c>
      <c r="K448" s="32">
        <f>ROUND(Table1[[#This Row],[Content.Column14]] * 1000, 0)</f>
        <v>117964</v>
      </c>
      <c r="L448" s="30">
        <f>ROUND(Table1[[#This Row],[Content.Column3]] * 1000, 0)</f>
        <v>98695</v>
      </c>
      <c r="M448" s="30">
        <f>ROUND(Table1[[#This Row],[Content.Column4]] * 1000, 0)</f>
        <v>38716</v>
      </c>
      <c r="N448" s="30">
        <f>ROUND(Table1[[#This Row],[Content.Column5]] * 1000, 0)</f>
        <v>137411</v>
      </c>
      <c r="O448" s="30">
        <f>ROUND(Table1[[#This Row],[Content.Column6]] * 1000, 0)</f>
        <v>139345</v>
      </c>
      <c r="P448" s="27"/>
      <c r="Q448" s="27"/>
      <c r="R448"/>
      <c r="S448"/>
    </row>
    <row r="449" spans="1:19" x14ac:dyDescent="0.3">
      <c r="A449">
        <v>2018</v>
      </c>
      <c r="B449" t="s">
        <v>53</v>
      </c>
      <c r="C449" t="s">
        <v>52</v>
      </c>
      <c r="D449" s="34">
        <f>ROUND(Table1[[#This Row],[Content.Column7]] * 1000, 0)</f>
        <v>8153</v>
      </c>
      <c r="E449" s="34">
        <f>ROUND(Table1[[#This Row],[Content.Column8]] * 1000, 0)</f>
        <v>2757</v>
      </c>
      <c r="F449" s="34">
        <f>ROUND(Table1[[#This Row],[Content.Column9]] * 1000, 0)</f>
        <v>10911</v>
      </c>
      <c r="G449" s="34">
        <f>ROUND(Table1[[#This Row],[Content.Column10]] * 1000, 0)</f>
        <v>10922</v>
      </c>
      <c r="H449" s="32">
        <f>ROUND(Table1[[#This Row],[Content.Column11]] * 1000, 0)</f>
        <v>35919</v>
      </c>
      <c r="I449" s="32">
        <f>ROUND(Table1[[#This Row],[Content.Column12]] * 1000, 0)</f>
        <v>19375</v>
      </c>
      <c r="J449" s="32">
        <f>ROUND(Table1[[#This Row],[Content.Column13]] * 1000, 0)</f>
        <v>55294</v>
      </c>
      <c r="K449" s="32">
        <f>ROUND(Table1[[#This Row],[Content.Column14]] * 1000, 0)</f>
        <v>57212</v>
      </c>
      <c r="L449" s="30">
        <f>ROUND(Table1[[#This Row],[Content.Column3]] * 1000, 0)</f>
        <v>44073</v>
      </c>
      <c r="M449" s="30">
        <f>ROUND(Table1[[#This Row],[Content.Column4]] * 1000, 0)</f>
        <v>22132</v>
      </c>
      <c r="N449" s="30">
        <f>ROUND(Table1[[#This Row],[Content.Column5]] * 1000, 0)</f>
        <v>66205</v>
      </c>
      <c r="O449" s="30">
        <f>ROUND(Table1[[#This Row],[Content.Column6]] * 1000, 0)</f>
        <v>68135</v>
      </c>
      <c r="P449" s="27"/>
      <c r="Q449" s="27"/>
      <c r="R449"/>
      <c r="S449"/>
    </row>
    <row r="450" spans="1:19" x14ac:dyDescent="0.3">
      <c r="A450">
        <v>2018</v>
      </c>
      <c r="B450" t="s">
        <v>55</v>
      </c>
      <c r="C450" t="s">
        <v>54</v>
      </c>
      <c r="D450" s="34">
        <f>ROUND(Table1[[#This Row],[Content.Column7]] * 1000, 0)</f>
        <v>6336</v>
      </c>
      <c r="E450" s="34">
        <f>ROUND(Table1[[#This Row],[Content.Column8]] * 1000, 0)</f>
        <v>4205</v>
      </c>
      <c r="F450" s="34">
        <f>ROUND(Table1[[#This Row],[Content.Column9]] * 1000, 0)</f>
        <v>10541</v>
      </c>
      <c r="G450" s="34">
        <f>ROUND(Table1[[#This Row],[Content.Column10]] * 1000, 0)</f>
        <v>10548</v>
      </c>
      <c r="H450" s="32">
        <f>ROUND(Table1[[#This Row],[Content.Column11]] * 1000, 0)</f>
        <v>38911</v>
      </c>
      <c r="I450" s="32">
        <f>ROUND(Table1[[#This Row],[Content.Column12]] * 1000, 0)</f>
        <v>21072</v>
      </c>
      <c r="J450" s="32">
        <f>ROUND(Table1[[#This Row],[Content.Column13]] * 1000, 0)</f>
        <v>59984</v>
      </c>
      <c r="K450" s="32">
        <f>ROUND(Table1[[#This Row],[Content.Column14]] * 1000, 0)</f>
        <v>61918</v>
      </c>
      <c r="L450" s="30">
        <f>ROUND(Table1[[#This Row],[Content.Column3]] * 1000, 0)</f>
        <v>45248</v>
      </c>
      <c r="M450" s="30">
        <f>ROUND(Table1[[#This Row],[Content.Column4]] * 1000, 0)</f>
        <v>25277</v>
      </c>
      <c r="N450" s="30">
        <f>ROUND(Table1[[#This Row],[Content.Column5]] * 1000, 0)</f>
        <v>70525</v>
      </c>
      <c r="O450" s="30">
        <f>ROUND(Table1[[#This Row],[Content.Column6]] * 1000, 0)</f>
        <v>72466</v>
      </c>
      <c r="P450" s="27"/>
      <c r="Q450" s="27"/>
      <c r="R450"/>
      <c r="S450"/>
    </row>
    <row r="451" spans="1:19" x14ac:dyDescent="0.3">
      <c r="A451">
        <v>2018</v>
      </c>
      <c r="B451" t="s">
        <v>57</v>
      </c>
      <c r="C451" t="s">
        <v>56</v>
      </c>
      <c r="D451" s="34">
        <f>ROUND(Table1[[#This Row],[Content.Column7]] * 1000, 0)</f>
        <v>9959</v>
      </c>
      <c r="E451" s="34">
        <f>ROUND(Table1[[#This Row],[Content.Column8]] * 1000, 0)</f>
        <v>5170</v>
      </c>
      <c r="F451" s="34">
        <f>ROUND(Table1[[#This Row],[Content.Column9]] * 1000, 0)</f>
        <v>15128</v>
      </c>
      <c r="G451" s="34">
        <f>ROUND(Table1[[#This Row],[Content.Column10]] * 1000, 0)</f>
        <v>15146</v>
      </c>
      <c r="H451" s="32">
        <f>ROUND(Table1[[#This Row],[Content.Column11]] * 1000, 0)</f>
        <v>48088</v>
      </c>
      <c r="I451" s="32">
        <f>ROUND(Table1[[#This Row],[Content.Column12]] * 1000, 0)</f>
        <v>24371</v>
      </c>
      <c r="J451" s="32">
        <f>ROUND(Table1[[#This Row],[Content.Column13]] * 1000, 0)</f>
        <v>72459</v>
      </c>
      <c r="K451" s="32">
        <f>ROUND(Table1[[#This Row],[Content.Column14]] * 1000, 0)</f>
        <v>74234</v>
      </c>
      <c r="L451" s="30">
        <f>ROUND(Table1[[#This Row],[Content.Column3]] * 1000, 0)</f>
        <v>58047</v>
      </c>
      <c r="M451" s="30">
        <f>ROUND(Table1[[#This Row],[Content.Column4]] * 1000, 0)</f>
        <v>29540</v>
      </c>
      <c r="N451" s="30">
        <f>ROUND(Table1[[#This Row],[Content.Column5]] * 1000, 0)</f>
        <v>87587</v>
      </c>
      <c r="O451" s="30">
        <f>ROUND(Table1[[#This Row],[Content.Column6]] * 1000, 0)</f>
        <v>89379</v>
      </c>
      <c r="P451" s="27"/>
      <c r="Q451" s="27"/>
      <c r="R451"/>
      <c r="S451"/>
    </row>
    <row r="452" spans="1:19" x14ac:dyDescent="0.3">
      <c r="A452">
        <v>2018</v>
      </c>
      <c r="B452" t="s">
        <v>59</v>
      </c>
      <c r="C452" t="s">
        <v>58</v>
      </c>
      <c r="D452" s="34">
        <f>ROUND(Table1[[#This Row],[Content.Column7]] * 1000, 0)</f>
        <v>13996</v>
      </c>
      <c r="E452" s="34">
        <f>ROUND(Table1[[#This Row],[Content.Column8]] * 1000, 0)</f>
        <v>10122</v>
      </c>
      <c r="F452" s="34">
        <f>ROUND(Table1[[#This Row],[Content.Column9]] * 1000, 0)</f>
        <v>24117</v>
      </c>
      <c r="G452" s="34">
        <f>ROUND(Table1[[#This Row],[Content.Column10]] * 1000, 0)</f>
        <v>24185</v>
      </c>
      <c r="H452" s="32">
        <f>ROUND(Table1[[#This Row],[Content.Column11]] * 1000, 0)</f>
        <v>119938</v>
      </c>
      <c r="I452" s="32">
        <f>ROUND(Table1[[#This Row],[Content.Column12]] * 1000, 0)</f>
        <v>40392</v>
      </c>
      <c r="J452" s="32">
        <f>ROUND(Table1[[#This Row],[Content.Column13]] * 1000, 0)</f>
        <v>160329</v>
      </c>
      <c r="K452" s="32">
        <f>ROUND(Table1[[#This Row],[Content.Column14]] * 1000, 0)</f>
        <v>162644</v>
      </c>
      <c r="L452" s="30">
        <f>ROUND(Table1[[#This Row],[Content.Column3]] * 1000, 0)</f>
        <v>133933</v>
      </c>
      <c r="M452" s="30">
        <f>ROUND(Table1[[#This Row],[Content.Column4]] * 1000, 0)</f>
        <v>50513</v>
      </c>
      <c r="N452" s="30">
        <f>ROUND(Table1[[#This Row],[Content.Column5]] * 1000, 0)</f>
        <v>184447</v>
      </c>
      <c r="O452" s="30">
        <f>ROUND(Table1[[#This Row],[Content.Column6]] * 1000, 0)</f>
        <v>186829</v>
      </c>
      <c r="P452" s="27"/>
      <c r="Q452" s="27"/>
      <c r="R452"/>
      <c r="S452"/>
    </row>
    <row r="453" spans="1:19" x14ac:dyDescent="0.3">
      <c r="A453">
        <v>2018</v>
      </c>
      <c r="B453" t="s">
        <v>61</v>
      </c>
      <c r="C453" t="s">
        <v>60</v>
      </c>
      <c r="D453" s="34">
        <f>ROUND(Table1[[#This Row],[Content.Column7]] * 1000, 0)</f>
        <v>12308</v>
      </c>
      <c r="E453" s="34">
        <f>ROUND(Table1[[#This Row],[Content.Column8]] * 1000, 0)</f>
        <v>4309</v>
      </c>
      <c r="F453" s="34">
        <f>ROUND(Table1[[#This Row],[Content.Column9]] * 1000, 0)</f>
        <v>16617</v>
      </c>
      <c r="G453" s="34">
        <f>ROUND(Table1[[#This Row],[Content.Column10]] * 1000, 0)</f>
        <v>16631</v>
      </c>
      <c r="H453" s="32">
        <f>ROUND(Table1[[#This Row],[Content.Column11]] * 1000, 0)</f>
        <v>102050</v>
      </c>
      <c r="I453" s="32">
        <f>ROUND(Table1[[#This Row],[Content.Column12]] * 1000, 0)</f>
        <v>38785</v>
      </c>
      <c r="J453" s="32">
        <f>ROUND(Table1[[#This Row],[Content.Column13]] * 1000, 0)</f>
        <v>140836</v>
      </c>
      <c r="K453" s="32">
        <f>ROUND(Table1[[#This Row],[Content.Column14]] * 1000, 0)</f>
        <v>142653</v>
      </c>
      <c r="L453" s="30">
        <f>ROUND(Table1[[#This Row],[Content.Column3]] * 1000, 0)</f>
        <v>114358</v>
      </c>
      <c r="M453" s="30">
        <f>ROUND(Table1[[#This Row],[Content.Column4]] * 1000, 0)</f>
        <v>43095</v>
      </c>
      <c r="N453" s="30">
        <f>ROUND(Table1[[#This Row],[Content.Column5]] * 1000, 0)</f>
        <v>157453</v>
      </c>
      <c r="O453" s="30">
        <f>ROUND(Table1[[#This Row],[Content.Column6]] * 1000, 0)</f>
        <v>159284</v>
      </c>
      <c r="P453" s="27"/>
      <c r="Q453" s="27"/>
      <c r="R453"/>
      <c r="S453"/>
    </row>
    <row r="454" spans="1:19" x14ac:dyDescent="0.3">
      <c r="A454">
        <v>2018</v>
      </c>
      <c r="B454" t="s">
        <v>63</v>
      </c>
      <c r="C454" t="s">
        <v>62</v>
      </c>
      <c r="D454" s="34">
        <f>ROUND(Table1[[#This Row],[Content.Column7]] * 1000, 0)</f>
        <v>15358</v>
      </c>
      <c r="E454" s="34">
        <f>ROUND(Table1[[#This Row],[Content.Column8]] * 1000, 0)</f>
        <v>4091</v>
      </c>
      <c r="F454" s="34">
        <f>ROUND(Table1[[#This Row],[Content.Column9]] * 1000, 0)</f>
        <v>19449</v>
      </c>
      <c r="G454" s="34">
        <f>ROUND(Table1[[#This Row],[Content.Column10]] * 1000, 0)</f>
        <v>19474</v>
      </c>
      <c r="H454" s="32">
        <f>ROUND(Table1[[#This Row],[Content.Column11]] * 1000, 0)</f>
        <v>167158</v>
      </c>
      <c r="I454" s="32">
        <f>ROUND(Table1[[#This Row],[Content.Column12]] * 1000, 0)</f>
        <v>44411</v>
      </c>
      <c r="J454" s="32">
        <f>ROUND(Table1[[#This Row],[Content.Column13]] * 1000, 0)</f>
        <v>211569</v>
      </c>
      <c r="K454" s="32">
        <f>ROUND(Table1[[#This Row],[Content.Column14]] * 1000, 0)</f>
        <v>216799</v>
      </c>
      <c r="L454" s="30">
        <f>ROUND(Table1[[#This Row],[Content.Column3]] * 1000, 0)</f>
        <v>182517</v>
      </c>
      <c r="M454" s="30">
        <f>ROUND(Table1[[#This Row],[Content.Column4]] * 1000, 0)</f>
        <v>48501</v>
      </c>
      <c r="N454" s="30">
        <f>ROUND(Table1[[#This Row],[Content.Column5]] * 1000, 0)</f>
        <v>231018</v>
      </c>
      <c r="O454" s="30">
        <f>ROUND(Table1[[#This Row],[Content.Column6]] * 1000, 0)</f>
        <v>236273</v>
      </c>
      <c r="P454" s="27"/>
      <c r="Q454" s="27"/>
      <c r="R454"/>
      <c r="S454"/>
    </row>
    <row r="455" spans="1:19" x14ac:dyDescent="0.3">
      <c r="A455">
        <v>2018</v>
      </c>
      <c r="B455" t="s">
        <v>65</v>
      </c>
      <c r="C455" t="s">
        <v>64</v>
      </c>
      <c r="D455" s="34">
        <f>ROUND(Table1[[#This Row],[Content.Column7]] * 1000, 0)</f>
        <v>15473</v>
      </c>
      <c r="E455" s="34">
        <f>ROUND(Table1[[#This Row],[Content.Column8]] * 1000, 0)</f>
        <v>4604</v>
      </c>
      <c r="F455" s="34">
        <f>ROUND(Table1[[#This Row],[Content.Column9]] * 1000, 0)</f>
        <v>20077</v>
      </c>
      <c r="G455" s="34">
        <f>ROUND(Table1[[#This Row],[Content.Column10]] * 1000, 0)</f>
        <v>20484</v>
      </c>
      <c r="H455" s="32">
        <f>ROUND(Table1[[#This Row],[Content.Column11]] * 1000, 0)</f>
        <v>84325</v>
      </c>
      <c r="I455" s="32">
        <f>ROUND(Table1[[#This Row],[Content.Column12]] * 1000, 0)</f>
        <v>33524</v>
      </c>
      <c r="J455" s="32">
        <f>ROUND(Table1[[#This Row],[Content.Column13]] * 1000, 0)</f>
        <v>117849</v>
      </c>
      <c r="K455" s="32">
        <f>ROUND(Table1[[#This Row],[Content.Column14]] * 1000, 0)</f>
        <v>121190</v>
      </c>
      <c r="L455" s="30">
        <f>ROUND(Table1[[#This Row],[Content.Column3]] * 1000, 0)</f>
        <v>99798</v>
      </c>
      <c r="M455" s="30">
        <f>ROUND(Table1[[#This Row],[Content.Column4]] * 1000, 0)</f>
        <v>38128</v>
      </c>
      <c r="N455" s="30">
        <f>ROUND(Table1[[#This Row],[Content.Column5]] * 1000, 0)</f>
        <v>137926</v>
      </c>
      <c r="O455" s="30">
        <f>ROUND(Table1[[#This Row],[Content.Column6]] * 1000, 0)</f>
        <v>141674</v>
      </c>
      <c r="P455" s="27"/>
      <c r="Q455" s="27"/>
      <c r="R455"/>
      <c r="S455"/>
    </row>
    <row r="456" spans="1:19" x14ac:dyDescent="0.3">
      <c r="A456">
        <v>2018</v>
      </c>
      <c r="B456" t="s">
        <v>67</v>
      </c>
      <c r="C456" t="s">
        <v>66</v>
      </c>
      <c r="D456" s="34">
        <f>ROUND(Table1[[#This Row],[Content.Column7]] * 1000, 0)</f>
        <v>7011</v>
      </c>
      <c r="E456" s="34">
        <f>ROUND(Table1[[#This Row],[Content.Column8]] * 1000, 0)</f>
        <v>3885</v>
      </c>
      <c r="F456" s="34">
        <f>ROUND(Table1[[#This Row],[Content.Column9]] * 1000, 0)</f>
        <v>10896</v>
      </c>
      <c r="G456" s="34">
        <f>ROUND(Table1[[#This Row],[Content.Column10]] * 1000, 0)</f>
        <v>10908</v>
      </c>
      <c r="H456" s="32">
        <f>ROUND(Table1[[#This Row],[Content.Column11]] * 1000, 0)</f>
        <v>43346</v>
      </c>
      <c r="I456" s="32">
        <f>ROUND(Table1[[#This Row],[Content.Column12]] * 1000, 0)</f>
        <v>26658</v>
      </c>
      <c r="J456" s="32">
        <f>ROUND(Table1[[#This Row],[Content.Column13]] * 1000, 0)</f>
        <v>70004</v>
      </c>
      <c r="K456" s="32">
        <f>ROUND(Table1[[#This Row],[Content.Column14]] * 1000, 0)</f>
        <v>71304</v>
      </c>
      <c r="L456" s="30">
        <f>ROUND(Table1[[#This Row],[Content.Column3]] * 1000, 0)</f>
        <v>50358</v>
      </c>
      <c r="M456" s="30">
        <f>ROUND(Table1[[#This Row],[Content.Column4]] * 1000, 0)</f>
        <v>30543</v>
      </c>
      <c r="N456" s="30">
        <f>ROUND(Table1[[#This Row],[Content.Column5]] * 1000, 0)</f>
        <v>80900</v>
      </c>
      <c r="O456" s="30">
        <f>ROUND(Table1[[#This Row],[Content.Column6]] * 1000, 0)</f>
        <v>82212</v>
      </c>
      <c r="P456" s="27"/>
      <c r="Q456" s="27"/>
      <c r="R456"/>
      <c r="S456"/>
    </row>
    <row r="457" spans="1:19" x14ac:dyDescent="0.3">
      <c r="A457">
        <v>2018</v>
      </c>
      <c r="B457" t="s">
        <v>69</v>
      </c>
      <c r="C457" t="s">
        <v>68</v>
      </c>
      <c r="D457" s="34">
        <f>ROUND(Table1[[#This Row],[Content.Column7]] * 1000, 0)</f>
        <v>29205</v>
      </c>
      <c r="E457" s="34">
        <f>ROUND(Table1[[#This Row],[Content.Column8]] * 1000, 0)</f>
        <v>8046</v>
      </c>
      <c r="F457" s="34">
        <f>ROUND(Table1[[#This Row],[Content.Column9]] * 1000, 0)</f>
        <v>37251</v>
      </c>
      <c r="G457" s="34">
        <f>ROUND(Table1[[#This Row],[Content.Column10]] * 1000, 0)</f>
        <v>37293</v>
      </c>
      <c r="H457" s="32">
        <f>ROUND(Table1[[#This Row],[Content.Column11]] * 1000, 0)</f>
        <v>80922</v>
      </c>
      <c r="I457" s="32">
        <f>ROUND(Table1[[#This Row],[Content.Column12]] * 1000, 0)</f>
        <v>37660</v>
      </c>
      <c r="J457" s="32">
        <f>ROUND(Table1[[#This Row],[Content.Column13]] * 1000, 0)</f>
        <v>118582</v>
      </c>
      <c r="K457" s="32">
        <f>ROUND(Table1[[#This Row],[Content.Column14]] * 1000, 0)</f>
        <v>120700</v>
      </c>
      <c r="L457" s="30">
        <f>ROUND(Table1[[#This Row],[Content.Column3]] * 1000, 0)</f>
        <v>110127</v>
      </c>
      <c r="M457" s="30">
        <f>ROUND(Table1[[#This Row],[Content.Column4]] * 1000, 0)</f>
        <v>45706</v>
      </c>
      <c r="N457" s="30">
        <f>ROUND(Table1[[#This Row],[Content.Column5]] * 1000, 0)</f>
        <v>155833</v>
      </c>
      <c r="O457" s="30">
        <f>ROUND(Table1[[#This Row],[Content.Column6]] * 1000, 0)</f>
        <v>157993</v>
      </c>
      <c r="P457" s="27"/>
      <c r="Q457" s="27"/>
      <c r="R457"/>
      <c r="S457"/>
    </row>
    <row r="458" spans="1:19" x14ac:dyDescent="0.3">
      <c r="A458">
        <v>2018</v>
      </c>
      <c r="B458" t="s">
        <v>71</v>
      </c>
      <c r="C458" t="s">
        <v>70</v>
      </c>
      <c r="D458" s="34">
        <f>ROUND(Table1[[#This Row],[Content.Column7]] * 1000, 0)</f>
        <v>9805</v>
      </c>
      <c r="E458" s="34">
        <f>ROUND(Table1[[#This Row],[Content.Column8]] * 1000, 0)</f>
        <v>5828</v>
      </c>
      <c r="F458" s="34">
        <f>ROUND(Table1[[#This Row],[Content.Column9]] * 1000, 0)</f>
        <v>15633</v>
      </c>
      <c r="G458" s="34">
        <f>ROUND(Table1[[#This Row],[Content.Column10]] * 1000, 0)</f>
        <v>15637</v>
      </c>
      <c r="H458" s="32">
        <f>ROUND(Table1[[#This Row],[Content.Column11]] * 1000, 0)</f>
        <v>30759</v>
      </c>
      <c r="I458" s="32">
        <f>ROUND(Table1[[#This Row],[Content.Column12]] * 1000, 0)</f>
        <v>19589</v>
      </c>
      <c r="J458" s="32">
        <f>ROUND(Table1[[#This Row],[Content.Column13]] * 1000, 0)</f>
        <v>50348</v>
      </c>
      <c r="K458" s="32">
        <f>ROUND(Table1[[#This Row],[Content.Column14]] * 1000, 0)</f>
        <v>51792</v>
      </c>
      <c r="L458" s="30">
        <f>ROUND(Table1[[#This Row],[Content.Column3]] * 1000, 0)</f>
        <v>40564</v>
      </c>
      <c r="M458" s="30">
        <f>ROUND(Table1[[#This Row],[Content.Column4]] * 1000, 0)</f>
        <v>25417</v>
      </c>
      <c r="N458" s="30">
        <f>ROUND(Table1[[#This Row],[Content.Column5]] * 1000, 0)</f>
        <v>65981</v>
      </c>
      <c r="O458" s="30">
        <f>ROUND(Table1[[#This Row],[Content.Column6]] * 1000, 0)</f>
        <v>67429</v>
      </c>
      <c r="P458" s="27"/>
      <c r="Q458" s="27"/>
      <c r="R458"/>
      <c r="S458"/>
    </row>
    <row r="459" spans="1:19" x14ac:dyDescent="0.3">
      <c r="A459">
        <v>2018</v>
      </c>
      <c r="B459" t="s">
        <v>73</v>
      </c>
      <c r="C459" t="s">
        <v>72</v>
      </c>
      <c r="D459" s="34">
        <f>ROUND(Table1[[#This Row],[Content.Column7]] * 1000, 0)</f>
        <v>5617</v>
      </c>
      <c r="E459" s="34">
        <f>ROUND(Table1[[#This Row],[Content.Column8]] * 1000, 0)</f>
        <v>2608</v>
      </c>
      <c r="F459" s="34">
        <f>ROUND(Table1[[#This Row],[Content.Column9]] * 1000, 0)</f>
        <v>8225</v>
      </c>
      <c r="G459" s="34">
        <f>ROUND(Table1[[#This Row],[Content.Column10]] * 1000, 0)</f>
        <v>8237</v>
      </c>
      <c r="H459" s="32">
        <f>ROUND(Table1[[#This Row],[Content.Column11]] * 1000, 0)</f>
        <v>49076</v>
      </c>
      <c r="I459" s="32">
        <f>ROUND(Table1[[#This Row],[Content.Column12]] * 1000, 0)</f>
        <v>24776</v>
      </c>
      <c r="J459" s="32">
        <f>ROUND(Table1[[#This Row],[Content.Column13]] * 1000, 0)</f>
        <v>73852</v>
      </c>
      <c r="K459" s="32">
        <f>ROUND(Table1[[#This Row],[Content.Column14]] * 1000, 0)</f>
        <v>75213</v>
      </c>
      <c r="L459" s="30">
        <f>ROUND(Table1[[#This Row],[Content.Column3]] * 1000, 0)</f>
        <v>54693</v>
      </c>
      <c r="M459" s="30">
        <f>ROUND(Table1[[#This Row],[Content.Column4]] * 1000, 0)</f>
        <v>27383</v>
      </c>
      <c r="N459" s="30">
        <f>ROUND(Table1[[#This Row],[Content.Column5]] * 1000, 0)</f>
        <v>82077</v>
      </c>
      <c r="O459" s="30">
        <f>ROUND(Table1[[#This Row],[Content.Column6]] * 1000, 0)</f>
        <v>83450</v>
      </c>
      <c r="P459" s="27"/>
      <c r="Q459" s="27"/>
      <c r="R459"/>
      <c r="S459"/>
    </row>
    <row r="460" spans="1:19" x14ac:dyDescent="0.3">
      <c r="A460">
        <v>2018</v>
      </c>
      <c r="B460" t="s">
        <v>75</v>
      </c>
      <c r="C460" t="s">
        <v>74</v>
      </c>
      <c r="D460" s="34">
        <f>ROUND(Table1[[#This Row],[Content.Column7]] * 1000, 0)</f>
        <v>18221</v>
      </c>
      <c r="E460" s="34">
        <f>ROUND(Table1[[#This Row],[Content.Column8]] * 1000, 0)</f>
        <v>4494</v>
      </c>
      <c r="F460" s="34">
        <f>ROUND(Table1[[#This Row],[Content.Column9]] * 1000, 0)</f>
        <v>22715</v>
      </c>
      <c r="G460" s="34">
        <f>ROUND(Table1[[#This Row],[Content.Column10]] * 1000, 0)</f>
        <v>22855</v>
      </c>
      <c r="H460" s="32">
        <f>ROUND(Table1[[#This Row],[Content.Column11]] * 1000, 0)</f>
        <v>57812</v>
      </c>
      <c r="I460" s="32">
        <f>ROUND(Table1[[#This Row],[Content.Column12]] * 1000, 0)</f>
        <v>30896</v>
      </c>
      <c r="J460" s="32">
        <f>ROUND(Table1[[#This Row],[Content.Column13]] * 1000, 0)</f>
        <v>88708</v>
      </c>
      <c r="K460" s="32">
        <f>ROUND(Table1[[#This Row],[Content.Column14]] * 1000, 0)</f>
        <v>90446</v>
      </c>
      <c r="L460" s="30">
        <f>ROUND(Table1[[#This Row],[Content.Column3]] * 1000, 0)</f>
        <v>76033</v>
      </c>
      <c r="M460" s="30">
        <f>ROUND(Table1[[#This Row],[Content.Column4]] * 1000, 0)</f>
        <v>35390</v>
      </c>
      <c r="N460" s="30">
        <f>ROUND(Table1[[#This Row],[Content.Column5]] * 1000, 0)</f>
        <v>111423</v>
      </c>
      <c r="O460" s="30">
        <f>ROUND(Table1[[#This Row],[Content.Column6]] * 1000, 0)</f>
        <v>113302</v>
      </c>
      <c r="P460" s="27"/>
      <c r="Q460" s="27"/>
      <c r="R460"/>
      <c r="S460"/>
    </row>
    <row r="461" spans="1:19" x14ac:dyDescent="0.3">
      <c r="A461">
        <v>2018</v>
      </c>
      <c r="B461" t="s">
        <v>77</v>
      </c>
      <c r="C461" t="s">
        <v>76</v>
      </c>
      <c r="D461" s="34">
        <f>ROUND(Table1[[#This Row],[Content.Column7]] * 1000, 0)</f>
        <v>11740</v>
      </c>
      <c r="E461" s="34">
        <f>ROUND(Table1[[#This Row],[Content.Column8]] * 1000, 0)</f>
        <v>4906</v>
      </c>
      <c r="F461" s="34">
        <f>ROUND(Table1[[#This Row],[Content.Column9]] * 1000, 0)</f>
        <v>16646</v>
      </c>
      <c r="G461" s="34">
        <f>ROUND(Table1[[#This Row],[Content.Column10]] * 1000, 0)</f>
        <v>16652</v>
      </c>
      <c r="H461" s="32">
        <f>ROUND(Table1[[#This Row],[Content.Column11]] * 1000, 0)</f>
        <v>39337</v>
      </c>
      <c r="I461" s="32">
        <f>ROUND(Table1[[#This Row],[Content.Column12]] * 1000, 0)</f>
        <v>22073</v>
      </c>
      <c r="J461" s="32">
        <f>ROUND(Table1[[#This Row],[Content.Column13]] * 1000, 0)</f>
        <v>61411</v>
      </c>
      <c r="K461" s="32">
        <f>ROUND(Table1[[#This Row],[Content.Column14]] * 1000, 0)</f>
        <v>63182</v>
      </c>
      <c r="L461" s="30">
        <f>ROUND(Table1[[#This Row],[Content.Column3]] * 1000, 0)</f>
        <v>51077</v>
      </c>
      <c r="M461" s="30">
        <f>ROUND(Table1[[#This Row],[Content.Column4]] * 1000, 0)</f>
        <v>26979</v>
      </c>
      <c r="N461" s="30">
        <f>ROUND(Table1[[#This Row],[Content.Column5]] * 1000, 0)</f>
        <v>78056</v>
      </c>
      <c r="O461" s="30">
        <f>ROUND(Table1[[#This Row],[Content.Column6]] * 1000, 0)</f>
        <v>79833</v>
      </c>
      <c r="P461" s="27"/>
      <c r="Q461" s="27"/>
      <c r="R461"/>
      <c r="S461"/>
    </row>
    <row r="462" spans="1:19" x14ac:dyDescent="0.3">
      <c r="A462">
        <v>2018</v>
      </c>
      <c r="B462" t="s">
        <v>79</v>
      </c>
      <c r="C462" t="s">
        <v>78</v>
      </c>
      <c r="D462" s="34">
        <f>ROUND(Table1[[#This Row],[Content.Column7]] * 1000, 0)</f>
        <v>6372</v>
      </c>
      <c r="E462" s="34">
        <f>ROUND(Table1[[#This Row],[Content.Column8]] * 1000, 0)</f>
        <v>3107</v>
      </c>
      <c r="F462" s="34">
        <f>ROUND(Table1[[#This Row],[Content.Column9]] * 1000, 0)</f>
        <v>9479</v>
      </c>
      <c r="G462" s="34">
        <f>ROUND(Table1[[#This Row],[Content.Column10]] * 1000, 0)</f>
        <v>9509</v>
      </c>
      <c r="H462" s="32">
        <f>ROUND(Table1[[#This Row],[Content.Column11]] * 1000, 0)</f>
        <v>46982</v>
      </c>
      <c r="I462" s="32">
        <f>ROUND(Table1[[#This Row],[Content.Column12]] * 1000, 0)</f>
        <v>22813</v>
      </c>
      <c r="J462" s="32">
        <f>ROUND(Table1[[#This Row],[Content.Column13]] * 1000, 0)</f>
        <v>69795</v>
      </c>
      <c r="K462" s="32">
        <f>ROUND(Table1[[#This Row],[Content.Column14]] * 1000, 0)</f>
        <v>71649</v>
      </c>
      <c r="L462" s="30">
        <f>ROUND(Table1[[#This Row],[Content.Column3]] * 1000, 0)</f>
        <v>53354</v>
      </c>
      <c r="M462" s="30">
        <f>ROUND(Table1[[#This Row],[Content.Column4]] * 1000, 0)</f>
        <v>25920</v>
      </c>
      <c r="N462" s="30">
        <f>ROUND(Table1[[#This Row],[Content.Column5]] * 1000, 0)</f>
        <v>79275</v>
      </c>
      <c r="O462" s="30">
        <f>ROUND(Table1[[#This Row],[Content.Column6]] * 1000, 0)</f>
        <v>81159</v>
      </c>
      <c r="P462" s="27"/>
      <c r="Q462" s="27"/>
      <c r="R462"/>
      <c r="S462"/>
    </row>
    <row r="463" spans="1:19" x14ac:dyDescent="0.3">
      <c r="A463">
        <v>2018</v>
      </c>
      <c r="B463" t="s">
        <v>81</v>
      </c>
      <c r="C463" t="s">
        <v>80</v>
      </c>
      <c r="D463" s="34">
        <f>ROUND(Table1[[#This Row],[Content.Column7]] * 1000, 0)</f>
        <v>34312</v>
      </c>
      <c r="E463" s="34">
        <f>ROUND(Table1[[#This Row],[Content.Column8]] * 1000, 0)</f>
        <v>6876</v>
      </c>
      <c r="F463" s="34">
        <f>ROUND(Table1[[#This Row],[Content.Column9]] * 1000, 0)</f>
        <v>41188</v>
      </c>
      <c r="G463" s="34">
        <f>ROUND(Table1[[#This Row],[Content.Column10]] * 1000, 0)</f>
        <v>41282</v>
      </c>
      <c r="H463" s="32">
        <f>ROUND(Table1[[#This Row],[Content.Column11]] * 1000, 0)</f>
        <v>155797</v>
      </c>
      <c r="I463" s="32">
        <f>ROUND(Table1[[#This Row],[Content.Column12]] * 1000, 0)</f>
        <v>43265</v>
      </c>
      <c r="J463" s="32">
        <f>ROUND(Table1[[#This Row],[Content.Column13]] * 1000, 0)</f>
        <v>199062</v>
      </c>
      <c r="K463" s="32">
        <f>ROUND(Table1[[#This Row],[Content.Column14]] * 1000, 0)</f>
        <v>204408</v>
      </c>
      <c r="L463" s="30">
        <f>ROUND(Table1[[#This Row],[Content.Column3]] * 1000, 0)</f>
        <v>190109</v>
      </c>
      <c r="M463" s="30">
        <f>ROUND(Table1[[#This Row],[Content.Column4]] * 1000, 0)</f>
        <v>50141</v>
      </c>
      <c r="N463" s="30">
        <f>ROUND(Table1[[#This Row],[Content.Column5]] * 1000, 0)</f>
        <v>240251</v>
      </c>
      <c r="O463" s="30">
        <f>ROUND(Table1[[#This Row],[Content.Column6]] * 1000, 0)</f>
        <v>245689</v>
      </c>
      <c r="P463" s="27"/>
      <c r="Q463" s="27"/>
      <c r="R463"/>
      <c r="S463"/>
    </row>
    <row r="464" spans="1:19" x14ac:dyDescent="0.3">
      <c r="A464">
        <v>2018</v>
      </c>
      <c r="B464" t="s">
        <v>83</v>
      </c>
      <c r="C464" t="s">
        <v>82</v>
      </c>
      <c r="D464" s="34">
        <f>ROUND(Table1[[#This Row],[Content.Column7]] * 1000, 0)</f>
        <v>8462</v>
      </c>
      <c r="E464" s="34">
        <f>ROUND(Table1[[#This Row],[Content.Column8]] * 1000, 0)</f>
        <v>5357</v>
      </c>
      <c r="F464" s="34">
        <f>ROUND(Table1[[#This Row],[Content.Column9]] * 1000, 0)</f>
        <v>13819</v>
      </c>
      <c r="G464" s="34">
        <f>ROUND(Table1[[#This Row],[Content.Column10]] * 1000, 0)</f>
        <v>13831</v>
      </c>
      <c r="H464" s="32">
        <f>ROUND(Table1[[#This Row],[Content.Column11]] * 1000, 0)</f>
        <v>35460</v>
      </c>
      <c r="I464" s="32">
        <f>ROUND(Table1[[#This Row],[Content.Column12]] * 1000, 0)</f>
        <v>20058</v>
      </c>
      <c r="J464" s="32">
        <f>ROUND(Table1[[#This Row],[Content.Column13]] * 1000, 0)</f>
        <v>55517</v>
      </c>
      <c r="K464" s="32">
        <f>ROUND(Table1[[#This Row],[Content.Column14]] * 1000, 0)</f>
        <v>56961</v>
      </c>
      <c r="L464" s="30">
        <f>ROUND(Table1[[#This Row],[Content.Column3]] * 1000, 0)</f>
        <v>43921</v>
      </c>
      <c r="M464" s="30">
        <f>ROUND(Table1[[#This Row],[Content.Column4]] * 1000, 0)</f>
        <v>25415</v>
      </c>
      <c r="N464" s="30">
        <f>ROUND(Table1[[#This Row],[Content.Column5]] * 1000, 0)</f>
        <v>69336</v>
      </c>
      <c r="O464" s="30">
        <f>ROUND(Table1[[#This Row],[Content.Column6]] * 1000, 0)</f>
        <v>70792</v>
      </c>
      <c r="P464" s="27"/>
      <c r="Q464" s="27"/>
      <c r="R464"/>
      <c r="S464"/>
    </row>
    <row r="465" spans="1:19" x14ac:dyDescent="0.3">
      <c r="A465">
        <v>2018</v>
      </c>
      <c r="B465" t="s">
        <v>85</v>
      </c>
      <c r="C465" t="s">
        <v>84</v>
      </c>
      <c r="D465" s="34">
        <f>ROUND(Table1[[#This Row],[Content.Column7]] * 1000, 0)</f>
        <v>34359</v>
      </c>
      <c r="E465" s="34">
        <f>ROUND(Table1[[#This Row],[Content.Column8]] * 1000, 0)</f>
        <v>17219</v>
      </c>
      <c r="F465" s="34">
        <f>ROUND(Table1[[#This Row],[Content.Column9]] * 1000, 0)</f>
        <v>51578</v>
      </c>
      <c r="G465" s="34">
        <f>ROUND(Table1[[#This Row],[Content.Column10]] * 1000, 0)</f>
        <v>51865</v>
      </c>
      <c r="H465" s="32">
        <f>ROUND(Table1[[#This Row],[Content.Column11]] * 1000, 0)</f>
        <v>197631</v>
      </c>
      <c r="I465" s="32">
        <f>ROUND(Table1[[#This Row],[Content.Column12]] * 1000, 0)</f>
        <v>49260</v>
      </c>
      <c r="J465" s="32">
        <f>ROUND(Table1[[#This Row],[Content.Column13]] * 1000, 0)</f>
        <v>246891</v>
      </c>
      <c r="K465" s="32">
        <f>ROUND(Table1[[#This Row],[Content.Column14]] * 1000, 0)</f>
        <v>250774</v>
      </c>
      <c r="L465" s="30">
        <f>ROUND(Table1[[#This Row],[Content.Column3]] * 1000, 0)</f>
        <v>231990</v>
      </c>
      <c r="M465" s="30">
        <f>ROUND(Table1[[#This Row],[Content.Column4]] * 1000, 0)</f>
        <v>66479</v>
      </c>
      <c r="N465" s="30">
        <f>ROUND(Table1[[#This Row],[Content.Column5]] * 1000, 0)</f>
        <v>298469</v>
      </c>
      <c r="O465" s="30">
        <f>ROUND(Table1[[#This Row],[Content.Column6]] * 1000, 0)</f>
        <v>302638</v>
      </c>
      <c r="P465" s="27"/>
      <c r="Q465" s="27"/>
      <c r="R465"/>
      <c r="S465"/>
    </row>
    <row r="466" spans="1:19" x14ac:dyDescent="0.3">
      <c r="A466">
        <v>2018</v>
      </c>
      <c r="B466" t="s">
        <v>87</v>
      </c>
      <c r="C466" t="s">
        <v>86</v>
      </c>
      <c r="D466" s="34">
        <f>ROUND(Table1[[#This Row],[Content.Column7]] * 1000, 0)</f>
        <v>12301</v>
      </c>
      <c r="E466" s="34">
        <f>ROUND(Table1[[#This Row],[Content.Column8]] * 1000, 0)</f>
        <v>4254</v>
      </c>
      <c r="F466" s="34">
        <f>ROUND(Table1[[#This Row],[Content.Column9]] * 1000, 0)</f>
        <v>16555</v>
      </c>
      <c r="G466" s="34">
        <f>ROUND(Table1[[#This Row],[Content.Column10]] * 1000, 0)</f>
        <v>16584</v>
      </c>
      <c r="H466" s="32">
        <f>ROUND(Table1[[#This Row],[Content.Column11]] * 1000, 0)</f>
        <v>37358</v>
      </c>
      <c r="I466" s="32">
        <f>ROUND(Table1[[#This Row],[Content.Column12]] * 1000, 0)</f>
        <v>18205</v>
      </c>
      <c r="J466" s="32">
        <f>ROUND(Table1[[#This Row],[Content.Column13]] * 1000, 0)</f>
        <v>55564</v>
      </c>
      <c r="K466" s="32">
        <f>ROUND(Table1[[#This Row],[Content.Column14]] * 1000, 0)</f>
        <v>57241</v>
      </c>
      <c r="L466" s="30">
        <f>ROUND(Table1[[#This Row],[Content.Column3]] * 1000, 0)</f>
        <v>49660</v>
      </c>
      <c r="M466" s="30">
        <f>ROUND(Table1[[#This Row],[Content.Column4]] * 1000, 0)</f>
        <v>22459</v>
      </c>
      <c r="N466" s="30">
        <f>ROUND(Table1[[#This Row],[Content.Column5]] * 1000, 0)</f>
        <v>72119</v>
      </c>
      <c r="O466" s="30">
        <f>ROUND(Table1[[#This Row],[Content.Column6]] * 1000, 0)</f>
        <v>73825</v>
      </c>
      <c r="P466" s="27"/>
      <c r="Q466" s="27"/>
      <c r="R466"/>
      <c r="S466"/>
    </row>
    <row r="467" spans="1:19" x14ac:dyDescent="0.3">
      <c r="A467">
        <v>2018</v>
      </c>
      <c r="B467" t="s">
        <v>89</v>
      </c>
      <c r="C467" t="s">
        <v>88</v>
      </c>
      <c r="D467" s="34">
        <f>ROUND(Table1[[#This Row],[Content.Column7]] * 1000, 0)</f>
        <v>17974</v>
      </c>
      <c r="E467" s="34">
        <f>ROUND(Table1[[#This Row],[Content.Column8]] * 1000, 0)</f>
        <v>7799</v>
      </c>
      <c r="F467" s="34">
        <f>ROUND(Table1[[#This Row],[Content.Column9]] * 1000, 0)</f>
        <v>25772</v>
      </c>
      <c r="G467" s="34">
        <f>ROUND(Table1[[#This Row],[Content.Column10]] * 1000, 0)</f>
        <v>25805</v>
      </c>
      <c r="H467" s="32">
        <f>ROUND(Table1[[#This Row],[Content.Column11]] * 1000, 0)</f>
        <v>62214</v>
      </c>
      <c r="I467" s="32">
        <f>ROUND(Table1[[#This Row],[Content.Column12]] * 1000, 0)</f>
        <v>30693</v>
      </c>
      <c r="J467" s="32">
        <f>ROUND(Table1[[#This Row],[Content.Column13]] * 1000, 0)</f>
        <v>92907</v>
      </c>
      <c r="K467" s="32">
        <f>ROUND(Table1[[#This Row],[Content.Column14]] * 1000, 0)</f>
        <v>95306</v>
      </c>
      <c r="L467" s="30">
        <f>ROUND(Table1[[#This Row],[Content.Column3]] * 1000, 0)</f>
        <v>80188</v>
      </c>
      <c r="M467" s="30">
        <f>ROUND(Table1[[#This Row],[Content.Column4]] * 1000, 0)</f>
        <v>38491</v>
      </c>
      <c r="N467" s="30">
        <f>ROUND(Table1[[#This Row],[Content.Column5]] * 1000, 0)</f>
        <v>118679</v>
      </c>
      <c r="O467" s="30">
        <f>ROUND(Table1[[#This Row],[Content.Column6]] * 1000, 0)</f>
        <v>121111</v>
      </c>
      <c r="P467" s="27"/>
      <c r="Q467" s="27"/>
      <c r="R467"/>
      <c r="S467"/>
    </row>
    <row r="468" spans="1:19" x14ac:dyDescent="0.3">
      <c r="A468">
        <v>2018</v>
      </c>
      <c r="B468" t="s">
        <v>91</v>
      </c>
      <c r="C468" t="s">
        <v>90</v>
      </c>
      <c r="D468" s="34">
        <f>ROUND(Table1[[#This Row],[Content.Column7]] * 1000, 0)</f>
        <v>86271</v>
      </c>
      <c r="E468" s="34">
        <f>ROUND(Table1[[#This Row],[Content.Column8]] * 1000, 0)</f>
        <v>12436</v>
      </c>
      <c r="F468" s="34">
        <f>ROUND(Table1[[#This Row],[Content.Column9]] * 1000, 0)</f>
        <v>98707</v>
      </c>
      <c r="G468" s="34">
        <f>ROUND(Table1[[#This Row],[Content.Column10]] * 1000, 0)</f>
        <v>98861</v>
      </c>
      <c r="H468" s="32">
        <f>ROUND(Table1[[#This Row],[Content.Column11]] * 1000, 0)</f>
        <v>472792</v>
      </c>
      <c r="I468" s="32">
        <f>ROUND(Table1[[#This Row],[Content.Column12]] * 1000, 0)</f>
        <v>143475</v>
      </c>
      <c r="J468" s="32">
        <f>ROUND(Table1[[#This Row],[Content.Column13]] * 1000, 0)</f>
        <v>616268</v>
      </c>
      <c r="K468" s="32">
        <f>ROUND(Table1[[#This Row],[Content.Column14]] * 1000, 0)</f>
        <v>635393</v>
      </c>
      <c r="L468" s="30">
        <f>ROUND(Table1[[#This Row],[Content.Column3]] * 1000, 0)</f>
        <v>559063</v>
      </c>
      <c r="M468" s="30">
        <f>ROUND(Table1[[#This Row],[Content.Column4]] * 1000, 0)</f>
        <v>155911</v>
      </c>
      <c r="N468" s="30">
        <f>ROUND(Table1[[#This Row],[Content.Column5]] * 1000, 0)</f>
        <v>714975</v>
      </c>
      <c r="O468" s="30">
        <f>ROUND(Table1[[#This Row],[Content.Column6]] * 1000, 0)</f>
        <v>734254</v>
      </c>
      <c r="P468" s="27"/>
      <c r="Q468" s="27"/>
      <c r="R468"/>
      <c r="S468"/>
    </row>
    <row r="469" spans="1:19" x14ac:dyDescent="0.3">
      <c r="A469">
        <v>2018</v>
      </c>
      <c r="B469" t="s">
        <v>93</v>
      </c>
      <c r="C469" t="s">
        <v>92</v>
      </c>
      <c r="D469" s="34">
        <f>ROUND(Table1[[#This Row],[Content.Column7]] * 1000, 0)</f>
        <v>350059</v>
      </c>
      <c r="E469" s="34">
        <f>ROUND(Table1[[#This Row],[Content.Column8]] * 1000, 0)</f>
        <v>95624</v>
      </c>
      <c r="F469" s="34">
        <f>ROUND(Table1[[#This Row],[Content.Column9]] * 1000, 0)</f>
        <v>445682</v>
      </c>
      <c r="G469" s="34">
        <f>ROUND(Table1[[#This Row],[Content.Column10]] * 1000, 0)</f>
        <v>447035</v>
      </c>
      <c r="H469" s="32">
        <f>ROUND(Table1[[#This Row],[Content.Column11]] * 1000, 0)</f>
        <v>2172457</v>
      </c>
      <c r="I469" s="32">
        <f>ROUND(Table1[[#This Row],[Content.Column12]] * 1000, 0)</f>
        <v>655934</v>
      </c>
      <c r="J469" s="32">
        <f>ROUND(Table1[[#This Row],[Content.Column13]] * 1000, 0)</f>
        <v>2828393</v>
      </c>
      <c r="K469" s="32">
        <f>ROUND(Table1[[#This Row],[Content.Column14]] * 1000, 0)</f>
        <v>2906937</v>
      </c>
      <c r="L469" s="30">
        <f>ROUND(Table1[[#This Row],[Content.Column3]] * 1000, 0)</f>
        <v>2522515</v>
      </c>
      <c r="M469" s="30">
        <f>ROUND(Table1[[#This Row],[Content.Column4]] * 1000, 0)</f>
        <v>751557</v>
      </c>
      <c r="N469" s="30">
        <f>ROUND(Table1[[#This Row],[Content.Column5]] * 1000, 0)</f>
        <v>3274075</v>
      </c>
      <c r="O469" s="30">
        <f>ROUND(Table1[[#This Row],[Content.Column6]] * 1000, 0)</f>
        <v>3353972</v>
      </c>
      <c r="P469" s="27"/>
      <c r="Q469" s="27"/>
      <c r="R469"/>
      <c r="S469"/>
    </row>
    <row r="470" spans="1:19" x14ac:dyDescent="0.3">
      <c r="A470">
        <v>2018</v>
      </c>
      <c r="B470" t="s">
        <v>95</v>
      </c>
      <c r="C470" t="s">
        <v>94</v>
      </c>
      <c r="D470" s="34">
        <f>ROUND(Table1[[#This Row],[Content.Column7]] * 1000, 0)</f>
        <v>201967</v>
      </c>
      <c r="E470" s="34">
        <f>ROUND(Table1[[#This Row],[Content.Column8]] * 1000, 0)</f>
        <v>102932</v>
      </c>
      <c r="F470" s="34">
        <f>ROUND(Table1[[#This Row],[Content.Column9]] * 1000, 0)</f>
        <v>304899</v>
      </c>
      <c r="G470" s="34">
        <f>ROUND(Table1[[#This Row],[Content.Column10]] * 1000, 0)</f>
        <v>305533</v>
      </c>
      <c r="H470" s="32">
        <f>ROUND(Table1[[#This Row],[Content.Column11]] * 1000, 0)</f>
        <v>1070837</v>
      </c>
      <c r="I470" s="32">
        <f>ROUND(Table1[[#This Row],[Content.Column12]] * 1000, 0)</f>
        <v>512689</v>
      </c>
      <c r="J470" s="32">
        <f>ROUND(Table1[[#This Row],[Content.Column13]] * 1000, 0)</f>
        <v>1583529</v>
      </c>
      <c r="K470" s="32">
        <f>ROUND(Table1[[#This Row],[Content.Column14]] * 1000, 0)</f>
        <v>1621330</v>
      </c>
      <c r="L470" s="30">
        <f>ROUND(Table1[[#This Row],[Content.Column3]] * 1000, 0)</f>
        <v>1272804</v>
      </c>
      <c r="M470" s="30">
        <f>ROUND(Table1[[#This Row],[Content.Column4]] * 1000, 0)</f>
        <v>615620</v>
      </c>
      <c r="N470" s="30">
        <f>ROUND(Table1[[#This Row],[Content.Column5]] * 1000, 0)</f>
        <v>1888428</v>
      </c>
      <c r="O470" s="30">
        <f>ROUND(Table1[[#This Row],[Content.Column6]] * 1000, 0)</f>
        <v>1926864</v>
      </c>
      <c r="P470" s="27"/>
      <c r="Q470" s="27"/>
      <c r="R470"/>
      <c r="S470"/>
    </row>
    <row r="471" spans="1:19" x14ac:dyDescent="0.3">
      <c r="A471">
        <v>2018</v>
      </c>
      <c r="B471" t="s">
        <v>97</v>
      </c>
      <c r="C471" t="s">
        <v>96</v>
      </c>
      <c r="D471" s="34">
        <f>ROUND(Table1[[#This Row],[Content.Column7]] * 1000, 0)</f>
        <v>142046</v>
      </c>
      <c r="E471" s="34">
        <f>ROUND(Table1[[#This Row],[Content.Column8]] * 1000, 0)</f>
        <v>83961</v>
      </c>
      <c r="F471" s="34">
        <f>ROUND(Table1[[#This Row],[Content.Column9]] * 1000, 0)</f>
        <v>226008</v>
      </c>
      <c r="G471" s="34">
        <f>ROUND(Table1[[#This Row],[Content.Column10]] * 1000, 0)</f>
        <v>226041</v>
      </c>
      <c r="H471" s="32">
        <f>ROUND(Table1[[#This Row],[Content.Column11]] * 1000, 0)</f>
        <v>562239</v>
      </c>
      <c r="I471" s="32">
        <f>ROUND(Table1[[#This Row],[Content.Column12]] * 1000, 0)</f>
        <v>266449</v>
      </c>
      <c r="J471" s="32">
        <f>ROUND(Table1[[#This Row],[Content.Column13]] * 1000, 0)</f>
        <v>828687</v>
      </c>
      <c r="K471" s="32">
        <f>ROUND(Table1[[#This Row],[Content.Column14]] * 1000, 0)</f>
        <v>857461</v>
      </c>
      <c r="L471" s="30">
        <f>ROUND(Table1[[#This Row],[Content.Column3]] * 1000, 0)</f>
        <v>704285</v>
      </c>
      <c r="M471" s="30">
        <f>ROUND(Table1[[#This Row],[Content.Column4]] * 1000, 0)</f>
        <v>350410</v>
      </c>
      <c r="N471" s="30">
        <f>ROUND(Table1[[#This Row],[Content.Column5]] * 1000, 0)</f>
        <v>1054695</v>
      </c>
      <c r="O471" s="30">
        <f>ROUND(Table1[[#This Row],[Content.Column6]] * 1000, 0)</f>
        <v>1083502</v>
      </c>
      <c r="P471" s="27"/>
      <c r="Q471" s="27"/>
      <c r="R471"/>
      <c r="S471"/>
    </row>
    <row r="472" spans="1:19" x14ac:dyDescent="0.3">
      <c r="A472">
        <v>2018</v>
      </c>
      <c r="B472" t="s">
        <v>99</v>
      </c>
      <c r="C472" t="s">
        <v>98</v>
      </c>
      <c r="D472" s="34">
        <f>ROUND(Table1[[#This Row],[Content.Column7]] * 1000, 0)</f>
        <v>384819</v>
      </c>
      <c r="E472" s="34">
        <f>ROUND(Table1[[#This Row],[Content.Column8]] * 1000, 0)</f>
        <v>222207</v>
      </c>
      <c r="F472" s="34">
        <f>ROUND(Table1[[#This Row],[Content.Column9]] * 1000, 0)</f>
        <v>607027</v>
      </c>
      <c r="G472" s="34">
        <f>ROUND(Table1[[#This Row],[Content.Column10]] * 1000, 0)</f>
        <v>607619</v>
      </c>
      <c r="H472" s="32">
        <f>ROUND(Table1[[#This Row],[Content.Column11]] * 1000, 0)</f>
        <v>1876454</v>
      </c>
      <c r="I472" s="32">
        <f>ROUND(Table1[[#This Row],[Content.Column12]] * 1000, 0)</f>
        <v>845429</v>
      </c>
      <c r="J472" s="32">
        <f>ROUND(Table1[[#This Row],[Content.Column13]] * 1000, 0)</f>
        <v>2721883</v>
      </c>
      <c r="K472" s="32">
        <f>ROUND(Table1[[#This Row],[Content.Column14]] * 1000, 0)</f>
        <v>2823789</v>
      </c>
      <c r="L472" s="30">
        <f>ROUND(Table1[[#This Row],[Content.Column3]] * 1000, 0)</f>
        <v>2261274</v>
      </c>
      <c r="M472" s="30">
        <f>ROUND(Table1[[#This Row],[Content.Column4]] * 1000, 0)</f>
        <v>1067636</v>
      </c>
      <c r="N472" s="30">
        <f>ROUND(Table1[[#This Row],[Content.Column5]] * 1000, 0)</f>
        <v>3328910</v>
      </c>
      <c r="O472" s="30">
        <f>ROUND(Table1[[#This Row],[Content.Column6]] * 1000, 0)</f>
        <v>3431408</v>
      </c>
      <c r="P472" s="27"/>
      <c r="Q472" s="27"/>
      <c r="R472"/>
      <c r="S472"/>
    </row>
    <row r="473" spans="1:19" x14ac:dyDescent="0.3">
      <c r="A473">
        <v>2018</v>
      </c>
      <c r="B473" t="s">
        <v>101</v>
      </c>
      <c r="C473" t="s">
        <v>100</v>
      </c>
      <c r="D473" s="34">
        <f>ROUND(Table1[[#This Row],[Content.Column7]] * 1000, 0)</f>
        <v>276325</v>
      </c>
      <c r="E473" s="34">
        <f>ROUND(Table1[[#This Row],[Content.Column8]] * 1000, 0)</f>
        <v>167985</v>
      </c>
      <c r="F473" s="34">
        <f>ROUND(Table1[[#This Row],[Content.Column9]] * 1000, 0)</f>
        <v>444310</v>
      </c>
      <c r="G473" s="34">
        <f>ROUND(Table1[[#This Row],[Content.Column10]] * 1000, 0)</f>
        <v>445087</v>
      </c>
      <c r="H473" s="32">
        <f>ROUND(Table1[[#This Row],[Content.Column11]] * 1000, 0)</f>
        <v>1327673</v>
      </c>
      <c r="I473" s="32">
        <f>ROUND(Table1[[#This Row],[Content.Column12]] * 1000, 0)</f>
        <v>625828</v>
      </c>
      <c r="J473" s="32">
        <f>ROUND(Table1[[#This Row],[Content.Column13]] * 1000, 0)</f>
        <v>1953500</v>
      </c>
      <c r="K473" s="32">
        <f>ROUND(Table1[[#This Row],[Content.Column14]] * 1000, 0)</f>
        <v>2044618</v>
      </c>
      <c r="L473" s="30">
        <f>ROUND(Table1[[#This Row],[Content.Column3]] * 1000, 0)</f>
        <v>1603998</v>
      </c>
      <c r="M473" s="30">
        <f>ROUND(Table1[[#This Row],[Content.Column4]] * 1000, 0)</f>
        <v>793813</v>
      </c>
      <c r="N473" s="30">
        <f>ROUND(Table1[[#This Row],[Content.Column5]] * 1000, 0)</f>
        <v>2397810</v>
      </c>
      <c r="O473" s="30">
        <f>ROUND(Table1[[#This Row],[Content.Column6]] * 1000, 0)</f>
        <v>2489706</v>
      </c>
      <c r="P473" s="27"/>
      <c r="Q473" s="27"/>
      <c r="R473"/>
      <c r="S473"/>
    </row>
    <row r="474" spans="1:19" x14ac:dyDescent="0.3">
      <c r="A474">
        <v>2018</v>
      </c>
      <c r="B474" t="s">
        <v>103</v>
      </c>
      <c r="C474" t="s">
        <v>102</v>
      </c>
      <c r="D474" s="34">
        <f>ROUND(Table1[[#This Row],[Content.Column7]] * 1000, 0)</f>
        <v>200080</v>
      </c>
      <c r="E474" s="34">
        <f>ROUND(Table1[[#This Row],[Content.Column8]] * 1000, 0)</f>
        <v>133300</v>
      </c>
      <c r="F474" s="34">
        <f>ROUND(Table1[[#This Row],[Content.Column9]] * 1000, 0)</f>
        <v>333380</v>
      </c>
      <c r="G474" s="34">
        <f>ROUND(Table1[[#This Row],[Content.Column10]] * 1000, 0)</f>
        <v>334324</v>
      </c>
      <c r="H474" s="32">
        <f>ROUND(Table1[[#This Row],[Content.Column11]] * 1000, 0)</f>
        <v>1203554</v>
      </c>
      <c r="I474" s="32">
        <f>ROUND(Table1[[#This Row],[Content.Column12]] * 1000, 0)</f>
        <v>534129</v>
      </c>
      <c r="J474" s="32">
        <f>ROUND(Table1[[#This Row],[Content.Column13]] * 1000, 0)</f>
        <v>1737683</v>
      </c>
      <c r="K474" s="32">
        <f>ROUND(Table1[[#This Row],[Content.Column14]] * 1000, 0)</f>
        <v>1817166</v>
      </c>
      <c r="L474" s="30">
        <f>ROUND(Table1[[#This Row],[Content.Column3]] * 1000, 0)</f>
        <v>1403635</v>
      </c>
      <c r="M474" s="30">
        <f>ROUND(Table1[[#This Row],[Content.Column4]] * 1000, 0)</f>
        <v>667429</v>
      </c>
      <c r="N474" s="30">
        <f>ROUND(Table1[[#This Row],[Content.Column5]] * 1000, 0)</f>
        <v>2071063</v>
      </c>
      <c r="O474" s="30">
        <f>ROUND(Table1[[#This Row],[Content.Column6]] * 1000, 0)</f>
        <v>2151490</v>
      </c>
      <c r="P474" s="27"/>
      <c r="Q474" s="27"/>
      <c r="R474"/>
      <c r="S474"/>
    </row>
    <row r="475" spans="1:19" x14ac:dyDescent="0.3">
      <c r="A475">
        <v>2018</v>
      </c>
      <c r="B475" t="s">
        <v>105</v>
      </c>
      <c r="C475" t="s">
        <v>104</v>
      </c>
      <c r="D475" s="34">
        <f>ROUND(Table1[[#This Row],[Content.Column7]] * 1000, 0)</f>
        <v>266425</v>
      </c>
      <c r="E475" s="34">
        <f>ROUND(Table1[[#This Row],[Content.Column8]] * 1000, 0)</f>
        <v>163945</v>
      </c>
      <c r="F475" s="34">
        <f>ROUND(Table1[[#This Row],[Content.Column9]] * 1000, 0)</f>
        <v>430370</v>
      </c>
      <c r="G475" s="34">
        <f>ROUND(Table1[[#This Row],[Content.Column10]] * 1000, 0)</f>
        <v>431126</v>
      </c>
      <c r="H475" s="32">
        <f>ROUND(Table1[[#This Row],[Content.Column11]] * 1000, 0)</f>
        <v>1487674</v>
      </c>
      <c r="I475" s="32">
        <f>ROUND(Table1[[#This Row],[Content.Column12]] * 1000, 0)</f>
        <v>642695</v>
      </c>
      <c r="J475" s="32">
        <f>ROUND(Table1[[#This Row],[Content.Column13]] * 1000, 0)</f>
        <v>2130369</v>
      </c>
      <c r="K475" s="32">
        <f>ROUND(Table1[[#This Row],[Content.Column14]] * 1000, 0)</f>
        <v>2210911</v>
      </c>
      <c r="L475" s="30">
        <f>ROUND(Table1[[#This Row],[Content.Column3]] * 1000, 0)</f>
        <v>1754100</v>
      </c>
      <c r="M475" s="30">
        <f>ROUND(Table1[[#This Row],[Content.Column4]] * 1000, 0)</f>
        <v>806640</v>
      </c>
      <c r="N475" s="30">
        <f>ROUND(Table1[[#This Row],[Content.Column5]] * 1000, 0)</f>
        <v>2560739</v>
      </c>
      <c r="O475" s="30">
        <f>ROUND(Table1[[#This Row],[Content.Column6]] * 1000, 0)</f>
        <v>2642037</v>
      </c>
      <c r="P475" s="27"/>
      <c r="Q475" s="27"/>
      <c r="R475"/>
      <c r="S475"/>
    </row>
    <row r="476" spans="1:19" x14ac:dyDescent="0.3">
      <c r="A476">
        <v>2018</v>
      </c>
      <c r="B476" t="s">
        <v>107</v>
      </c>
      <c r="C476" t="s">
        <v>106</v>
      </c>
      <c r="D476" s="34">
        <f>ROUND(Table1[[#This Row],[Content.Column7]] * 1000, 0)</f>
        <v>237847</v>
      </c>
      <c r="E476" s="34">
        <f>ROUND(Table1[[#This Row],[Content.Column8]] * 1000, 0)</f>
        <v>198392</v>
      </c>
      <c r="F476" s="34">
        <f>ROUND(Table1[[#This Row],[Content.Column9]] * 1000, 0)</f>
        <v>436239</v>
      </c>
      <c r="G476" s="34">
        <f>ROUND(Table1[[#This Row],[Content.Column10]] * 1000, 0)</f>
        <v>436883</v>
      </c>
      <c r="H476" s="32">
        <f>ROUND(Table1[[#This Row],[Content.Column11]] * 1000, 0)</f>
        <v>1565452</v>
      </c>
      <c r="I476" s="32">
        <f>ROUND(Table1[[#This Row],[Content.Column12]] * 1000, 0)</f>
        <v>778851</v>
      </c>
      <c r="J476" s="32">
        <f>ROUND(Table1[[#This Row],[Content.Column13]] * 1000, 0)</f>
        <v>2344303</v>
      </c>
      <c r="K476" s="32">
        <f>ROUND(Table1[[#This Row],[Content.Column14]] * 1000, 0)</f>
        <v>2443333</v>
      </c>
      <c r="L476" s="30">
        <f>ROUND(Table1[[#This Row],[Content.Column3]] * 1000, 0)</f>
        <v>1803299</v>
      </c>
      <c r="M476" s="30">
        <f>ROUND(Table1[[#This Row],[Content.Column4]] * 1000, 0)</f>
        <v>977243</v>
      </c>
      <c r="N476" s="30">
        <f>ROUND(Table1[[#This Row],[Content.Column5]] * 1000, 0)</f>
        <v>2780542</v>
      </c>
      <c r="O476" s="30">
        <f>ROUND(Table1[[#This Row],[Content.Column6]] * 1000, 0)</f>
        <v>2880216</v>
      </c>
      <c r="P476" s="27"/>
      <c r="Q476" s="27"/>
      <c r="R476"/>
      <c r="S476"/>
    </row>
    <row r="477" spans="1:19" x14ac:dyDescent="0.3">
      <c r="A477">
        <v>2018</v>
      </c>
      <c r="B477" t="s">
        <v>109</v>
      </c>
      <c r="C477" t="s">
        <v>108</v>
      </c>
      <c r="D477" s="34">
        <f>ROUND(Table1[[#This Row],[Content.Column7]] * 1000, 0)</f>
        <v>552026</v>
      </c>
      <c r="E477" s="34">
        <f>ROUND(Table1[[#This Row],[Content.Column8]] * 1000, 0)</f>
        <v>198555</v>
      </c>
      <c r="F477" s="34">
        <f>ROUND(Table1[[#This Row],[Content.Column9]] * 1000, 0)</f>
        <v>750581</v>
      </c>
      <c r="G477" s="34">
        <f>ROUND(Table1[[#This Row],[Content.Column10]] * 1000, 0)</f>
        <v>752569</v>
      </c>
      <c r="H477" s="32">
        <f>ROUND(Table1[[#This Row],[Content.Column11]] * 1000, 0)</f>
        <v>3243294</v>
      </c>
      <c r="I477" s="32">
        <f>ROUND(Table1[[#This Row],[Content.Column12]] * 1000, 0)</f>
        <v>1168622</v>
      </c>
      <c r="J477" s="32">
        <f>ROUND(Table1[[#This Row],[Content.Column13]] * 1000, 0)</f>
        <v>4411922</v>
      </c>
      <c r="K477" s="32">
        <f>ROUND(Table1[[#This Row],[Content.Column14]] * 1000, 0)</f>
        <v>4528268</v>
      </c>
      <c r="L477" s="30">
        <f>ROUND(Table1[[#This Row],[Content.Column3]] * 1000, 0)</f>
        <v>3795320</v>
      </c>
      <c r="M477" s="30">
        <f>ROUND(Table1[[#This Row],[Content.Column4]] * 1000, 0)</f>
        <v>1367178</v>
      </c>
      <c r="N477" s="30">
        <f>ROUND(Table1[[#This Row],[Content.Column5]] * 1000, 0)</f>
        <v>5162503</v>
      </c>
      <c r="O477" s="30">
        <f>ROUND(Table1[[#This Row],[Content.Column6]] * 1000, 0)</f>
        <v>5280836</v>
      </c>
      <c r="P477" s="27"/>
      <c r="Q477" s="27"/>
      <c r="R477"/>
      <c r="S477"/>
    </row>
    <row r="478" spans="1:19" x14ac:dyDescent="0.3">
      <c r="A478">
        <v>2018</v>
      </c>
      <c r="B478" t="s">
        <v>111</v>
      </c>
      <c r="C478" t="s">
        <v>110</v>
      </c>
      <c r="D478" s="34">
        <f>ROUND(Table1[[#This Row],[Content.Column7]] * 1000, 0)</f>
        <v>367730</v>
      </c>
      <c r="E478" s="34">
        <f>ROUND(Table1[[#This Row],[Content.Column8]] * 1000, 0)</f>
        <v>231637</v>
      </c>
      <c r="F478" s="34">
        <f>ROUND(Table1[[#This Row],[Content.Column9]] * 1000, 0)</f>
        <v>599368</v>
      </c>
      <c r="G478" s="34">
        <f>ROUND(Table1[[#This Row],[Content.Column10]] * 1000, 0)</f>
        <v>600255</v>
      </c>
      <c r="H478" s="32">
        <f>ROUND(Table1[[#This Row],[Content.Column11]] * 1000, 0)</f>
        <v>2390198</v>
      </c>
      <c r="I478" s="32">
        <f>ROUND(Table1[[#This Row],[Content.Column12]] * 1000, 0)</f>
        <v>1161300</v>
      </c>
      <c r="J478" s="32">
        <f>ROUND(Table1[[#This Row],[Content.Column13]] * 1000, 0)</f>
        <v>3551495</v>
      </c>
      <c r="K478" s="32">
        <f>ROUND(Table1[[#This Row],[Content.Column14]] * 1000, 0)</f>
        <v>3684994</v>
      </c>
      <c r="L478" s="30">
        <f>ROUND(Table1[[#This Row],[Content.Column3]] * 1000, 0)</f>
        <v>2757928</v>
      </c>
      <c r="M478" s="30">
        <f>ROUND(Table1[[#This Row],[Content.Column4]] * 1000, 0)</f>
        <v>1392938</v>
      </c>
      <c r="N478" s="30">
        <f>ROUND(Table1[[#This Row],[Content.Column5]] * 1000, 0)</f>
        <v>4150863</v>
      </c>
      <c r="O478" s="30">
        <f>ROUND(Table1[[#This Row],[Content.Column6]] * 1000, 0)</f>
        <v>4285249</v>
      </c>
      <c r="P478" s="27"/>
      <c r="Q478" s="27"/>
      <c r="R478"/>
      <c r="S478"/>
    </row>
    <row r="479" spans="1:19" x14ac:dyDescent="0.3">
      <c r="A479">
        <v>2018</v>
      </c>
      <c r="B479" t="s">
        <v>113</v>
      </c>
      <c r="C479" t="s">
        <v>112</v>
      </c>
      <c r="D479" s="34">
        <f>ROUND(Table1[[#This Row],[Content.Column7]] * 1000, 0)</f>
        <v>233174</v>
      </c>
      <c r="E479" s="34">
        <f>ROUND(Table1[[#This Row],[Content.Column8]] * 1000, 0)</f>
        <v>173549</v>
      </c>
      <c r="F479" s="34">
        <f>ROUND(Table1[[#This Row],[Content.Column9]] * 1000, 0)</f>
        <v>406723</v>
      </c>
      <c r="G479" s="34">
        <f>ROUND(Table1[[#This Row],[Content.Column10]] * 1000, 0)</f>
        <v>407739</v>
      </c>
      <c r="H479" s="32">
        <f>ROUND(Table1[[#This Row],[Content.Column11]] * 1000, 0)</f>
        <v>1340695</v>
      </c>
      <c r="I479" s="32">
        <f>ROUND(Table1[[#This Row],[Content.Column12]] * 1000, 0)</f>
        <v>721704</v>
      </c>
      <c r="J479" s="32">
        <f>ROUND(Table1[[#This Row],[Content.Column13]] * 1000, 0)</f>
        <v>2062399</v>
      </c>
      <c r="K479" s="32">
        <f>ROUND(Table1[[#This Row],[Content.Column14]] * 1000, 0)</f>
        <v>2189323</v>
      </c>
      <c r="L479" s="30">
        <f>ROUND(Table1[[#This Row],[Content.Column3]] * 1000, 0)</f>
        <v>1573869</v>
      </c>
      <c r="M479" s="30">
        <f>ROUND(Table1[[#This Row],[Content.Column4]] * 1000, 0)</f>
        <v>895253</v>
      </c>
      <c r="N479" s="30">
        <f>ROUND(Table1[[#This Row],[Content.Column5]] * 1000, 0)</f>
        <v>2469122</v>
      </c>
      <c r="O479" s="30">
        <f>ROUND(Table1[[#This Row],[Content.Column6]] * 1000, 0)</f>
        <v>2597062</v>
      </c>
      <c r="P479" s="27"/>
      <c r="Q479" s="27"/>
      <c r="R479"/>
      <c r="S479"/>
    </row>
    <row r="480" spans="1:19" x14ac:dyDescent="0.3">
      <c r="A480">
        <v>2018</v>
      </c>
      <c r="B480" t="s">
        <v>115</v>
      </c>
      <c r="C480" t="s">
        <v>114</v>
      </c>
      <c r="D480" s="34">
        <f>ROUND(Table1[[#This Row],[Content.Column7]] * 1000, 0)</f>
        <v>179855</v>
      </c>
      <c r="E480" s="34">
        <f>ROUND(Table1[[#This Row],[Content.Column8]] * 1000, 0)</f>
        <v>119938</v>
      </c>
      <c r="F480" s="34">
        <f>ROUND(Table1[[#This Row],[Content.Column9]] * 1000, 0)</f>
        <v>299793</v>
      </c>
      <c r="G480" s="34">
        <f>ROUND(Table1[[#This Row],[Content.Column10]] * 1000, 0)</f>
        <v>300117</v>
      </c>
      <c r="H480" s="32">
        <f>ROUND(Table1[[#This Row],[Content.Column11]] * 1000, 0)</f>
        <v>636883</v>
      </c>
      <c r="I480" s="32">
        <f>ROUND(Table1[[#This Row],[Content.Column12]] * 1000, 0)</f>
        <v>336458</v>
      </c>
      <c r="J480" s="32">
        <f>ROUND(Table1[[#This Row],[Content.Column13]] * 1000, 0)</f>
        <v>973342</v>
      </c>
      <c r="K480" s="32">
        <f>ROUND(Table1[[#This Row],[Content.Column14]] * 1000, 0)</f>
        <v>1061227</v>
      </c>
      <c r="L480" s="30">
        <f>ROUND(Table1[[#This Row],[Content.Column3]] * 1000, 0)</f>
        <v>816739</v>
      </c>
      <c r="M480" s="30">
        <f>ROUND(Table1[[#This Row],[Content.Column4]] * 1000, 0)</f>
        <v>456396</v>
      </c>
      <c r="N480" s="30">
        <f>ROUND(Table1[[#This Row],[Content.Column5]] * 1000, 0)</f>
        <v>1273135</v>
      </c>
      <c r="O480" s="30">
        <f>ROUND(Table1[[#This Row],[Content.Column6]] * 1000, 0)</f>
        <v>1361344</v>
      </c>
      <c r="P480" s="27"/>
      <c r="Q480" s="27"/>
      <c r="R480"/>
      <c r="S480"/>
    </row>
    <row r="481" spans="1:19" x14ac:dyDescent="0.3">
      <c r="A481">
        <v>2018</v>
      </c>
      <c r="B481" t="s">
        <v>117</v>
      </c>
      <c r="C481" t="s">
        <v>116</v>
      </c>
      <c r="D481" s="34">
        <f>ROUND(Table1[[#This Row],[Content.Column7]] * 1000, 0)</f>
        <v>355001</v>
      </c>
      <c r="E481" s="34">
        <f>ROUND(Table1[[#This Row],[Content.Column8]] * 1000, 0)</f>
        <v>224408</v>
      </c>
      <c r="F481" s="34">
        <f>ROUND(Table1[[#This Row],[Content.Column9]] * 1000, 0)</f>
        <v>579409</v>
      </c>
      <c r="G481" s="34">
        <f>ROUND(Table1[[#This Row],[Content.Column10]] * 1000, 0)</f>
        <v>579472</v>
      </c>
      <c r="H481" s="32">
        <f>ROUND(Table1[[#This Row],[Content.Column11]] * 1000, 0)</f>
        <v>1302749</v>
      </c>
      <c r="I481" s="32">
        <f>ROUND(Table1[[#This Row],[Content.Column12]] * 1000, 0)</f>
        <v>626311</v>
      </c>
      <c r="J481" s="32">
        <f>ROUND(Table1[[#This Row],[Content.Column13]] * 1000, 0)</f>
        <v>1929059</v>
      </c>
      <c r="K481" s="32">
        <f>ROUND(Table1[[#This Row],[Content.Column14]] * 1000, 0)</f>
        <v>2032223</v>
      </c>
      <c r="L481" s="30">
        <f>ROUND(Table1[[#This Row],[Content.Column3]] * 1000, 0)</f>
        <v>1657750</v>
      </c>
      <c r="M481" s="30">
        <f>ROUND(Table1[[#This Row],[Content.Column4]] * 1000, 0)</f>
        <v>850719</v>
      </c>
      <c r="N481" s="30">
        <f>ROUND(Table1[[#This Row],[Content.Column5]] * 1000, 0)</f>
        <v>2508468</v>
      </c>
      <c r="O481" s="30">
        <f>ROUND(Table1[[#This Row],[Content.Column6]] * 1000, 0)</f>
        <v>2611695</v>
      </c>
      <c r="P481" s="27"/>
      <c r="Q481" s="27"/>
      <c r="R481"/>
      <c r="S481"/>
    </row>
    <row r="482" spans="1:19" x14ac:dyDescent="0.3">
      <c r="A482">
        <v>2018</v>
      </c>
      <c r="B482" t="s">
        <v>119</v>
      </c>
      <c r="C482" t="s">
        <v>118</v>
      </c>
      <c r="D482" s="34">
        <f>ROUND(Table1[[#This Row],[Content.Column7]] * 1000, 0)</f>
        <v>2660473</v>
      </c>
      <c r="E482" s="34">
        <f>ROUND(Table1[[#This Row],[Content.Column8]] * 1000, 0)</f>
        <v>1573533</v>
      </c>
      <c r="F482" s="34">
        <f>ROUND(Table1[[#This Row],[Content.Column9]] * 1000, 0)</f>
        <v>4234006</v>
      </c>
      <c r="G482" s="34">
        <f>ROUND(Table1[[#This Row],[Content.Column10]] * 1000, 0)</f>
        <v>4241642</v>
      </c>
      <c r="H482" s="32">
        <f>ROUND(Table1[[#This Row],[Content.Column11]] * 1000, 0)</f>
        <v>14997233</v>
      </c>
      <c r="I482" s="32">
        <f>ROUND(Table1[[#This Row],[Content.Column12]] * 1000, 0)</f>
        <v>6745007</v>
      </c>
      <c r="J482" s="32">
        <f>ROUND(Table1[[#This Row],[Content.Column13]] * 1000, 0)</f>
        <v>21742242</v>
      </c>
      <c r="K482" s="32">
        <f>ROUND(Table1[[#This Row],[Content.Column14]] * 1000, 0)</f>
        <v>22599864</v>
      </c>
      <c r="L482" s="30">
        <f>ROUND(Table1[[#This Row],[Content.Column3]] * 1000, 0)</f>
        <v>17657707</v>
      </c>
      <c r="M482" s="30">
        <f>ROUND(Table1[[#This Row],[Content.Column4]] * 1000, 0)</f>
        <v>8318540</v>
      </c>
      <c r="N482" s="30">
        <f>ROUND(Table1[[#This Row],[Content.Column5]] * 1000, 0)</f>
        <v>25976248</v>
      </c>
      <c r="O482" s="30">
        <f>ROUND(Table1[[#This Row],[Content.Column6]] * 1000, 0)</f>
        <v>26841506</v>
      </c>
      <c r="P482" s="27"/>
      <c r="Q482" s="27"/>
      <c r="R482"/>
      <c r="S482"/>
    </row>
    <row r="483" spans="1:19" x14ac:dyDescent="0.3">
      <c r="A483">
        <v>2018</v>
      </c>
      <c r="B483" t="s">
        <v>121</v>
      </c>
      <c r="C483" t="s">
        <v>120</v>
      </c>
      <c r="D483" s="34">
        <f>ROUND(Table1[[#This Row],[Content.Column7]] * 1000, 0)</f>
        <v>3195330</v>
      </c>
      <c r="E483" s="34">
        <f>ROUND(Table1[[#This Row],[Content.Column8]] * 1000, 0)</f>
        <v>1917879</v>
      </c>
      <c r="F483" s="34">
        <f>ROUND(Table1[[#This Row],[Content.Column9]] * 1000, 0)</f>
        <v>5113209</v>
      </c>
      <c r="G483" s="34">
        <f>ROUND(Table1[[#This Row],[Content.Column10]] * 1000, 0)</f>
        <v>5121232</v>
      </c>
      <c r="H483" s="32">
        <f>ROUND(Table1[[#This Row],[Content.Column11]] * 1000, 0)</f>
        <v>16936865</v>
      </c>
      <c r="I483" s="32">
        <f>ROUND(Table1[[#This Row],[Content.Column12]] * 1000, 0)</f>
        <v>7707776</v>
      </c>
      <c r="J483" s="32">
        <f>ROUND(Table1[[#This Row],[Content.Column13]] * 1000, 0)</f>
        <v>24644642</v>
      </c>
      <c r="K483" s="32">
        <f>ROUND(Table1[[#This Row],[Content.Column14]] * 1000, 0)</f>
        <v>25693314</v>
      </c>
      <c r="L483" s="30">
        <f>ROUND(Table1[[#This Row],[Content.Column3]] * 1000, 0)</f>
        <v>20132195</v>
      </c>
      <c r="M483" s="30">
        <f>ROUND(Table1[[#This Row],[Content.Column4]] * 1000, 0)</f>
        <v>9625655</v>
      </c>
      <c r="N483" s="30">
        <f>ROUND(Table1[[#This Row],[Content.Column5]] * 1000, 0)</f>
        <v>29757851</v>
      </c>
      <c r="O483" s="30">
        <f>ROUND(Table1[[#This Row],[Content.Column6]] * 1000, 0)</f>
        <v>30814545</v>
      </c>
      <c r="P483" s="27"/>
      <c r="Q483" s="27"/>
      <c r="R483"/>
      <c r="S483"/>
    </row>
    <row r="484" spans="1:19" x14ac:dyDescent="0.3">
      <c r="A484">
        <v>2019</v>
      </c>
      <c r="B484" t="s">
        <v>27</v>
      </c>
      <c r="C484" t="s">
        <v>26</v>
      </c>
      <c r="D484" s="34">
        <f>ROUND(Table1[[#This Row],[Content.Column7]] * 1000, 0)</f>
        <v>13892</v>
      </c>
      <c r="E484" s="34">
        <f>ROUND(Table1[[#This Row],[Content.Column8]] * 1000, 0)</f>
        <v>2729</v>
      </c>
      <c r="F484" s="34">
        <f>ROUND(Table1[[#This Row],[Content.Column9]] * 1000, 0)</f>
        <v>16621</v>
      </c>
      <c r="G484" s="34">
        <f>ROUND(Table1[[#This Row],[Content.Column10]] * 1000, 0)</f>
        <v>16621</v>
      </c>
      <c r="H484" s="32">
        <f>ROUND(Table1[[#This Row],[Content.Column11]] * 1000, 0)</f>
        <v>439554</v>
      </c>
      <c r="I484" s="32">
        <f>ROUND(Table1[[#This Row],[Content.Column12]] * 1000, 0)</f>
        <v>68773</v>
      </c>
      <c r="J484" s="32">
        <f>ROUND(Table1[[#This Row],[Content.Column13]] * 1000, 0)</f>
        <v>508327</v>
      </c>
      <c r="K484" s="32">
        <f>ROUND(Table1[[#This Row],[Content.Column14]] * 1000, 0)</f>
        <v>525195</v>
      </c>
      <c r="L484" s="30">
        <f>ROUND(Table1[[#This Row],[Content.Column3]] * 1000, 0)</f>
        <v>453446</v>
      </c>
      <c r="M484" s="30">
        <f>ROUND(Table1[[#This Row],[Content.Column4]] * 1000, 0)</f>
        <v>71502</v>
      </c>
      <c r="N484" s="30">
        <f>ROUND(Table1[[#This Row],[Content.Column5]] * 1000, 0)</f>
        <v>524948</v>
      </c>
      <c r="O484" s="30">
        <f>ROUND(Table1[[#This Row],[Content.Column6]] * 1000, 0)</f>
        <v>541817</v>
      </c>
      <c r="P484" s="27"/>
      <c r="Q484" s="27"/>
      <c r="R484"/>
      <c r="S484"/>
    </row>
    <row r="485" spans="1:19" x14ac:dyDescent="0.3">
      <c r="A485">
        <v>2019</v>
      </c>
      <c r="B485" t="s">
        <v>29</v>
      </c>
      <c r="C485" t="s">
        <v>28</v>
      </c>
      <c r="D485" s="34">
        <f>ROUND(Table1[[#This Row],[Content.Column7]] * 1000, 0)</f>
        <v>6360</v>
      </c>
      <c r="E485" s="34">
        <f>ROUND(Table1[[#This Row],[Content.Column8]] * 1000, 0)</f>
        <v>3458</v>
      </c>
      <c r="F485" s="34">
        <f>ROUND(Table1[[#This Row],[Content.Column9]] * 1000, 0)</f>
        <v>9819</v>
      </c>
      <c r="G485" s="34">
        <f>ROUND(Table1[[#This Row],[Content.Column10]] * 1000, 0)</f>
        <v>9834</v>
      </c>
      <c r="H485" s="32">
        <f>ROUND(Table1[[#This Row],[Content.Column11]] * 1000, 0)</f>
        <v>32959</v>
      </c>
      <c r="I485" s="32">
        <f>ROUND(Table1[[#This Row],[Content.Column12]] * 1000, 0)</f>
        <v>13919</v>
      </c>
      <c r="J485" s="32">
        <f>ROUND(Table1[[#This Row],[Content.Column13]] * 1000, 0)</f>
        <v>46878</v>
      </c>
      <c r="K485" s="32">
        <f>ROUND(Table1[[#This Row],[Content.Column14]] * 1000, 0)</f>
        <v>47810</v>
      </c>
      <c r="L485" s="30">
        <f>ROUND(Table1[[#This Row],[Content.Column3]] * 1000, 0)</f>
        <v>39319</v>
      </c>
      <c r="M485" s="30">
        <f>ROUND(Table1[[#This Row],[Content.Column4]] * 1000, 0)</f>
        <v>17378</v>
      </c>
      <c r="N485" s="30">
        <f>ROUND(Table1[[#This Row],[Content.Column5]] * 1000, 0)</f>
        <v>56697</v>
      </c>
      <c r="O485" s="30">
        <f>ROUND(Table1[[#This Row],[Content.Column6]] * 1000, 0)</f>
        <v>57644</v>
      </c>
      <c r="P485" s="27"/>
      <c r="Q485" s="27"/>
      <c r="R485"/>
      <c r="S485"/>
    </row>
    <row r="486" spans="1:19" x14ac:dyDescent="0.3">
      <c r="A486">
        <v>2019</v>
      </c>
      <c r="B486" t="s">
        <v>31</v>
      </c>
      <c r="C486" t="s">
        <v>30</v>
      </c>
      <c r="D486" s="34">
        <f>ROUND(Table1[[#This Row],[Content.Column7]] * 1000, 0)</f>
        <v>12590</v>
      </c>
      <c r="E486" s="34">
        <f>ROUND(Table1[[#This Row],[Content.Column8]] * 1000, 0)</f>
        <v>7269</v>
      </c>
      <c r="F486" s="34">
        <f>ROUND(Table1[[#This Row],[Content.Column9]] * 1000, 0)</f>
        <v>19859</v>
      </c>
      <c r="G486" s="34">
        <f>ROUND(Table1[[#This Row],[Content.Column10]] * 1000, 0)</f>
        <v>20011</v>
      </c>
      <c r="H486" s="32">
        <f>ROUND(Table1[[#This Row],[Content.Column11]] * 1000, 0)</f>
        <v>74046</v>
      </c>
      <c r="I486" s="32">
        <f>ROUND(Table1[[#This Row],[Content.Column12]] * 1000, 0)</f>
        <v>36906</v>
      </c>
      <c r="J486" s="32">
        <f>ROUND(Table1[[#This Row],[Content.Column13]] * 1000, 0)</f>
        <v>110953</v>
      </c>
      <c r="K486" s="32">
        <f>ROUND(Table1[[#This Row],[Content.Column14]] * 1000, 0)</f>
        <v>114243</v>
      </c>
      <c r="L486" s="30">
        <f>ROUND(Table1[[#This Row],[Content.Column3]] * 1000, 0)</f>
        <v>86636</v>
      </c>
      <c r="M486" s="30">
        <f>ROUND(Table1[[#This Row],[Content.Column4]] * 1000, 0)</f>
        <v>44175</v>
      </c>
      <c r="N486" s="30">
        <f>ROUND(Table1[[#This Row],[Content.Column5]] * 1000, 0)</f>
        <v>130811</v>
      </c>
      <c r="O486" s="30">
        <f>ROUND(Table1[[#This Row],[Content.Column6]] * 1000, 0)</f>
        <v>134254</v>
      </c>
      <c r="P486" s="27"/>
      <c r="Q486" s="27"/>
      <c r="R486"/>
      <c r="S486"/>
    </row>
    <row r="487" spans="1:19" x14ac:dyDescent="0.3">
      <c r="A487">
        <v>2019</v>
      </c>
      <c r="B487" t="s">
        <v>33</v>
      </c>
      <c r="C487" t="s">
        <v>32</v>
      </c>
      <c r="D487" s="34">
        <f>ROUND(Table1[[#This Row],[Content.Column7]] * 1000, 0)</f>
        <v>6981</v>
      </c>
      <c r="E487" s="34">
        <f>ROUND(Table1[[#This Row],[Content.Column8]] * 1000, 0)</f>
        <v>3913</v>
      </c>
      <c r="F487" s="34">
        <f>ROUND(Table1[[#This Row],[Content.Column9]] * 1000, 0)</f>
        <v>10894</v>
      </c>
      <c r="G487" s="34">
        <f>ROUND(Table1[[#This Row],[Content.Column10]] * 1000, 0)</f>
        <v>10924</v>
      </c>
      <c r="H487" s="32">
        <f>ROUND(Table1[[#This Row],[Content.Column11]] * 1000, 0)</f>
        <v>41869</v>
      </c>
      <c r="I487" s="32">
        <f>ROUND(Table1[[#This Row],[Content.Column12]] * 1000, 0)</f>
        <v>23790</v>
      </c>
      <c r="J487" s="32">
        <f>ROUND(Table1[[#This Row],[Content.Column13]] * 1000, 0)</f>
        <v>65659</v>
      </c>
      <c r="K487" s="32">
        <f>ROUND(Table1[[#This Row],[Content.Column14]] * 1000, 0)</f>
        <v>67187</v>
      </c>
      <c r="L487" s="30">
        <f>ROUND(Table1[[#This Row],[Content.Column3]] * 1000, 0)</f>
        <v>48850</v>
      </c>
      <c r="M487" s="30">
        <f>ROUND(Table1[[#This Row],[Content.Column4]] * 1000, 0)</f>
        <v>27703</v>
      </c>
      <c r="N487" s="30">
        <f>ROUND(Table1[[#This Row],[Content.Column5]] * 1000, 0)</f>
        <v>76553</v>
      </c>
      <c r="O487" s="30">
        <f>ROUND(Table1[[#This Row],[Content.Column6]] * 1000, 0)</f>
        <v>78110</v>
      </c>
      <c r="P487" s="27"/>
      <c r="Q487" s="27"/>
      <c r="R487"/>
      <c r="S487"/>
    </row>
    <row r="488" spans="1:19" x14ac:dyDescent="0.3">
      <c r="A488">
        <v>2019</v>
      </c>
      <c r="B488" t="s">
        <v>35</v>
      </c>
      <c r="C488" t="s">
        <v>34</v>
      </c>
      <c r="D488" s="34">
        <f>ROUND(Table1[[#This Row],[Content.Column7]] * 1000, 0)</f>
        <v>15376</v>
      </c>
      <c r="E488" s="34">
        <f>ROUND(Table1[[#This Row],[Content.Column8]] * 1000, 0)</f>
        <v>6004</v>
      </c>
      <c r="F488" s="34">
        <f>ROUND(Table1[[#This Row],[Content.Column9]] * 1000, 0)</f>
        <v>21380</v>
      </c>
      <c r="G488" s="34">
        <f>ROUND(Table1[[#This Row],[Content.Column10]] * 1000, 0)</f>
        <v>21403</v>
      </c>
      <c r="H488" s="32">
        <f>ROUND(Table1[[#This Row],[Content.Column11]] * 1000, 0)</f>
        <v>72005</v>
      </c>
      <c r="I488" s="32">
        <f>ROUND(Table1[[#This Row],[Content.Column12]] * 1000, 0)</f>
        <v>28887</v>
      </c>
      <c r="J488" s="32">
        <f>ROUND(Table1[[#This Row],[Content.Column13]] * 1000, 0)</f>
        <v>100892</v>
      </c>
      <c r="K488" s="32">
        <f>ROUND(Table1[[#This Row],[Content.Column14]] * 1000, 0)</f>
        <v>103253</v>
      </c>
      <c r="L488" s="30">
        <f>ROUND(Table1[[#This Row],[Content.Column3]] * 1000, 0)</f>
        <v>87381</v>
      </c>
      <c r="M488" s="30">
        <f>ROUND(Table1[[#This Row],[Content.Column4]] * 1000, 0)</f>
        <v>34891</v>
      </c>
      <c r="N488" s="30">
        <f>ROUND(Table1[[#This Row],[Content.Column5]] * 1000, 0)</f>
        <v>122272</v>
      </c>
      <c r="O488" s="30">
        <f>ROUND(Table1[[#This Row],[Content.Column6]] * 1000, 0)</f>
        <v>124656</v>
      </c>
      <c r="P488" s="27"/>
      <c r="Q488" s="27"/>
      <c r="R488"/>
      <c r="S488"/>
    </row>
    <row r="489" spans="1:19" x14ac:dyDescent="0.3">
      <c r="A489">
        <v>2019</v>
      </c>
      <c r="B489" t="s">
        <v>37</v>
      </c>
      <c r="C489" t="s">
        <v>36</v>
      </c>
      <c r="D489" s="34">
        <f>ROUND(Table1[[#This Row],[Content.Column7]] * 1000, 0)</f>
        <v>8516</v>
      </c>
      <c r="E489" s="34">
        <f>ROUND(Table1[[#This Row],[Content.Column8]] * 1000, 0)</f>
        <v>6452</v>
      </c>
      <c r="F489" s="34">
        <f>ROUND(Table1[[#This Row],[Content.Column9]] * 1000, 0)</f>
        <v>14968</v>
      </c>
      <c r="G489" s="34">
        <f>ROUND(Table1[[#This Row],[Content.Column10]] * 1000, 0)</f>
        <v>15002</v>
      </c>
      <c r="H489" s="32">
        <f>ROUND(Table1[[#This Row],[Content.Column11]] * 1000, 0)</f>
        <v>58536</v>
      </c>
      <c r="I489" s="32">
        <f>ROUND(Table1[[#This Row],[Content.Column12]] * 1000, 0)</f>
        <v>33286</v>
      </c>
      <c r="J489" s="32">
        <f>ROUND(Table1[[#This Row],[Content.Column13]] * 1000, 0)</f>
        <v>91822</v>
      </c>
      <c r="K489" s="32">
        <f>ROUND(Table1[[#This Row],[Content.Column14]] * 1000, 0)</f>
        <v>94343</v>
      </c>
      <c r="L489" s="30">
        <f>ROUND(Table1[[#This Row],[Content.Column3]] * 1000, 0)</f>
        <v>67051</v>
      </c>
      <c r="M489" s="30">
        <f>ROUND(Table1[[#This Row],[Content.Column4]] * 1000, 0)</f>
        <v>39738</v>
      </c>
      <c r="N489" s="30">
        <f>ROUND(Table1[[#This Row],[Content.Column5]] * 1000, 0)</f>
        <v>106789</v>
      </c>
      <c r="O489" s="30">
        <f>ROUND(Table1[[#This Row],[Content.Column6]] * 1000, 0)</f>
        <v>109345</v>
      </c>
      <c r="P489" s="27"/>
      <c r="Q489" s="27"/>
      <c r="R489"/>
      <c r="S489"/>
    </row>
    <row r="490" spans="1:19" x14ac:dyDescent="0.3">
      <c r="A490">
        <v>2019</v>
      </c>
      <c r="B490" t="s">
        <v>39</v>
      </c>
      <c r="C490" t="s">
        <v>38</v>
      </c>
      <c r="D490" s="34">
        <f>ROUND(Table1[[#This Row],[Content.Column7]] * 1000, 0)</f>
        <v>35717</v>
      </c>
      <c r="E490" s="34">
        <f>ROUND(Table1[[#This Row],[Content.Column8]] * 1000, 0)</f>
        <v>10442</v>
      </c>
      <c r="F490" s="34">
        <f>ROUND(Table1[[#This Row],[Content.Column9]] * 1000, 0)</f>
        <v>46159</v>
      </c>
      <c r="G490" s="34">
        <f>ROUND(Table1[[#This Row],[Content.Column10]] * 1000, 0)</f>
        <v>46225</v>
      </c>
      <c r="H490" s="32">
        <f>ROUND(Table1[[#This Row],[Content.Column11]] * 1000, 0)</f>
        <v>251501</v>
      </c>
      <c r="I490" s="32">
        <f>ROUND(Table1[[#This Row],[Content.Column12]] * 1000, 0)</f>
        <v>73110</v>
      </c>
      <c r="J490" s="32">
        <f>ROUND(Table1[[#This Row],[Content.Column13]] * 1000, 0)</f>
        <v>324611</v>
      </c>
      <c r="K490" s="32">
        <f>ROUND(Table1[[#This Row],[Content.Column14]] * 1000, 0)</f>
        <v>335934</v>
      </c>
      <c r="L490" s="30">
        <f>ROUND(Table1[[#This Row],[Content.Column3]] * 1000, 0)</f>
        <v>287218</v>
      </c>
      <c r="M490" s="30">
        <f>ROUND(Table1[[#This Row],[Content.Column4]] * 1000, 0)</f>
        <v>83552</v>
      </c>
      <c r="N490" s="30">
        <f>ROUND(Table1[[#This Row],[Content.Column5]] * 1000, 0)</f>
        <v>370770</v>
      </c>
      <c r="O490" s="30">
        <f>ROUND(Table1[[#This Row],[Content.Column6]] * 1000, 0)</f>
        <v>382158</v>
      </c>
      <c r="P490" s="27"/>
      <c r="Q490" s="27"/>
      <c r="R490"/>
      <c r="S490"/>
    </row>
    <row r="491" spans="1:19" x14ac:dyDescent="0.3">
      <c r="A491">
        <v>2019</v>
      </c>
      <c r="B491" t="s">
        <v>41</v>
      </c>
      <c r="C491" t="s">
        <v>40</v>
      </c>
      <c r="D491" s="34">
        <f>ROUND(Table1[[#This Row],[Content.Column7]] * 1000, 0)</f>
        <v>18750</v>
      </c>
      <c r="E491" s="34">
        <f>ROUND(Table1[[#This Row],[Content.Column8]] * 1000, 0)</f>
        <v>7488</v>
      </c>
      <c r="F491" s="34">
        <f>ROUND(Table1[[#This Row],[Content.Column9]] * 1000, 0)</f>
        <v>26238</v>
      </c>
      <c r="G491" s="34">
        <f>ROUND(Table1[[#This Row],[Content.Column10]] * 1000, 0)</f>
        <v>26292</v>
      </c>
      <c r="H491" s="32">
        <f>ROUND(Table1[[#This Row],[Content.Column11]] * 1000, 0)</f>
        <v>63658</v>
      </c>
      <c r="I491" s="32">
        <f>ROUND(Table1[[#This Row],[Content.Column12]] * 1000, 0)</f>
        <v>33365</v>
      </c>
      <c r="J491" s="32">
        <f>ROUND(Table1[[#This Row],[Content.Column13]] * 1000, 0)</f>
        <v>97023</v>
      </c>
      <c r="K491" s="32">
        <f>ROUND(Table1[[#This Row],[Content.Column14]] * 1000, 0)</f>
        <v>99583</v>
      </c>
      <c r="L491" s="30">
        <f>ROUND(Table1[[#This Row],[Content.Column3]] * 1000, 0)</f>
        <v>82407</v>
      </c>
      <c r="M491" s="30">
        <f>ROUND(Table1[[#This Row],[Content.Column4]] * 1000, 0)</f>
        <v>40854</v>
      </c>
      <c r="N491" s="30">
        <f>ROUND(Table1[[#This Row],[Content.Column5]] * 1000, 0)</f>
        <v>123261</v>
      </c>
      <c r="O491" s="30">
        <f>ROUND(Table1[[#This Row],[Content.Column6]] * 1000, 0)</f>
        <v>125875</v>
      </c>
      <c r="P491" s="27"/>
      <c r="Q491" s="27"/>
      <c r="R491"/>
      <c r="S491"/>
    </row>
    <row r="492" spans="1:19" x14ac:dyDescent="0.3">
      <c r="A492">
        <v>2019</v>
      </c>
      <c r="B492" t="s">
        <v>43</v>
      </c>
      <c r="C492" t="s">
        <v>42</v>
      </c>
      <c r="D492" s="34">
        <f>ROUND(Table1[[#This Row],[Content.Column7]] * 1000, 0)</f>
        <v>11060</v>
      </c>
      <c r="E492" s="34">
        <f>ROUND(Table1[[#This Row],[Content.Column8]] * 1000, 0)</f>
        <v>6336</v>
      </c>
      <c r="F492" s="34">
        <f>ROUND(Table1[[#This Row],[Content.Column9]] * 1000, 0)</f>
        <v>17396</v>
      </c>
      <c r="G492" s="34">
        <f>ROUND(Table1[[#This Row],[Content.Column10]] * 1000, 0)</f>
        <v>17407</v>
      </c>
      <c r="H492" s="32">
        <f>ROUND(Table1[[#This Row],[Content.Column11]] * 1000, 0)</f>
        <v>85029</v>
      </c>
      <c r="I492" s="32">
        <f>ROUND(Table1[[#This Row],[Content.Column12]] * 1000, 0)</f>
        <v>32266</v>
      </c>
      <c r="J492" s="32">
        <f>ROUND(Table1[[#This Row],[Content.Column13]] * 1000, 0)</f>
        <v>117295</v>
      </c>
      <c r="K492" s="32">
        <f>ROUND(Table1[[#This Row],[Content.Column14]] * 1000, 0)</f>
        <v>119691</v>
      </c>
      <c r="L492" s="30">
        <f>ROUND(Table1[[#This Row],[Content.Column3]] * 1000, 0)</f>
        <v>96089</v>
      </c>
      <c r="M492" s="30">
        <f>ROUND(Table1[[#This Row],[Content.Column4]] * 1000, 0)</f>
        <v>38602</v>
      </c>
      <c r="N492" s="30">
        <f>ROUND(Table1[[#This Row],[Content.Column5]] * 1000, 0)</f>
        <v>134691</v>
      </c>
      <c r="O492" s="30">
        <f>ROUND(Table1[[#This Row],[Content.Column6]] * 1000, 0)</f>
        <v>137098</v>
      </c>
      <c r="P492" s="27"/>
      <c r="Q492" s="27"/>
      <c r="R492"/>
      <c r="S492"/>
    </row>
    <row r="493" spans="1:19" x14ac:dyDescent="0.3">
      <c r="A493">
        <v>2019</v>
      </c>
      <c r="B493" t="s">
        <v>45</v>
      </c>
      <c r="C493" t="s">
        <v>44</v>
      </c>
      <c r="D493" s="34">
        <f>ROUND(Table1[[#This Row],[Content.Column7]] * 1000, 0)</f>
        <v>11917</v>
      </c>
      <c r="E493" s="34">
        <f>ROUND(Table1[[#This Row],[Content.Column8]] * 1000, 0)</f>
        <v>8198</v>
      </c>
      <c r="F493" s="34">
        <f>ROUND(Table1[[#This Row],[Content.Column9]] * 1000, 0)</f>
        <v>20115</v>
      </c>
      <c r="G493" s="34">
        <f>ROUND(Table1[[#This Row],[Content.Column10]] * 1000, 0)</f>
        <v>20130</v>
      </c>
      <c r="H493" s="32">
        <f>ROUND(Table1[[#This Row],[Content.Column11]] * 1000, 0)</f>
        <v>56215</v>
      </c>
      <c r="I493" s="32">
        <f>ROUND(Table1[[#This Row],[Content.Column12]] * 1000, 0)</f>
        <v>28276</v>
      </c>
      <c r="J493" s="32">
        <f>ROUND(Table1[[#This Row],[Content.Column13]] * 1000, 0)</f>
        <v>84491</v>
      </c>
      <c r="K493" s="32">
        <f>ROUND(Table1[[#This Row],[Content.Column14]] * 1000, 0)</f>
        <v>86647</v>
      </c>
      <c r="L493" s="30">
        <f>ROUND(Table1[[#This Row],[Content.Column3]] * 1000, 0)</f>
        <v>68133</v>
      </c>
      <c r="M493" s="30">
        <f>ROUND(Table1[[#This Row],[Content.Column4]] * 1000, 0)</f>
        <v>36474</v>
      </c>
      <c r="N493" s="30">
        <f>ROUND(Table1[[#This Row],[Content.Column5]] * 1000, 0)</f>
        <v>104607</v>
      </c>
      <c r="O493" s="30">
        <f>ROUND(Table1[[#This Row],[Content.Column6]] * 1000, 0)</f>
        <v>106777</v>
      </c>
      <c r="P493" s="27"/>
      <c r="Q493" s="27"/>
      <c r="R493"/>
      <c r="S493"/>
    </row>
    <row r="494" spans="1:19" x14ac:dyDescent="0.3">
      <c r="A494">
        <v>2019</v>
      </c>
      <c r="B494" t="s">
        <v>47</v>
      </c>
      <c r="C494" t="s">
        <v>46</v>
      </c>
      <c r="D494" s="34">
        <f>ROUND(Table1[[#This Row],[Content.Column7]] * 1000, 0)</f>
        <v>13073</v>
      </c>
      <c r="E494" s="34">
        <f>ROUND(Table1[[#This Row],[Content.Column8]] * 1000, 0)</f>
        <v>9145</v>
      </c>
      <c r="F494" s="34">
        <f>ROUND(Table1[[#This Row],[Content.Column9]] * 1000, 0)</f>
        <v>22218</v>
      </c>
      <c r="G494" s="34">
        <f>ROUND(Table1[[#This Row],[Content.Column10]] * 1000, 0)</f>
        <v>22230</v>
      </c>
      <c r="H494" s="32">
        <f>ROUND(Table1[[#This Row],[Content.Column11]] * 1000, 0)</f>
        <v>39651</v>
      </c>
      <c r="I494" s="32">
        <f>ROUND(Table1[[#This Row],[Content.Column12]] * 1000, 0)</f>
        <v>23744</v>
      </c>
      <c r="J494" s="32">
        <f>ROUND(Table1[[#This Row],[Content.Column13]] * 1000, 0)</f>
        <v>63395</v>
      </c>
      <c r="K494" s="32">
        <f>ROUND(Table1[[#This Row],[Content.Column14]] * 1000, 0)</f>
        <v>64792</v>
      </c>
      <c r="L494" s="30">
        <f>ROUND(Table1[[#This Row],[Content.Column3]] * 1000, 0)</f>
        <v>52724</v>
      </c>
      <c r="M494" s="30">
        <f>ROUND(Table1[[#This Row],[Content.Column4]] * 1000, 0)</f>
        <v>32889</v>
      </c>
      <c r="N494" s="30">
        <f>ROUND(Table1[[#This Row],[Content.Column5]] * 1000, 0)</f>
        <v>85613</v>
      </c>
      <c r="O494" s="30">
        <f>ROUND(Table1[[#This Row],[Content.Column6]] * 1000, 0)</f>
        <v>87022</v>
      </c>
      <c r="P494" s="27"/>
      <c r="Q494" s="27"/>
      <c r="R494"/>
      <c r="S494"/>
    </row>
    <row r="495" spans="1:19" x14ac:dyDescent="0.3">
      <c r="A495">
        <v>2019</v>
      </c>
      <c r="B495" t="s">
        <v>49</v>
      </c>
      <c r="C495" t="s">
        <v>48</v>
      </c>
      <c r="D495" s="34">
        <f>ROUND(Table1[[#This Row],[Content.Column7]] * 1000, 0)</f>
        <v>13845</v>
      </c>
      <c r="E495" s="34">
        <f>ROUND(Table1[[#This Row],[Content.Column8]] * 1000, 0)</f>
        <v>4008</v>
      </c>
      <c r="F495" s="34">
        <f>ROUND(Table1[[#This Row],[Content.Column9]] * 1000, 0)</f>
        <v>17853</v>
      </c>
      <c r="G495" s="34">
        <f>ROUND(Table1[[#This Row],[Content.Column10]] * 1000, 0)</f>
        <v>17882</v>
      </c>
      <c r="H495" s="32">
        <f>ROUND(Table1[[#This Row],[Content.Column11]] * 1000, 0)</f>
        <v>83091</v>
      </c>
      <c r="I495" s="32">
        <f>ROUND(Table1[[#This Row],[Content.Column12]] * 1000, 0)</f>
        <v>29568</v>
      </c>
      <c r="J495" s="32">
        <f>ROUND(Table1[[#This Row],[Content.Column13]] * 1000, 0)</f>
        <v>112659</v>
      </c>
      <c r="K495" s="32">
        <f>ROUND(Table1[[#This Row],[Content.Column14]] * 1000, 0)</f>
        <v>115490</v>
      </c>
      <c r="L495" s="30">
        <f>ROUND(Table1[[#This Row],[Content.Column3]] * 1000, 0)</f>
        <v>96935</v>
      </c>
      <c r="M495" s="30">
        <f>ROUND(Table1[[#This Row],[Content.Column4]] * 1000, 0)</f>
        <v>33576</v>
      </c>
      <c r="N495" s="30">
        <f>ROUND(Table1[[#This Row],[Content.Column5]] * 1000, 0)</f>
        <v>130512</v>
      </c>
      <c r="O495" s="30">
        <f>ROUND(Table1[[#This Row],[Content.Column6]] * 1000, 0)</f>
        <v>133372</v>
      </c>
      <c r="P495" s="27"/>
      <c r="Q495" s="27"/>
      <c r="R495"/>
      <c r="S495"/>
    </row>
    <row r="496" spans="1:19" x14ac:dyDescent="0.3">
      <c r="A496">
        <v>2019</v>
      </c>
      <c r="B496" t="s">
        <v>51</v>
      </c>
      <c r="C496" t="s">
        <v>50</v>
      </c>
      <c r="D496" s="34">
        <f>ROUND(Table1[[#This Row],[Content.Column7]] * 1000, 0)</f>
        <v>18415</v>
      </c>
      <c r="E496" s="34">
        <f>ROUND(Table1[[#This Row],[Content.Column8]] * 1000, 0)</f>
        <v>3318</v>
      </c>
      <c r="F496" s="34">
        <f>ROUND(Table1[[#This Row],[Content.Column9]] * 1000, 0)</f>
        <v>21733</v>
      </c>
      <c r="G496" s="34">
        <f>ROUND(Table1[[#This Row],[Content.Column10]] * 1000, 0)</f>
        <v>21829</v>
      </c>
      <c r="H496" s="32">
        <f>ROUND(Table1[[#This Row],[Content.Column11]] * 1000, 0)</f>
        <v>80973</v>
      </c>
      <c r="I496" s="32">
        <f>ROUND(Table1[[#This Row],[Content.Column12]] * 1000, 0)</f>
        <v>33859</v>
      </c>
      <c r="J496" s="32">
        <f>ROUND(Table1[[#This Row],[Content.Column13]] * 1000, 0)</f>
        <v>114832</v>
      </c>
      <c r="K496" s="32">
        <f>ROUND(Table1[[#This Row],[Content.Column14]] * 1000, 0)</f>
        <v>116629</v>
      </c>
      <c r="L496" s="30">
        <f>ROUND(Table1[[#This Row],[Content.Column3]] * 1000, 0)</f>
        <v>99388</v>
      </c>
      <c r="M496" s="30">
        <f>ROUND(Table1[[#This Row],[Content.Column4]] * 1000, 0)</f>
        <v>37177</v>
      </c>
      <c r="N496" s="30">
        <f>ROUND(Table1[[#This Row],[Content.Column5]] * 1000, 0)</f>
        <v>136565</v>
      </c>
      <c r="O496" s="30">
        <f>ROUND(Table1[[#This Row],[Content.Column6]] * 1000, 0)</f>
        <v>138458</v>
      </c>
      <c r="P496" s="27"/>
      <c r="Q496" s="27"/>
      <c r="R496"/>
      <c r="S496"/>
    </row>
    <row r="497" spans="1:19" x14ac:dyDescent="0.3">
      <c r="A497">
        <v>2019</v>
      </c>
      <c r="B497" t="s">
        <v>53</v>
      </c>
      <c r="C497" t="s">
        <v>52</v>
      </c>
      <c r="D497" s="34">
        <f>ROUND(Table1[[#This Row],[Content.Column7]] * 1000, 0)</f>
        <v>7900</v>
      </c>
      <c r="E497" s="34">
        <f>ROUND(Table1[[#This Row],[Content.Column8]] * 1000, 0)</f>
        <v>3289</v>
      </c>
      <c r="F497" s="34">
        <f>ROUND(Table1[[#This Row],[Content.Column9]] * 1000, 0)</f>
        <v>11189</v>
      </c>
      <c r="G497" s="34">
        <f>ROUND(Table1[[#This Row],[Content.Column10]] * 1000, 0)</f>
        <v>11209</v>
      </c>
      <c r="H497" s="32">
        <f>ROUND(Table1[[#This Row],[Content.Column11]] * 1000, 0)</f>
        <v>35623</v>
      </c>
      <c r="I497" s="32">
        <f>ROUND(Table1[[#This Row],[Content.Column12]] * 1000, 0)</f>
        <v>19554</v>
      </c>
      <c r="J497" s="32">
        <f>ROUND(Table1[[#This Row],[Content.Column13]] * 1000, 0)</f>
        <v>55177</v>
      </c>
      <c r="K497" s="32">
        <f>ROUND(Table1[[#This Row],[Content.Column14]] * 1000, 0)</f>
        <v>57266</v>
      </c>
      <c r="L497" s="30">
        <f>ROUND(Table1[[#This Row],[Content.Column3]] * 1000, 0)</f>
        <v>43523</v>
      </c>
      <c r="M497" s="30">
        <f>ROUND(Table1[[#This Row],[Content.Column4]] * 1000, 0)</f>
        <v>22843</v>
      </c>
      <c r="N497" s="30">
        <f>ROUND(Table1[[#This Row],[Content.Column5]] * 1000, 0)</f>
        <v>66366</v>
      </c>
      <c r="O497" s="30">
        <f>ROUND(Table1[[#This Row],[Content.Column6]] * 1000, 0)</f>
        <v>68475</v>
      </c>
      <c r="P497" s="27"/>
      <c r="Q497" s="27"/>
      <c r="R497"/>
      <c r="S497"/>
    </row>
    <row r="498" spans="1:19" x14ac:dyDescent="0.3">
      <c r="A498">
        <v>2019</v>
      </c>
      <c r="B498" t="s">
        <v>55</v>
      </c>
      <c r="C498" t="s">
        <v>54</v>
      </c>
      <c r="D498" s="34">
        <f>ROUND(Table1[[#This Row],[Content.Column7]] * 1000, 0)</f>
        <v>5868</v>
      </c>
      <c r="E498" s="34">
        <f>ROUND(Table1[[#This Row],[Content.Column8]] * 1000, 0)</f>
        <v>4372</v>
      </c>
      <c r="F498" s="34">
        <f>ROUND(Table1[[#This Row],[Content.Column9]] * 1000, 0)</f>
        <v>10239</v>
      </c>
      <c r="G498" s="34">
        <f>ROUND(Table1[[#This Row],[Content.Column10]] * 1000, 0)</f>
        <v>10245</v>
      </c>
      <c r="H498" s="32">
        <f>ROUND(Table1[[#This Row],[Content.Column11]] * 1000, 0)</f>
        <v>40693</v>
      </c>
      <c r="I498" s="32">
        <f>ROUND(Table1[[#This Row],[Content.Column12]] * 1000, 0)</f>
        <v>19847</v>
      </c>
      <c r="J498" s="32">
        <f>ROUND(Table1[[#This Row],[Content.Column13]] * 1000, 0)</f>
        <v>60541</v>
      </c>
      <c r="K498" s="32">
        <f>ROUND(Table1[[#This Row],[Content.Column14]] * 1000, 0)</f>
        <v>62265</v>
      </c>
      <c r="L498" s="30">
        <f>ROUND(Table1[[#This Row],[Content.Column3]] * 1000, 0)</f>
        <v>46561</v>
      </c>
      <c r="M498" s="30">
        <f>ROUND(Table1[[#This Row],[Content.Column4]] * 1000, 0)</f>
        <v>24219</v>
      </c>
      <c r="N498" s="30">
        <f>ROUND(Table1[[#This Row],[Content.Column5]] * 1000, 0)</f>
        <v>70780</v>
      </c>
      <c r="O498" s="30">
        <f>ROUND(Table1[[#This Row],[Content.Column6]] * 1000, 0)</f>
        <v>72510</v>
      </c>
      <c r="P498" s="27"/>
      <c r="Q498" s="27"/>
      <c r="R498"/>
      <c r="S498"/>
    </row>
    <row r="499" spans="1:19" x14ac:dyDescent="0.3">
      <c r="A499">
        <v>2019</v>
      </c>
      <c r="B499" t="s">
        <v>57</v>
      </c>
      <c r="C499" t="s">
        <v>56</v>
      </c>
      <c r="D499" s="34">
        <f>ROUND(Table1[[#This Row],[Content.Column7]] * 1000, 0)</f>
        <v>10394</v>
      </c>
      <c r="E499" s="34">
        <f>ROUND(Table1[[#This Row],[Content.Column8]] * 1000, 0)</f>
        <v>4296</v>
      </c>
      <c r="F499" s="34">
        <f>ROUND(Table1[[#This Row],[Content.Column9]] * 1000, 0)</f>
        <v>14689</v>
      </c>
      <c r="G499" s="34">
        <f>ROUND(Table1[[#This Row],[Content.Column10]] * 1000, 0)</f>
        <v>14698</v>
      </c>
      <c r="H499" s="32">
        <f>ROUND(Table1[[#This Row],[Content.Column11]] * 1000, 0)</f>
        <v>46632</v>
      </c>
      <c r="I499" s="32">
        <f>ROUND(Table1[[#This Row],[Content.Column12]] * 1000, 0)</f>
        <v>23701</v>
      </c>
      <c r="J499" s="32">
        <f>ROUND(Table1[[#This Row],[Content.Column13]] * 1000, 0)</f>
        <v>70333</v>
      </c>
      <c r="K499" s="32">
        <f>ROUND(Table1[[#This Row],[Content.Column14]] * 1000, 0)</f>
        <v>71998</v>
      </c>
      <c r="L499" s="30">
        <f>ROUND(Table1[[#This Row],[Content.Column3]] * 1000, 0)</f>
        <v>57026</v>
      </c>
      <c r="M499" s="30">
        <f>ROUND(Table1[[#This Row],[Content.Column4]] * 1000, 0)</f>
        <v>27996</v>
      </c>
      <c r="N499" s="30">
        <f>ROUND(Table1[[#This Row],[Content.Column5]] * 1000, 0)</f>
        <v>85022</v>
      </c>
      <c r="O499" s="30">
        <f>ROUND(Table1[[#This Row],[Content.Column6]] * 1000, 0)</f>
        <v>86697</v>
      </c>
      <c r="P499" s="27"/>
      <c r="Q499" s="27"/>
      <c r="R499"/>
      <c r="S499"/>
    </row>
    <row r="500" spans="1:19" x14ac:dyDescent="0.3">
      <c r="A500">
        <v>2019</v>
      </c>
      <c r="B500" t="s">
        <v>59</v>
      </c>
      <c r="C500" t="s">
        <v>58</v>
      </c>
      <c r="D500" s="34">
        <f>ROUND(Table1[[#This Row],[Content.Column7]] * 1000, 0)</f>
        <v>15621</v>
      </c>
      <c r="E500" s="34">
        <f>ROUND(Table1[[#This Row],[Content.Column8]] * 1000, 0)</f>
        <v>8245</v>
      </c>
      <c r="F500" s="34">
        <f>ROUND(Table1[[#This Row],[Content.Column9]] * 1000, 0)</f>
        <v>23866</v>
      </c>
      <c r="G500" s="34">
        <f>ROUND(Table1[[#This Row],[Content.Column10]] * 1000, 0)</f>
        <v>23947</v>
      </c>
      <c r="H500" s="32">
        <f>ROUND(Table1[[#This Row],[Content.Column11]] * 1000, 0)</f>
        <v>124100</v>
      </c>
      <c r="I500" s="32">
        <f>ROUND(Table1[[#This Row],[Content.Column12]] * 1000, 0)</f>
        <v>41028</v>
      </c>
      <c r="J500" s="32">
        <f>ROUND(Table1[[#This Row],[Content.Column13]] * 1000, 0)</f>
        <v>165128</v>
      </c>
      <c r="K500" s="32">
        <f>ROUND(Table1[[#This Row],[Content.Column14]] * 1000, 0)</f>
        <v>167167</v>
      </c>
      <c r="L500" s="30">
        <f>ROUND(Table1[[#This Row],[Content.Column3]] * 1000, 0)</f>
        <v>139721</v>
      </c>
      <c r="M500" s="30">
        <f>ROUND(Table1[[#This Row],[Content.Column4]] * 1000, 0)</f>
        <v>49273</v>
      </c>
      <c r="N500" s="30">
        <f>ROUND(Table1[[#This Row],[Content.Column5]] * 1000, 0)</f>
        <v>188994</v>
      </c>
      <c r="O500" s="30">
        <f>ROUND(Table1[[#This Row],[Content.Column6]] * 1000, 0)</f>
        <v>191115</v>
      </c>
      <c r="P500" s="27"/>
      <c r="Q500" s="27"/>
      <c r="R500"/>
      <c r="S500"/>
    </row>
    <row r="501" spans="1:19" x14ac:dyDescent="0.3">
      <c r="A501">
        <v>2019</v>
      </c>
      <c r="B501" t="s">
        <v>61</v>
      </c>
      <c r="C501" t="s">
        <v>60</v>
      </c>
      <c r="D501" s="34">
        <f>ROUND(Table1[[#This Row],[Content.Column7]] * 1000, 0)</f>
        <v>12858</v>
      </c>
      <c r="E501" s="34">
        <f>ROUND(Table1[[#This Row],[Content.Column8]] * 1000, 0)</f>
        <v>4398</v>
      </c>
      <c r="F501" s="34">
        <f>ROUND(Table1[[#This Row],[Content.Column9]] * 1000, 0)</f>
        <v>17256</v>
      </c>
      <c r="G501" s="34">
        <f>ROUND(Table1[[#This Row],[Content.Column10]] * 1000, 0)</f>
        <v>17266</v>
      </c>
      <c r="H501" s="32">
        <f>ROUND(Table1[[#This Row],[Content.Column11]] * 1000, 0)</f>
        <v>107258</v>
      </c>
      <c r="I501" s="32">
        <f>ROUND(Table1[[#This Row],[Content.Column12]] * 1000, 0)</f>
        <v>38254</v>
      </c>
      <c r="J501" s="32">
        <f>ROUND(Table1[[#This Row],[Content.Column13]] * 1000, 0)</f>
        <v>145512</v>
      </c>
      <c r="K501" s="32">
        <f>ROUND(Table1[[#This Row],[Content.Column14]] * 1000, 0)</f>
        <v>147306</v>
      </c>
      <c r="L501" s="30">
        <f>ROUND(Table1[[#This Row],[Content.Column3]] * 1000, 0)</f>
        <v>120116</v>
      </c>
      <c r="M501" s="30">
        <f>ROUND(Table1[[#This Row],[Content.Column4]] * 1000, 0)</f>
        <v>42652</v>
      </c>
      <c r="N501" s="30">
        <f>ROUND(Table1[[#This Row],[Content.Column5]] * 1000, 0)</f>
        <v>162768</v>
      </c>
      <c r="O501" s="30">
        <f>ROUND(Table1[[#This Row],[Content.Column6]] * 1000, 0)</f>
        <v>164572</v>
      </c>
      <c r="P501" s="27"/>
      <c r="Q501" s="27"/>
      <c r="R501"/>
      <c r="S501"/>
    </row>
    <row r="502" spans="1:19" x14ac:dyDescent="0.3">
      <c r="A502">
        <v>2019</v>
      </c>
      <c r="B502" t="s">
        <v>63</v>
      </c>
      <c r="C502" t="s">
        <v>62</v>
      </c>
      <c r="D502" s="34">
        <f>ROUND(Table1[[#This Row],[Content.Column7]] * 1000, 0)</f>
        <v>15891</v>
      </c>
      <c r="E502" s="34">
        <f>ROUND(Table1[[#This Row],[Content.Column8]] * 1000, 0)</f>
        <v>4282</v>
      </c>
      <c r="F502" s="34">
        <f>ROUND(Table1[[#This Row],[Content.Column9]] * 1000, 0)</f>
        <v>20173</v>
      </c>
      <c r="G502" s="34">
        <f>ROUND(Table1[[#This Row],[Content.Column10]] * 1000, 0)</f>
        <v>20185</v>
      </c>
      <c r="H502" s="32">
        <f>ROUND(Table1[[#This Row],[Content.Column11]] * 1000, 0)</f>
        <v>169572</v>
      </c>
      <c r="I502" s="32">
        <f>ROUND(Table1[[#This Row],[Content.Column12]] * 1000, 0)</f>
        <v>44788</v>
      </c>
      <c r="J502" s="32">
        <f>ROUND(Table1[[#This Row],[Content.Column13]] * 1000, 0)</f>
        <v>214360</v>
      </c>
      <c r="K502" s="32">
        <f>ROUND(Table1[[#This Row],[Content.Column14]] * 1000, 0)</f>
        <v>219259</v>
      </c>
      <c r="L502" s="30">
        <f>ROUND(Table1[[#This Row],[Content.Column3]] * 1000, 0)</f>
        <v>185463</v>
      </c>
      <c r="M502" s="30">
        <f>ROUND(Table1[[#This Row],[Content.Column4]] * 1000, 0)</f>
        <v>49070</v>
      </c>
      <c r="N502" s="30">
        <f>ROUND(Table1[[#This Row],[Content.Column5]] * 1000, 0)</f>
        <v>234533</v>
      </c>
      <c r="O502" s="30">
        <f>ROUND(Table1[[#This Row],[Content.Column6]] * 1000, 0)</f>
        <v>239444</v>
      </c>
      <c r="P502" s="27"/>
      <c r="Q502" s="27"/>
      <c r="R502"/>
      <c r="S502"/>
    </row>
    <row r="503" spans="1:19" x14ac:dyDescent="0.3">
      <c r="A503">
        <v>2019</v>
      </c>
      <c r="B503" t="s">
        <v>65</v>
      </c>
      <c r="C503" t="s">
        <v>64</v>
      </c>
      <c r="D503" s="34">
        <f>ROUND(Table1[[#This Row],[Content.Column7]] * 1000, 0)</f>
        <v>15272</v>
      </c>
      <c r="E503" s="34">
        <f>ROUND(Table1[[#This Row],[Content.Column8]] * 1000, 0)</f>
        <v>4189</v>
      </c>
      <c r="F503" s="34">
        <f>ROUND(Table1[[#This Row],[Content.Column9]] * 1000, 0)</f>
        <v>19462</v>
      </c>
      <c r="G503" s="34">
        <f>ROUND(Table1[[#This Row],[Content.Column10]] * 1000, 0)</f>
        <v>19493</v>
      </c>
      <c r="H503" s="32">
        <f>ROUND(Table1[[#This Row],[Content.Column11]] * 1000, 0)</f>
        <v>89304</v>
      </c>
      <c r="I503" s="32">
        <f>ROUND(Table1[[#This Row],[Content.Column12]] * 1000, 0)</f>
        <v>30290</v>
      </c>
      <c r="J503" s="32">
        <f>ROUND(Table1[[#This Row],[Content.Column13]] * 1000, 0)</f>
        <v>119595</v>
      </c>
      <c r="K503" s="32">
        <f>ROUND(Table1[[#This Row],[Content.Column14]] * 1000, 0)</f>
        <v>122393</v>
      </c>
      <c r="L503" s="30">
        <f>ROUND(Table1[[#This Row],[Content.Column3]] * 1000, 0)</f>
        <v>104577</v>
      </c>
      <c r="M503" s="30">
        <f>ROUND(Table1[[#This Row],[Content.Column4]] * 1000, 0)</f>
        <v>34479</v>
      </c>
      <c r="N503" s="30">
        <f>ROUND(Table1[[#This Row],[Content.Column5]] * 1000, 0)</f>
        <v>139056</v>
      </c>
      <c r="O503" s="30">
        <f>ROUND(Table1[[#This Row],[Content.Column6]] * 1000, 0)</f>
        <v>141886</v>
      </c>
      <c r="P503" s="27"/>
      <c r="Q503" s="27"/>
      <c r="R503"/>
      <c r="S503"/>
    </row>
    <row r="504" spans="1:19" x14ac:dyDescent="0.3">
      <c r="A504">
        <v>2019</v>
      </c>
      <c r="B504" t="s">
        <v>67</v>
      </c>
      <c r="C504" t="s">
        <v>66</v>
      </c>
      <c r="D504" s="34">
        <f>ROUND(Table1[[#This Row],[Content.Column7]] * 1000, 0)</f>
        <v>6610</v>
      </c>
      <c r="E504" s="34">
        <f>ROUND(Table1[[#This Row],[Content.Column8]] * 1000, 0)</f>
        <v>4318</v>
      </c>
      <c r="F504" s="34">
        <f>ROUND(Table1[[#This Row],[Content.Column9]] * 1000, 0)</f>
        <v>10927</v>
      </c>
      <c r="G504" s="34">
        <f>ROUND(Table1[[#This Row],[Content.Column10]] * 1000, 0)</f>
        <v>10940</v>
      </c>
      <c r="H504" s="32">
        <f>ROUND(Table1[[#This Row],[Content.Column11]] * 1000, 0)</f>
        <v>41912</v>
      </c>
      <c r="I504" s="32">
        <f>ROUND(Table1[[#This Row],[Content.Column12]] * 1000, 0)</f>
        <v>25274</v>
      </c>
      <c r="J504" s="32">
        <f>ROUND(Table1[[#This Row],[Content.Column13]] * 1000, 0)</f>
        <v>67186</v>
      </c>
      <c r="K504" s="32">
        <f>ROUND(Table1[[#This Row],[Content.Column14]] * 1000, 0)</f>
        <v>68369</v>
      </c>
      <c r="L504" s="30">
        <f>ROUND(Table1[[#This Row],[Content.Column3]] * 1000, 0)</f>
        <v>48522</v>
      </c>
      <c r="M504" s="30">
        <f>ROUND(Table1[[#This Row],[Content.Column4]] * 1000, 0)</f>
        <v>29591</v>
      </c>
      <c r="N504" s="30">
        <f>ROUND(Table1[[#This Row],[Content.Column5]] * 1000, 0)</f>
        <v>78113</v>
      </c>
      <c r="O504" s="30">
        <f>ROUND(Table1[[#This Row],[Content.Column6]] * 1000, 0)</f>
        <v>79309</v>
      </c>
      <c r="P504" s="27"/>
      <c r="Q504" s="27"/>
      <c r="R504"/>
      <c r="S504"/>
    </row>
    <row r="505" spans="1:19" x14ac:dyDescent="0.3">
      <c r="A505">
        <v>2019</v>
      </c>
      <c r="B505" t="s">
        <v>69</v>
      </c>
      <c r="C505" t="s">
        <v>68</v>
      </c>
      <c r="D505" s="34">
        <f>ROUND(Table1[[#This Row],[Content.Column7]] * 1000, 0)</f>
        <v>29291</v>
      </c>
      <c r="E505" s="34">
        <f>ROUND(Table1[[#This Row],[Content.Column8]] * 1000, 0)</f>
        <v>8754</v>
      </c>
      <c r="F505" s="34">
        <f>ROUND(Table1[[#This Row],[Content.Column9]] * 1000, 0)</f>
        <v>38044</v>
      </c>
      <c r="G505" s="34">
        <f>ROUND(Table1[[#This Row],[Content.Column10]] * 1000, 0)</f>
        <v>38072</v>
      </c>
      <c r="H505" s="32">
        <f>ROUND(Table1[[#This Row],[Content.Column11]] * 1000, 0)</f>
        <v>79078</v>
      </c>
      <c r="I505" s="32">
        <f>ROUND(Table1[[#This Row],[Content.Column12]] * 1000, 0)</f>
        <v>33991</v>
      </c>
      <c r="J505" s="32">
        <f>ROUND(Table1[[#This Row],[Content.Column13]] * 1000, 0)</f>
        <v>113070</v>
      </c>
      <c r="K505" s="32">
        <f>ROUND(Table1[[#This Row],[Content.Column14]] * 1000, 0)</f>
        <v>115309</v>
      </c>
      <c r="L505" s="30">
        <f>ROUND(Table1[[#This Row],[Content.Column3]] * 1000, 0)</f>
        <v>108369</v>
      </c>
      <c r="M505" s="30">
        <f>ROUND(Table1[[#This Row],[Content.Column4]] * 1000, 0)</f>
        <v>42745</v>
      </c>
      <c r="N505" s="30">
        <f>ROUND(Table1[[#This Row],[Content.Column5]] * 1000, 0)</f>
        <v>151114</v>
      </c>
      <c r="O505" s="30">
        <f>ROUND(Table1[[#This Row],[Content.Column6]] * 1000, 0)</f>
        <v>153381</v>
      </c>
      <c r="P505" s="27"/>
      <c r="Q505" s="27"/>
      <c r="R505"/>
      <c r="S505"/>
    </row>
    <row r="506" spans="1:19" x14ac:dyDescent="0.3">
      <c r="A506">
        <v>2019</v>
      </c>
      <c r="B506" t="s">
        <v>71</v>
      </c>
      <c r="C506" t="s">
        <v>70</v>
      </c>
      <c r="D506" s="34">
        <f>ROUND(Table1[[#This Row],[Content.Column7]] * 1000, 0)</f>
        <v>9721</v>
      </c>
      <c r="E506" s="34">
        <f>ROUND(Table1[[#This Row],[Content.Column8]] * 1000, 0)</f>
        <v>5807</v>
      </c>
      <c r="F506" s="34">
        <f>ROUND(Table1[[#This Row],[Content.Column9]] * 1000, 0)</f>
        <v>15527</v>
      </c>
      <c r="G506" s="34">
        <f>ROUND(Table1[[#This Row],[Content.Column10]] * 1000, 0)</f>
        <v>15546</v>
      </c>
      <c r="H506" s="32">
        <f>ROUND(Table1[[#This Row],[Content.Column11]] * 1000, 0)</f>
        <v>31395</v>
      </c>
      <c r="I506" s="32">
        <f>ROUND(Table1[[#This Row],[Content.Column12]] * 1000, 0)</f>
        <v>19151</v>
      </c>
      <c r="J506" s="32">
        <f>ROUND(Table1[[#This Row],[Content.Column13]] * 1000, 0)</f>
        <v>50547</v>
      </c>
      <c r="K506" s="32">
        <f>ROUND(Table1[[#This Row],[Content.Column14]] * 1000, 0)</f>
        <v>52002</v>
      </c>
      <c r="L506" s="30">
        <f>ROUND(Table1[[#This Row],[Content.Column3]] * 1000, 0)</f>
        <v>41116</v>
      </c>
      <c r="M506" s="30">
        <f>ROUND(Table1[[#This Row],[Content.Column4]] * 1000, 0)</f>
        <v>24958</v>
      </c>
      <c r="N506" s="30">
        <f>ROUND(Table1[[#This Row],[Content.Column5]] * 1000, 0)</f>
        <v>66074</v>
      </c>
      <c r="O506" s="30">
        <f>ROUND(Table1[[#This Row],[Content.Column6]] * 1000, 0)</f>
        <v>67548</v>
      </c>
      <c r="P506" s="27"/>
      <c r="Q506" s="27"/>
      <c r="R506"/>
      <c r="S506"/>
    </row>
    <row r="507" spans="1:19" x14ac:dyDescent="0.3">
      <c r="A507">
        <v>2019</v>
      </c>
      <c r="B507" t="s">
        <v>73</v>
      </c>
      <c r="C507" t="s">
        <v>72</v>
      </c>
      <c r="D507" s="34">
        <f>ROUND(Table1[[#This Row],[Content.Column7]] * 1000, 0)</f>
        <v>5608</v>
      </c>
      <c r="E507" s="34">
        <f>ROUND(Table1[[#This Row],[Content.Column8]] * 1000, 0)</f>
        <v>2484</v>
      </c>
      <c r="F507" s="34">
        <f>ROUND(Table1[[#This Row],[Content.Column9]] * 1000, 0)</f>
        <v>8092</v>
      </c>
      <c r="G507" s="34">
        <f>ROUND(Table1[[#This Row],[Content.Column10]] * 1000, 0)</f>
        <v>8104</v>
      </c>
      <c r="H507" s="32">
        <f>ROUND(Table1[[#This Row],[Content.Column11]] * 1000, 0)</f>
        <v>49418</v>
      </c>
      <c r="I507" s="32">
        <f>ROUND(Table1[[#This Row],[Content.Column12]] * 1000, 0)</f>
        <v>23029</v>
      </c>
      <c r="J507" s="32">
        <f>ROUND(Table1[[#This Row],[Content.Column13]] * 1000, 0)</f>
        <v>72447</v>
      </c>
      <c r="K507" s="32">
        <f>ROUND(Table1[[#This Row],[Content.Column14]] * 1000, 0)</f>
        <v>73822</v>
      </c>
      <c r="L507" s="30">
        <f>ROUND(Table1[[#This Row],[Content.Column3]] * 1000, 0)</f>
        <v>55026</v>
      </c>
      <c r="M507" s="30">
        <f>ROUND(Table1[[#This Row],[Content.Column4]] * 1000, 0)</f>
        <v>25513</v>
      </c>
      <c r="N507" s="30">
        <f>ROUND(Table1[[#This Row],[Content.Column5]] * 1000, 0)</f>
        <v>80539</v>
      </c>
      <c r="O507" s="30">
        <f>ROUND(Table1[[#This Row],[Content.Column6]] * 1000, 0)</f>
        <v>81926</v>
      </c>
      <c r="P507" s="27"/>
      <c r="Q507" s="27"/>
      <c r="R507"/>
      <c r="S507"/>
    </row>
    <row r="508" spans="1:19" x14ac:dyDescent="0.3">
      <c r="A508">
        <v>2019</v>
      </c>
      <c r="B508" t="s">
        <v>75</v>
      </c>
      <c r="C508" t="s">
        <v>74</v>
      </c>
      <c r="D508" s="34">
        <f>ROUND(Table1[[#This Row],[Content.Column7]] * 1000, 0)</f>
        <v>18678</v>
      </c>
      <c r="E508" s="34">
        <f>ROUND(Table1[[#This Row],[Content.Column8]] * 1000, 0)</f>
        <v>4298</v>
      </c>
      <c r="F508" s="34">
        <f>ROUND(Table1[[#This Row],[Content.Column9]] * 1000, 0)</f>
        <v>22976</v>
      </c>
      <c r="G508" s="34">
        <f>ROUND(Table1[[#This Row],[Content.Column10]] * 1000, 0)</f>
        <v>23025</v>
      </c>
      <c r="H508" s="32">
        <f>ROUND(Table1[[#This Row],[Content.Column11]] * 1000, 0)</f>
        <v>58016</v>
      </c>
      <c r="I508" s="32">
        <f>ROUND(Table1[[#This Row],[Content.Column12]] * 1000, 0)</f>
        <v>30718</v>
      </c>
      <c r="J508" s="32">
        <f>ROUND(Table1[[#This Row],[Content.Column13]] * 1000, 0)</f>
        <v>88735</v>
      </c>
      <c r="K508" s="32">
        <f>ROUND(Table1[[#This Row],[Content.Column14]] * 1000, 0)</f>
        <v>90170</v>
      </c>
      <c r="L508" s="30">
        <f>ROUND(Table1[[#This Row],[Content.Column3]] * 1000, 0)</f>
        <v>76694</v>
      </c>
      <c r="M508" s="30">
        <f>ROUND(Table1[[#This Row],[Content.Column4]] * 1000, 0)</f>
        <v>35016</v>
      </c>
      <c r="N508" s="30">
        <f>ROUND(Table1[[#This Row],[Content.Column5]] * 1000, 0)</f>
        <v>111711</v>
      </c>
      <c r="O508" s="30">
        <f>ROUND(Table1[[#This Row],[Content.Column6]] * 1000, 0)</f>
        <v>113195</v>
      </c>
      <c r="P508" s="27"/>
      <c r="Q508" s="27"/>
      <c r="R508"/>
      <c r="S508"/>
    </row>
    <row r="509" spans="1:19" x14ac:dyDescent="0.3">
      <c r="A509">
        <v>2019</v>
      </c>
      <c r="B509" t="s">
        <v>77</v>
      </c>
      <c r="C509" t="s">
        <v>76</v>
      </c>
      <c r="D509" s="34">
        <f>ROUND(Table1[[#This Row],[Content.Column7]] * 1000, 0)</f>
        <v>11517</v>
      </c>
      <c r="E509" s="34">
        <f>ROUND(Table1[[#This Row],[Content.Column8]] * 1000, 0)</f>
        <v>4780</v>
      </c>
      <c r="F509" s="34">
        <f>ROUND(Table1[[#This Row],[Content.Column9]] * 1000, 0)</f>
        <v>16297</v>
      </c>
      <c r="G509" s="34">
        <f>ROUND(Table1[[#This Row],[Content.Column10]] * 1000, 0)</f>
        <v>16307</v>
      </c>
      <c r="H509" s="32">
        <f>ROUND(Table1[[#This Row],[Content.Column11]] * 1000, 0)</f>
        <v>40975</v>
      </c>
      <c r="I509" s="32">
        <f>ROUND(Table1[[#This Row],[Content.Column12]] * 1000, 0)</f>
        <v>21202</v>
      </c>
      <c r="J509" s="32">
        <f>ROUND(Table1[[#This Row],[Content.Column13]] * 1000, 0)</f>
        <v>62177</v>
      </c>
      <c r="K509" s="32">
        <f>ROUND(Table1[[#This Row],[Content.Column14]] * 1000, 0)</f>
        <v>64264</v>
      </c>
      <c r="L509" s="30">
        <f>ROUND(Table1[[#This Row],[Content.Column3]] * 1000, 0)</f>
        <v>52491</v>
      </c>
      <c r="M509" s="30">
        <f>ROUND(Table1[[#This Row],[Content.Column4]] * 1000, 0)</f>
        <v>25982</v>
      </c>
      <c r="N509" s="30">
        <f>ROUND(Table1[[#This Row],[Content.Column5]] * 1000, 0)</f>
        <v>78473</v>
      </c>
      <c r="O509" s="30">
        <f>ROUND(Table1[[#This Row],[Content.Column6]] * 1000, 0)</f>
        <v>80571</v>
      </c>
      <c r="P509" s="27"/>
      <c r="Q509" s="27"/>
      <c r="R509"/>
      <c r="S509"/>
    </row>
    <row r="510" spans="1:19" x14ac:dyDescent="0.3">
      <c r="A510">
        <v>2019</v>
      </c>
      <c r="B510" t="s">
        <v>79</v>
      </c>
      <c r="C510" t="s">
        <v>78</v>
      </c>
      <c r="D510" s="34">
        <f>ROUND(Table1[[#This Row],[Content.Column7]] * 1000, 0)</f>
        <v>6594</v>
      </c>
      <c r="E510" s="34">
        <f>ROUND(Table1[[#This Row],[Content.Column8]] * 1000, 0)</f>
        <v>2986</v>
      </c>
      <c r="F510" s="34">
        <f>ROUND(Table1[[#This Row],[Content.Column9]] * 1000, 0)</f>
        <v>9580</v>
      </c>
      <c r="G510" s="34">
        <f>ROUND(Table1[[#This Row],[Content.Column10]] * 1000, 0)</f>
        <v>9592</v>
      </c>
      <c r="H510" s="32">
        <f>ROUND(Table1[[#This Row],[Content.Column11]] * 1000, 0)</f>
        <v>49608</v>
      </c>
      <c r="I510" s="32">
        <f>ROUND(Table1[[#This Row],[Content.Column12]] * 1000, 0)</f>
        <v>22793</v>
      </c>
      <c r="J510" s="32">
        <f>ROUND(Table1[[#This Row],[Content.Column13]] * 1000, 0)</f>
        <v>72401</v>
      </c>
      <c r="K510" s="32">
        <f>ROUND(Table1[[#This Row],[Content.Column14]] * 1000, 0)</f>
        <v>74366</v>
      </c>
      <c r="L510" s="30">
        <f>ROUND(Table1[[#This Row],[Content.Column3]] * 1000, 0)</f>
        <v>56202</v>
      </c>
      <c r="M510" s="30">
        <f>ROUND(Table1[[#This Row],[Content.Column4]] * 1000, 0)</f>
        <v>25779</v>
      </c>
      <c r="N510" s="30">
        <f>ROUND(Table1[[#This Row],[Content.Column5]] * 1000, 0)</f>
        <v>81981</v>
      </c>
      <c r="O510" s="30">
        <f>ROUND(Table1[[#This Row],[Content.Column6]] * 1000, 0)</f>
        <v>83958</v>
      </c>
      <c r="P510" s="27"/>
      <c r="Q510" s="27"/>
      <c r="R510"/>
      <c r="S510"/>
    </row>
    <row r="511" spans="1:19" x14ac:dyDescent="0.3">
      <c r="A511">
        <v>2019</v>
      </c>
      <c r="B511" t="s">
        <v>81</v>
      </c>
      <c r="C511" t="s">
        <v>80</v>
      </c>
      <c r="D511" s="34">
        <f>ROUND(Table1[[#This Row],[Content.Column7]] * 1000, 0)</f>
        <v>33191</v>
      </c>
      <c r="E511" s="34">
        <f>ROUND(Table1[[#This Row],[Content.Column8]] * 1000, 0)</f>
        <v>7035</v>
      </c>
      <c r="F511" s="34">
        <f>ROUND(Table1[[#This Row],[Content.Column9]] * 1000, 0)</f>
        <v>40226</v>
      </c>
      <c r="G511" s="34">
        <f>ROUND(Table1[[#This Row],[Content.Column10]] * 1000, 0)</f>
        <v>40318</v>
      </c>
      <c r="H511" s="32">
        <f>ROUND(Table1[[#This Row],[Content.Column11]] * 1000, 0)</f>
        <v>162080</v>
      </c>
      <c r="I511" s="32">
        <f>ROUND(Table1[[#This Row],[Content.Column12]] * 1000, 0)</f>
        <v>46529</v>
      </c>
      <c r="J511" s="32">
        <f>ROUND(Table1[[#This Row],[Content.Column13]] * 1000, 0)</f>
        <v>208609</v>
      </c>
      <c r="K511" s="32">
        <f>ROUND(Table1[[#This Row],[Content.Column14]] * 1000, 0)</f>
        <v>213483</v>
      </c>
      <c r="L511" s="30">
        <f>ROUND(Table1[[#This Row],[Content.Column3]] * 1000, 0)</f>
        <v>195270</v>
      </c>
      <c r="M511" s="30">
        <f>ROUND(Table1[[#This Row],[Content.Column4]] * 1000, 0)</f>
        <v>53564</v>
      </c>
      <c r="N511" s="30">
        <f>ROUND(Table1[[#This Row],[Content.Column5]] * 1000, 0)</f>
        <v>248834</v>
      </c>
      <c r="O511" s="30">
        <f>ROUND(Table1[[#This Row],[Content.Column6]] * 1000, 0)</f>
        <v>253800</v>
      </c>
      <c r="P511" s="27"/>
      <c r="Q511" s="27"/>
      <c r="R511"/>
      <c r="S511"/>
    </row>
    <row r="512" spans="1:19" x14ac:dyDescent="0.3">
      <c r="A512">
        <v>2019</v>
      </c>
      <c r="B512" t="s">
        <v>83</v>
      </c>
      <c r="C512" t="s">
        <v>82</v>
      </c>
      <c r="D512" s="34">
        <f>ROUND(Table1[[#This Row],[Content.Column7]] * 1000, 0)</f>
        <v>8983</v>
      </c>
      <c r="E512" s="34">
        <f>ROUND(Table1[[#This Row],[Content.Column8]] * 1000, 0)</f>
        <v>5311</v>
      </c>
      <c r="F512" s="34">
        <f>ROUND(Table1[[#This Row],[Content.Column9]] * 1000, 0)</f>
        <v>14294</v>
      </c>
      <c r="G512" s="34">
        <f>ROUND(Table1[[#This Row],[Content.Column10]] * 1000, 0)</f>
        <v>14323</v>
      </c>
      <c r="H512" s="32">
        <f>ROUND(Table1[[#This Row],[Content.Column11]] * 1000, 0)</f>
        <v>36008</v>
      </c>
      <c r="I512" s="32">
        <f>ROUND(Table1[[#This Row],[Content.Column12]] * 1000, 0)</f>
        <v>20371</v>
      </c>
      <c r="J512" s="32">
        <f>ROUND(Table1[[#This Row],[Content.Column13]] * 1000, 0)</f>
        <v>56380</v>
      </c>
      <c r="K512" s="32">
        <f>ROUND(Table1[[#This Row],[Content.Column14]] * 1000, 0)</f>
        <v>57886</v>
      </c>
      <c r="L512" s="30">
        <f>ROUND(Table1[[#This Row],[Content.Column3]] * 1000, 0)</f>
        <v>44991</v>
      </c>
      <c r="M512" s="30">
        <f>ROUND(Table1[[#This Row],[Content.Column4]] * 1000, 0)</f>
        <v>25682</v>
      </c>
      <c r="N512" s="30">
        <f>ROUND(Table1[[#This Row],[Content.Column5]] * 1000, 0)</f>
        <v>70674</v>
      </c>
      <c r="O512" s="30">
        <f>ROUND(Table1[[#This Row],[Content.Column6]] * 1000, 0)</f>
        <v>72209</v>
      </c>
      <c r="P512" s="27"/>
      <c r="Q512" s="27"/>
      <c r="R512"/>
      <c r="S512"/>
    </row>
    <row r="513" spans="1:19" x14ac:dyDescent="0.3">
      <c r="A513">
        <v>2019</v>
      </c>
      <c r="B513" t="s">
        <v>85</v>
      </c>
      <c r="C513" t="s">
        <v>84</v>
      </c>
      <c r="D513" s="34">
        <f>ROUND(Table1[[#This Row],[Content.Column7]] * 1000, 0)</f>
        <v>34793</v>
      </c>
      <c r="E513" s="34">
        <f>ROUND(Table1[[#This Row],[Content.Column8]] * 1000, 0)</f>
        <v>18190</v>
      </c>
      <c r="F513" s="34">
        <f>ROUND(Table1[[#This Row],[Content.Column9]] * 1000, 0)</f>
        <v>52983</v>
      </c>
      <c r="G513" s="34">
        <f>ROUND(Table1[[#This Row],[Content.Column10]] * 1000, 0)</f>
        <v>53008</v>
      </c>
      <c r="H513" s="32">
        <f>ROUND(Table1[[#This Row],[Content.Column11]] * 1000, 0)</f>
        <v>203807</v>
      </c>
      <c r="I513" s="32">
        <f>ROUND(Table1[[#This Row],[Content.Column12]] * 1000, 0)</f>
        <v>47909</v>
      </c>
      <c r="J513" s="32">
        <f>ROUND(Table1[[#This Row],[Content.Column13]] * 1000, 0)</f>
        <v>251717</v>
      </c>
      <c r="K513" s="32">
        <f>ROUND(Table1[[#This Row],[Content.Column14]] * 1000, 0)</f>
        <v>256161</v>
      </c>
      <c r="L513" s="30">
        <f>ROUND(Table1[[#This Row],[Content.Column3]] * 1000, 0)</f>
        <v>238600</v>
      </c>
      <c r="M513" s="30">
        <f>ROUND(Table1[[#This Row],[Content.Column4]] * 1000, 0)</f>
        <v>66100</v>
      </c>
      <c r="N513" s="30">
        <f>ROUND(Table1[[#This Row],[Content.Column5]] * 1000, 0)</f>
        <v>304700</v>
      </c>
      <c r="O513" s="30">
        <f>ROUND(Table1[[#This Row],[Content.Column6]] * 1000, 0)</f>
        <v>309169</v>
      </c>
      <c r="P513" s="27"/>
      <c r="Q513" s="27"/>
      <c r="R513"/>
      <c r="S513"/>
    </row>
    <row r="514" spans="1:19" x14ac:dyDescent="0.3">
      <c r="A514">
        <v>2019</v>
      </c>
      <c r="B514" t="s">
        <v>87</v>
      </c>
      <c r="C514" t="s">
        <v>86</v>
      </c>
      <c r="D514" s="34">
        <f>ROUND(Table1[[#This Row],[Content.Column7]] * 1000, 0)</f>
        <v>12494</v>
      </c>
      <c r="E514" s="34">
        <f>ROUND(Table1[[#This Row],[Content.Column8]] * 1000, 0)</f>
        <v>4468</v>
      </c>
      <c r="F514" s="34">
        <f>ROUND(Table1[[#This Row],[Content.Column9]] * 1000, 0)</f>
        <v>16962</v>
      </c>
      <c r="G514" s="34">
        <f>ROUND(Table1[[#This Row],[Content.Column10]] * 1000, 0)</f>
        <v>16980</v>
      </c>
      <c r="H514" s="32">
        <f>ROUND(Table1[[#This Row],[Content.Column11]] * 1000, 0)</f>
        <v>38025</v>
      </c>
      <c r="I514" s="32">
        <f>ROUND(Table1[[#This Row],[Content.Column12]] * 1000, 0)</f>
        <v>17648</v>
      </c>
      <c r="J514" s="32">
        <f>ROUND(Table1[[#This Row],[Content.Column13]] * 1000, 0)</f>
        <v>55673</v>
      </c>
      <c r="K514" s="32">
        <f>ROUND(Table1[[#This Row],[Content.Column14]] * 1000, 0)</f>
        <v>57331</v>
      </c>
      <c r="L514" s="30">
        <f>ROUND(Table1[[#This Row],[Content.Column3]] * 1000, 0)</f>
        <v>50519</v>
      </c>
      <c r="M514" s="30">
        <f>ROUND(Table1[[#This Row],[Content.Column4]] * 1000, 0)</f>
        <v>22116</v>
      </c>
      <c r="N514" s="30">
        <f>ROUND(Table1[[#This Row],[Content.Column5]] * 1000, 0)</f>
        <v>72635</v>
      </c>
      <c r="O514" s="30">
        <f>ROUND(Table1[[#This Row],[Content.Column6]] * 1000, 0)</f>
        <v>74311</v>
      </c>
      <c r="P514" s="27"/>
      <c r="Q514" s="27"/>
      <c r="R514"/>
      <c r="S514"/>
    </row>
    <row r="515" spans="1:19" x14ac:dyDescent="0.3">
      <c r="A515">
        <v>2019</v>
      </c>
      <c r="B515" t="s">
        <v>89</v>
      </c>
      <c r="C515" t="s">
        <v>88</v>
      </c>
      <c r="D515" s="34">
        <f>ROUND(Table1[[#This Row],[Content.Column7]] * 1000, 0)</f>
        <v>18299</v>
      </c>
      <c r="E515" s="34">
        <f>ROUND(Table1[[#This Row],[Content.Column8]] * 1000, 0)</f>
        <v>7617</v>
      </c>
      <c r="F515" s="34">
        <f>ROUND(Table1[[#This Row],[Content.Column9]] * 1000, 0)</f>
        <v>25915</v>
      </c>
      <c r="G515" s="34">
        <f>ROUND(Table1[[#This Row],[Content.Column10]] * 1000, 0)</f>
        <v>25933</v>
      </c>
      <c r="H515" s="32">
        <f>ROUND(Table1[[#This Row],[Content.Column11]] * 1000, 0)</f>
        <v>63287</v>
      </c>
      <c r="I515" s="32">
        <f>ROUND(Table1[[#This Row],[Content.Column12]] * 1000, 0)</f>
        <v>30639</v>
      </c>
      <c r="J515" s="32">
        <f>ROUND(Table1[[#This Row],[Content.Column13]] * 1000, 0)</f>
        <v>93926</v>
      </c>
      <c r="K515" s="32">
        <f>ROUND(Table1[[#This Row],[Content.Column14]] * 1000, 0)</f>
        <v>96170</v>
      </c>
      <c r="L515" s="30">
        <f>ROUND(Table1[[#This Row],[Content.Column3]] * 1000, 0)</f>
        <v>81585</v>
      </c>
      <c r="M515" s="30">
        <f>ROUND(Table1[[#This Row],[Content.Column4]] * 1000, 0)</f>
        <v>38256</v>
      </c>
      <c r="N515" s="30">
        <f>ROUND(Table1[[#This Row],[Content.Column5]] * 1000, 0)</f>
        <v>119842</v>
      </c>
      <c r="O515" s="30">
        <f>ROUND(Table1[[#This Row],[Content.Column6]] * 1000, 0)</f>
        <v>122103</v>
      </c>
      <c r="P515" s="27"/>
      <c r="Q515" s="27"/>
      <c r="R515"/>
      <c r="S515"/>
    </row>
    <row r="516" spans="1:19" x14ac:dyDescent="0.3">
      <c r="A516">
        <v>2019</v>
      </c>
      <c r="B516" t="s">
        <v>91</v>
      </c>
      <c r="C516" t="s">
        <v>90</v>
      </c>
      <c r="D516" s="34">
        <f>ROUND(Table1[[#This Row],[Content.Column7]] * 1000, 0)</f>
        <v>92067</v>
      </c>
      <c r="E516" s="34">
        <f>ROUND(Table1[[#This Row],[Content.Column8]] * 1000, 0)</f>
        <v>11843</v>
      </c>
      <c r="F516" s="34">
        <f>ROUND(Table1[[#This Row],[Content.Column9]] * 1000, 0)</f>
        <v>103911</v>
      </c>
      <c r="G516" s="34">
        <f>ROUND(Table1[[#This Row],[Content.Column10]] * 1000, 0)</f>
        <v>104700</v>
      </c>
      <c r="H516" s="32">
        <f>ROUND(Table1[[#This Row],[Content.Column11]] * 1000, 0)</f>
        <v>487625</v>
      </c>
      <c r="I516" s="32">
        <f>ROUND(Table1[[#This Row],[Content.Column12]] * 1000, 0)</f>
        <v>145171</v>
      </c>
      <c r="J516" s="32">
        <f>ROUND(Table1[[#This Row],[Content.Column13]] * 1000, 0)</f>
        <v>632797</v>
      </c>
      <c r="K516" s="32">
        <f>ROUND(Table1[[#This Row],[Content.Column14]] * 1000, 0)</f>
        <v>651332</v>
      </c>
      <c r="L516" s="30">
        <f>ROUND(Table1[[#This Row],[Content.Column3]] * 1000, 0)</f>
        <v>579693</v>
      </c>
      <c r="M516" s="30">
        <f>ROUND(Table1[[#This Row],[Content.Column4]] * 1000, 0)</f>
        <v>157015</v>
      </c>
      <c r="N516" s="30">
        <f>ROUND(Table1[[#This Row],[Content.Column5]] * 1000, 0)</f>
        <v>736708</v>
      </c>
      <c r="O516" s="30">
        <f>ROUND(Table1[[#This Row],[Content.Column6]] * 1000, 0)</f>
        <v>756031</v>
      </c>
      <c r="P516" s="27"/>
      <c r="Q516" s="27"/>
      <c r="R516"/>
      <c r="S516"/>
    </row>
    <row r="517" spans="1:19" x14ac:dyDescent="0.3">
      <c r="A517">
        <v>2019</v>
      </c>
      <c r="B517" t="s">
        <v>93</v>
      </c>
      <c r="C517" t="s">
        <v>92</v>
      </c>
      <c r="D517" s="34">
        <f>ROUND(Table1[[#This Row],[Content.Column7]] * 1000, 0)</f>
        <v>356971</v>
      </c>
      <c r="E517" s="34">
        <f>ROUND(Table1[[#This Row],[Content.Column8]] * 1000, 0)</f>
        <v>95802</v>
      </c>
      <c r="F517" s="34">
        <f>ROUND(Table1[[#This Row],[Content.Column9]] * 1000, 0)</f>
        <v>452772</v>
      </c>
      <c r="G517" s="34">
        <f>ROUND(Table1[[#This Row],[Content.Column10]] * 1000, 0)</f>
        <v>454045</v>
      </c>
      <c r="H517" s="32">
        <f>ROUND(Table1[[#This Row],[Content.Column11]] * 1000, 0)</f>
        <v>2234907</v>
      </c>
      <c r="I517" s="32">
        <f>ROUND(Table1[[#This Row],[Content.Column12]] * 1000, 0)</f>
        <v>654052</v>
      </c>
      <c r="J517" s="32">
        <f>ROUND(Table1[[#This Row],[Content.Column13]] * 1000, 0)</f>
        <v>2888960</v>
      </c>
      <c r="K517" s="32">
        <f>ROUND(Table1[[#This Row],[Content.Column14]] * 1000, 0)</f>
        <v>2966792</v>
      </c>
      <c r="L517" s="30">
        <f>ROUND(Table1[[#This Row],[Content.Column3]] * 1000, 0)</f>
        <v>2591877</v>
      </c>
      <c r="M517" s="30">
        <f>ROUND(Table1[[#This Row],[Content.Column4]] * 1000, 0)</f>
        <v>749853</v>
      </c>
      <c r="N517" s="30">
        <f>ROUND(Table1[[#This Row],[Content.Column5]] * 1000, 0)</f>
        <v>3341732</v>
      </c>
      <c r="O517" s="30">
        <f>ROUND(Table1[[#This Row],[Content.Column6]] * 1000, 0)</f>
        <v>3420838</v>
      </c>
      <c r="P517" s="27"/>
      <c r="Q517" s="27"/>
      <c r="R517"/>
      <c r="S517"/>
    </row>
    <row r="518" spans="1:19" x14ac:dyDescent="0.3">
      <c r="A518">
        <v>2019</v>
      </c>
      <c r="B518" t="s">
        <v>95</v>
      </c>
      <c r="C518" t="s">
        <v>94</v>
      </c>
      <c r="D518" s="34">
        <f>ROUND(Table1[[#This Row],[Content.Column7]] * 1000, 0)</f>
        <v>201169</v>
      </c>
      <c r="E518" s="34">
        <f>ROUND(Table1[[#This Row],[Content.Column8]] * 1000, 0)</f>
        <v>103919</v>
      </c>
      <c r="F518" s="34">
        <f>ROUND(Table1[[#This Row],[Content.Column9]] * 1000, 0)</f>
        <v>305089</v>
      </c>
      <c r="G518" s="34">
        <f>ROUND(Table1[[#This Row],[Content.Column10]] * 1000, 0)</f>
        <v>305636</v>
      </c>
      <c r="H518" s="32">
        <f>ROUND(Table1[[#This Row],[Content.Column11]] * 1000, 0)</f>
        <v>1098597</v>
      </c>
      <c r="I518" s="32">
        <f>ROUND(Table1[[#This Row],[Content.Column12]] * 1000, 0)</f>
        <v>507586</v>
      </c>
      <c r="J518" s="32">
        <f>ROUND(Table1[[#This Row],[Content.Column13]] * 1000, 0)</f>
        <v>1606184</v>
      </c>
      <c r="K518" s="32">
        <f>ROUND(Table1[[#This Row],[Content.Column14]] * 1000, 0)</f>
        <v>1642322</v>
      </c>
      <c r="L518" s="30">
        <f>ROUND(Table1[[#This Row],[Content.Column3]] * 1000, 0)</f>
        <v>1299766</v>
      </c>
      <c r="M518" s="30">
        <f>ROUND(Table1[[#This Row],[Content.Column4]] * 1000, 0)</f>
        <v>611505</v>
      </c>
      <c r="N518" s="30">
        <f>ROUND(Table1[[#This Row],[Content.Column5]] * 1000, 0)</f>
        <v>1911272</v>
      </c>
      <c r="O518" s="30">
        <f>ROUND(Table1[[#This Row],[Content.Column6]] * 1000, 0)</f>
        <v>1947958</v>
      </c>
      <c r="P518" s="27"/>
      <c r="Q518" s="27"/>
      <c r="R518"/>
      <c r="S518"/>
    </row>
    <row r="519" spans="1:19" x14ac:dyDescent="0.3">
      <c r="A519">
        <v>2019</v>
      </c>
      <c r="B519" t="s">
        <v>97</v>
      </c>
      <c r="C519" t="s">
        <v>96</v>
      </c>
      <c r="D519" s="34">
        <f>ROUND(Table1[[#This Row],[Content.Column7]] * 1000, 0)</f>
        <v>145336</v>
      </c>
      <c r="E519" s="34">
        <f>ROUND(Table1[[#This Row],[Content.Column8]] * 1000, 0)</f>
        <v>82400</v>
      </c>
      <c r="F519" s="34">
        <f>ROUND(Table1[[#This Row],[Content.Column9]] * 1000, 0)</f>
        <v>227736</v>
      </c>
      <c r="G519" s="34">
        <f>ROUND(Table1[[#This Row],[Content.Column10]] * 1000, 0)</f>
        <v>227980</v>
      </c>
      <c r="H519" s="32">
        <f>ROUND(Table1[[#This Row],[Content.Column11]] * 1000, 0)</f>
        <v>562121</v>
      </c>
      <c r="I519" s="32">
        <f>ROUND(Table1[[#This Row],[Content.Column12]] * 1000, 0)</f>
        <v>279317</v>
      </c>
      <c r="J519" s="32">
        <f>ROUND(Table1[[#This Row],[Content.Column13]] * 1000, 0)</f>
        <v>841438</v>
      </c>
      <c r="K519" s="32">
        <f>ROUND(Table1[[#This Row],[Content.Column14]] * 1000, 0)</f>
        <v>873391</v>
      </c>
      <c r="L519" s="30">
        <f>ROUND(Table1[[#This Row],[Content.Column3]] * 1000, 0)</f>
        <v>707456</v>
      </c>
      <c r="M519" s="30">
        <f>ROUND(Table1[[#This Row],[Content.Column4]] * 1000, 0)</f>
        <v>361717</v>
      </c>
      <c r="N519" s="30">
        <f>ROUND(Table1[[#This Row],[Content.Column5]] * 1000, 0)</f>
        <v>1069174</v>
      </c>
      <c r="O519" s="30">
        <f>ROUND(Table1[[#This Row],[Content.Column6]] * 1000, 0)</f>
        <v>1101371</v>
      </c>
      <c r="P519" s="27"/>
      <c r="Q519" s="27"/>
      <c r="R519"/>
      <c r="S519"/>
    </row>
    <row r="520" spans="1:19" x14ac:dyDescent="0.3">
      <c r="A520">
        <v>2019</v>
      </c>
      <c r="B520" t="s">
        <v>99</v>
      </c>
      <c r="C520" t="s">
        <v>98</v>
      </c>
      <c r="D520" s="34">
        <f>ROUND(Table1[[#This Row],[Content.Column7]] * 1000, 0)</f>
        <v>386569</v>
      </c>
      <c r="E520" s="34">
        <f>ROUND(Table1[[#This Row],[Content.Column8]] * 1000, 0)</f>
        <v>228320</v>
      </c>
      <c r="F520" s="34">
        <f>ROUND(Table1[[#This Row],[Content.Column9]] * 1000, 0)</f>
        <v>614888</v>
      </c>
      <c r="G520" s="34">
        <f>ROUND(Table1[[#This Row],[Content.Column10]] * 1000, 0)</f>
        <v>617390</v>
      </c>
      <c r="H520" s="32">
        <f>ROUND(Table1[[#This Row],[Content.Column11]] * 1000, 0)</f>
        <v>1931101</v>
      </c>
      <c r="I520" s="32">
        <f>ROUND(Table1[[#This Row],[Content.Column12]] * 1000, 0)</f>
        <v>856548</v>
      </c>
      <c r="J520" s="32">
        <f>ROUND(Table1[[#This Row],[Content.Column13]] * 1000, 0)</f>
        <v>2787650</v>
      </c>
      <c r="K520" s="32">
        <f>ROUND(Table1[[#This Row],[Content.Column14]] * 1000, 0)</f>
        <v>2880814</v>
      </c>
      <c r="L520" s="30">
        <f>ROUND(Table1[[#This Row],[Content.Column3]] * 1000, 0)</f>
        <v>2317670</v>
      </c>
      <c r="M520" s="30">
        <f>ROUND(Table1[[#This Row],[Content.Column4]] * 1000, 0)</f>
        <v>1084868</v>
      </c>
      <c r="N520" s="30">
        <f>ROUND(Table1[[#This Row],[Content.Column5]] * 1000, 0)</f>
        <v>3402539</v>
      </c>
      <c r="O520" s="30">
        <f>ROUND(Table1[[#This Row],[Content.Column6]] * 1000, 0)</f>
        <v>3498203</v>
      </c>
      <c r="P520" s="27"/>
      <c r="Q520" s="27"/>
      <c r="R520"/>
      <c r="S520"/>
    </row>
    <row r="521" spans="1:19" x14ac:dyDescent="0.3">
      <c r="A521">
        <v>2019</v>
      </c>
      <c r="B521" t="s">
        <v>101</v>
      </c>
      <c r="C521" t="s">
        <v>100</v>
      </c>
      <c r="D521" s="34">
        <f>ROUND(Table1[[#This Row],[Content.Column7]] * 1000, 0)</f>
        <v>274083</v>
      </c>
      <c r="E521" s="34">
        <f>ROUND(Table1[[#This Row],[Content.Column8]] * 1000, 0)</f>
        <v>173943</v>
      </c>
      <c r="F521" s="34">
        <f>ROUND(Table1[[#This Row],[Content.Column9]] * 1000, 0)</f>
        <v>448026</v>
      </c>
      <c r="G521" s="34">
        <f>ROUND(Table1[[#This Row],[Content.Column10]] * 1000, 0)</f>
        <v>448084</v>
      </c>
      <c r="H521" s="32">
        <f>ROUND(Table1[[#This Row],[Content.Column11]] * 1000, 0)</f>
        <v>1321628</v>
      </c>
      <c r="I521" s="32">
        <f>ROUND(Table1[[#This Row],[Content.Column12]] * 1000, 0)</f>
        <v>631404</v>
      </c>
      <c r="J521" s="32">
        <f>ROUND(Table1[[#This Row],[Content.Column13]] * 1000, 0)</f>
        <v>1953032</v>
      </c>
      <c r="K521" s="32">
        <f>ROUND(Table1[[#This Row],[Content.Column14]] * 1000, 0)</f>
        <v>2044179</v>
      </c>
      <c r="L521" s="30">
        <f>ROUND(Table1[[#This Row],[Content.Column3]] * 1000, 0)</f>
        <v>1595711</v>
      </c>
      <c r="M521" s="30">
        <f>ROUND(Table1[[#This Row],[Content.Column4]] * 1000, 0)</f>
        <v>805347</v>
      </c>
      <c r="N521" s="30">
        <f>ROUND(Table1[[#This Row],[Content.Column5]] * 1000, 0)</f>
        <v>2401058</v>
      </c>
      <c r="O521" s="30">
        <f>ROUND(Table1[[#This Row],[Content.Column6]] * 1000, 0)</f>
        <v>2492263</v>
      </c>
      <c r="P521" s="27"/>
      <c r="Q521" s="27"/>
      <c r="R521"/>
      <c r="S521"/>
    </row>
    <row r="522" spans="1:19" x14ac:dyDescent="0.3">
      <c r="A522">
        <v>2019</v>
      </c>
      <c r="B522" t="s">
        <v>103</v>
      </c>
      <c r="C522" t="s">
        <v>102</v>
      </c>
      <c r="D522" s="34">
        <f>ROUND(Table1[[#This Row],[Content.Column7]] * 1000, 0)</f>
        <v>197358</v>
      </c>
      <c r="E522" s="34">
        <f>ROUND(Table1[[#This Row],[Content.Column8]] * 1000, 0)</f>
        <v>139754</v>
      </c>
      <c r="F522" s="34">
        <f>ROUND(Table1[[#This Row],[Content.Column9]] * 1000, 0)</f>
        <v>337112</v>
      </c>
      <c r="G522" s="34">
        <f>ROUND(Table1[[#This Row],[Content.Column10]] * 1000, 0)</f>
        <v>337614</v>
      </c>
      <c r="H522" s="32">
        <f>ROUND(Table1[[#This Row],[Content.Column11]] * 1000, 0)</f>
        <v>1215505</v>
      </c>
      <c r="I522" s="32">
        <f>ROUND(Table1[[#This Row],[Content.Column12]] * 1000, 0)</f>
        <v>536915</v>
      </c>
      <c r="J522" s="32">
        <f>ROUND(Table1[[#This Row],[Content.Column13]] * 1000, 0)</f>
        <v>1752420</v>
      </c>
      <c r="K522" s="32">
        <f>ROUND(Table1[[#This Row],[Content.Column14]] * 1000, 0)</f>
        <v>1830545</v>
      </c>
      <c r="L522" s="30">
        <f>ROUND(Table1[[#This Row],[Content.Column3]] * 1000, 0)</f>
        <v>1412863</v>
      </c>
      <c r="M522" s="30">
        <f>ROUND(Table1[[#This Row],[Content.Column4]] * 1000, 0)</f>
        <v>676670</v>
      </c>
      <c r="N522" s="30">
        <f>ROUND(Table1[[#This Row],[Content.Column5]] * 1000, 0)</f>
        <v>2089532</v>
      </c>
      <c r="O522" s="30">
        <f>ROUND(Table1[[#This Row],[Content.Column6]] * 1000, 0)</f>
        <v>2168159</v>
      </c>
      <c r="P522" s="27"/>
      <c r="Q522" s="27"/>
      <c r="R522"/>
      <c r="S522"/>
    </row>
    <row r="523" spans="1:19" x14ac:dyDescent="0.3">
      <c r="A523">
        <v>2019</v>
      </c>
      <c r="B523" t="s">
        <v>105</v>
      </c>
      <c r="C523" t="s">
        <v>104</v>
      </c>
      <c r="D523" s="34">
        <f>ROUND(Table1[[#This Row],[Content.Column7]] * 1000, 0)</f>
        <v>263165</v>
      </c>
      <c r="E523" s="34">
        <f>ROUND(Table1[[#This Row],[Content.Column8]] * 1000, 0)</f>
        <v>165883</v>
      </c>
      <c r="F523" s="34">
        <f>ROUND(Table1[[#This Row],[Content.Column9]] * 1000, 0)</f>
        <v>429048</v>
      </c>
      <c r="G523" s="34">
        <f>ROUND(Table1[[#This Row],[Content.Column10]] * 1000, 0)</f>
        <v>429739</v>
      </c>
      <c r="H523" s="32">
        <f>ROUND(Table1[[#This Row],[Content.Column11]] * 1000, 0)</f>
        <v>1466548</v>
      </c>
      <c r="I523" s="32">
        <f>ROUND(Table1[[#This Row],[Content.Column12]] * 1000, 0)</f>
        <v>697744</v>
      </c>
      <c r="J523" s="32">
        <f>ROUND(Table1[[#This Row],[Content.Column13]] * 1000, 0)</f>
        <v>2164292</v>
      </c>
      <c r="K523" s="32">
        <f>ROUND(Table1[[#This Row],[Content.Column14]] * 1000, 0)</f>
        <v>2247066</v>
      </c>
      <c r="L523" s="30">
        <f>ROUND(Table1[[#This Row],[Content.Column3]] * 1000, 0)</f>
        <v>1729713</v>
      </c>
      <c r="M523" s="30">
        <f>ROUND(Table1[[#This Row],[Content.Column4]] * 1000, 0)</f>
        <v>863627</v>
      </c>
      <c r="N523" s="30">
        <f>ROUND(Table1[[#This Row],[Content.Column5]] * 1000, 0)</f>
        <v>2593340</v>
      </c>
      <c r="O523" s="30">
        <f>ROUND(Table1[[#This Row],[Content.Column6]] * 1000, 0)</f>
        <v>2676805</v>
      </c>
      <c r="P523" s="27"/>
      <c r="Q523" s="27"/>
      <c r="R523"/>
      <c r="S523"/>
    </row>
    <row r="524" spans="1:19" x14ac:dyDescent="0.3">
      <c r="A524">
        <v>2019</v>
      </c>
      <c r="B524" t="s">
        <v>107</v>
      </c>
      <c r="C524" t="s">
        <v>106</v>
      </c>
      <c r="D524" s="34">
        <f>ROUND(Table1[[#This Row],[Content.Column7]] * 1000, 0)</f>
        <v>246108</v>
      </c>
      <c r="E524" s="34">
        <f>ROUND(Table1[[#This Row],[Content.Column8]] * 1000, 0)</f>
        <v>187338</v>
      </c>
      <c r="F524" s="34">
        <f>ROUND(Table1[[#This Row],[Content.Column9]] * 1000, 0)</f>
        <v>433447</v>
      </c>
      <c r="G524" s="34">
        <f>ROUND(Table1[[#This Row],[Content.Column10]] * 1000, 0)</f>
        <v>433992</v>
      </c>
      <c r="H524" s="32">
        <f>ROUND(Table1[[#This Row],[Content.Column11]] * 1000, 0)</f>
        <v>1584360</v>
      </c>
      <c r="I524" s="32">
        <f>ROUND(Table1[[#This Row],[Content.Column12]] * 1000, 0)</f>
        <v>767599</v>
      </c>
      <c r="J524" s="32">
        <f>ROUND(Table1[[#This Row],[Content.Column13]] * 1000, 0)</f>
        <v>2351958</v>
      </c>
      <c r="K524" s="32">
        <f>ROUND(Table1[[#This Row],[Content.Column14]] * 1000, 0)</f>
        <v>2436689</v>
      </c>
      <c r="L524" s="30">
        <f>ROUND(Table1[[#This Row],[Content.Column3]] * 1000, 0)</f>
        <v>1830469</v>
      </c>
      <c r="M524" s="30">
        <f>ROUND(Table1[[#This Row],[Content.Column4]] * 1000, 0)</f>
        <v>954937</v>
      </c>
      <c r="N524" s="30">
        <f>ROUND(Table1[[#This Row],[Content.Column5]] * 1000, 0)</f>
        <v>2785405</v>
      </c>
      <c r="O524" s="30">
        <f>ROUND(Table1[[#This Row],[Content.Column6]] * 1000, 0)</f>
        <v>2870681</v>
      </c>
      <c r="P524" s="27"/>
      <c r="Q524" s="27"/>
      <c r="R524"/>
      <c r="S524"/>
    </row>
    <row r="525" spans="1:19" x14ac:dyDescent="0.3">
      <c r="A525">
        <v>2019</v>
      </c>
      <c r="B525" t="s">
        <v>109</v>
      </c>
      <c r="C525" t="s">
        <v>108</v>
      </c>
      <c r="D525" s="34">
        <f>ROUND(Table1[[#This Row],[Content.Column7]] * 1000, 0)</f>
        <v>558140</v>
      </c>
      <c r="E525" s="34">
        <f>ROUND(Table1[[#This Row],[Content.Column8]] * 1000, 0)</f>
        <v>199721</v>
      </c>
      <c r="F525" s="34">
        <f>ROUND(Table1[[#This Row],[Content.Column9]] * 1000, 0)</f>
        <v>757861</v>
      </c>
      <c r="G525" s="34">
        <f>ROUND(Table1[[#This Row],[Content.Column10]] * 1000, 0)</f>
        <v>759681</v>
      </c>
      <c r="H525" s="32">
        <f>ROUND(Table1[[#This Row],[Content.Column11]] * 1000, 0)</f>
        <v>3333503</v>
      </c>
      <c r="I525" s="32">
        <f>ROUND(Table1[[#This Row],[Content.Column12]] * 1000, 0)</f>
        <v>1161638</v>
      </c>
      <c r="J525" s="32">
        <f>ROUND(Table1[[#This Row],[Content.Column13]] * 1000, 0)</f>
        <v>4495144</v>
      </c>
      <c r="K525" s="32">
        <f>ROUND(Table1[[#This Row],[Content.Column14]] * 1000, 0)</f>
        <v>4609115</v>
      </c>
      <c r="L525" s="30">
        <f>ROUND(Table1[[#This Row],[Content.Column3]] * 1000, 0)</f>
        <v>3891643</v>
      </c>
      <c r="M525" s="30">
        <f>ROUND(Table1[[#This Row],[Content.Column4]] * 1000, 0)</f>
        <v>1361359</v>
      </c>
      <c r="N525" s="30">
        <f>ROUND(Table1[[#This Row],[Content.Column5]] * 1000, 0)</f>
        <v>5253005</v>
      </c>
      <c r="O525" s="30">
        <f>ROUND(Table1[[#This Row],[Content.Column6]] * 1000, 0)</f>
        <v>5368796</v>
      </c>
      <c r="P525" s="27"/>
      <c r="Q525" s="27"/>
      <c r="R525"/>
      <c r="S525"/>
    </row>
    <row r="526" spans="1:19" x14ac:dyDescent="0.3">
      <c r="A526">
        <v>2019</v>
      </c>
      <c r="B526" t="s">
        <v>111</v>
      </c>
      <c r="C526" t="s">
        <v>110</v>
      </c>
      <c r="D526" s="34">
        <f>ROUND(Table1[[#This Row],[Content.Column7]] * 1000, 0)</f>
        <v>377927</v>
      </c>
      <c r="E526" s="34">
        <f>ROUND(Table1[[#This Row],[Content.Column8]] * 1000, 0)</f>
        <v>228935</v>
      </c>
      <c r="F526" s="34">
        <f>ROUND(Table1[[#This Row],[Content.Column9]] * 1000, 0)</f>
        <v>606863</v>
      </c>
      <c r="G526" s="34">
        <f>ROUND(Table1[[#This Row],[Content.Column10]] * 1000, 0)</f>
        <v>608584</v>
      </c>
      <c r="H526" s="32">
        <f>ROUND(Table1[[#This Row],[Content.Column11]] * 1000, 0)</f>
        <v>2443948</v>
      </c>
      <c r="I526" s="32">
        <f>ROUND(Table1[[#This Row],[Content.Column12]] * 1000, 0)</f>
        <v>1164987</v>
      </c>
      <c r="J526" s="32">
        <f>ROUND(Table1[[#This Row],[Content.Column13]] * 1000, 0)</f>
        <v>3608934</v>
      </c>
      <c r="K526" s="32">
        <f>ROUND(Table1[[#This Row],[Content.Column14]] * 1000, 0)</f>
        <v>3733357</v>
      </c>
      <c r="L526" s="30">
        <f>ROUND(Table1[[#This Row],[Content.Column3]] * 1000, 0)</f>
        <v>2821875</v>
      </c>
      <c r="M526" s="30">
        <f>ROUND(Table1[[#This Row],[Content.Column4]] * 1000, 0)</f>
        <v>1393922</v>
      </c>
      <c r="N526" s="30">
        <f>ROUND(Table1[[#This Row],[Content.Column5]] * 1000, 0)</f>
        <v>4215797</v>
      </c>
      <c r="O526" s="30">
        <f>ROUND(Table1[[#This Row],[Content.Column6]] * 1000, 0)</f>
        <v>4341942</v>
      </c>
      <c r="P526" s="27"/>
      <c r="Q526" s="27"/>
      <c r="R526"/>
      <c r="S526"/>
    </row>
    <row r="527" spans="1:19" x14ac:dyDescent="0.3">
      <c r="A527">
        <v>2019</v>
      </c>
      <c r="B527" t="s">
        <v>113</v>
      </c>
      <c r="C527" t="s">
        <v>112</v>
      </c>
      <c r="D527" s="34">
        <f>ROUND(Table1[[#This Row],[Content.Column7]] * 1000, 0)</f>
        <v>237311</v>
      </c>
      <c r="E527" s="34">
        <f>ROUND(Table1[[#This Row],[Content.Column8]] * 1000, 0)</f>
        <v>167197</v>
      </c>
      <c r="F527" s="34">
        <f>ROUND(Table1[[#This Row],[Content.Column9]] * 1000, 0)</f>
        <v>404508</v>
      </c>
      <c r="G527" s="34">
        <f>ROUND(Table1[[#This Row],[Content.Column10]] * 1000, 0)</f>
        <v>406168</v>
      </c>
      <c r="H527" s="32">
        <f>ROUND(Table1[[#This Row],[Content.Column11]] * 1000, 0)</f>
        <v>1364182</v>
      </c>
      <c r="I527" s="32">
        <f>ROUND(Table1[[#This Row],[Content.Column12]] * 1000, 0)</f>
        <v>728887</v>
      </c>
      <c r="J527" s="32">
        <f>ROUND(Table1[[#This Row],[Content.Column13]] * 1000, 0)</f>
        <v>2093069</v>
      </c>
      <c r="K527" s="32">
        <f>ROUND(Table1[[#This Row],[Content.Column14]] * 1000, 0)</f>
        <v>2229601</v>
      </c>
      <c r="L527" s="30">
        <f>ROUND(Table1[[#This Row],[Content.Column3]] * 1000, 0)</f>
        <v>1601493</v>
      </c>
      <c r="M527" s="30">
        <f>ROUND(Table1[[#This Row],[Content.Column4]] * 1000, 0)</f>
        <v>896084</v>
      </c>
      <c r="N527" s="30">
        <f>ROUND(Table1[[#This Row],[Content.Column5]] * 1000, 0)</f>
        <v>2497577</v>
      </c>
      <c r="O527" s="30">
        <f>ROUND(Table1[[#This Row],[Content.Column6]] * 1000, 0)</f>
        <v>2635769</v>
      </c>
      <c r="P527" s="27"/>
      <c r="Q527" s="27"/>
      <c r="R527"/>
      <c r="S527"/>
    </row>
    <row r="528" spans="1:19" x14ac:dyDescent="0.3">
      <c r="A528">
        <v>2019</v>
      </c>
      <c r="B528" t="s">
        <v>115</v>
      </c>
      <c r="C528" t="s">
        <v>114</v>
      </c>
      <c r="D528" s="34">
        <f>ROUND(Table1[[#This Row],[Content.Column7]] * 1000, 0)</f>
        <v>185966</v>
      </c>
      <c r="E528" s="34">
        <f>ROUND(Table1[[#This Row],[Content.Column8]] * 1000, 0)</f>
        <v>114504</v>
      </c>
      <c r="F528" s="34">
        <f>ROUND(Table1[[#This Row],[Content.Column9]] * 1000, 0)</f>
        <v>300470</v>
      </c>
      <c r="G528" s="34">
        <f>ROUND(Table1[[#This Row],[Content.Column10]] * 1000, 0)</f>
        <v>300601</v>
      </c>
      <c r="H528" s="32">
        <f>ROUND(Table1[[#This Row],[Content.Column11]] * 1000, 0)</f>
        <v>640843</v>
      </c>
      <c r="I528" s="32">
        <f>ROUND(Table1[[#This Row],[Content.Column12]] * 1000, 0)</f>
        <v>327305</v>
      </c>
      <c r="J528" s="32">
        <f>ROUND(Table1[[#This Row],[Content.Column13]] * 1000, 0)</f>
        <v>968148</v>
      </c>
      <c r="K528" s="32">
        <f>ROUND(Table1[[#This Row],[Content.Column14]] * 1000, 0)</f>
        <v>1031180</v>
      </c>
      <c r="L528" s="30">
        <f>ROUND(Table1[[#This Row],[Content.Column3]] * 1000, 0)</f>
        <v>826809</v>
      </c>
      <c r="M528" s="30">
        <f>ROUND(Table1[[#This Row],[Content.Column4]] * 1000, 0)</f>
        <v>441809</v>
      </c>
      <c r="N528" s="30">
        <f>ROUND(Table1[[#This Row],[Content.Column5]] * 1000, 0)</f>
        <v>1268618</v>
      </c>
      <c r="O528" s="30">
        <f>ROUND(Table1[[#This Row],[Content.Column6]] * 1000, 0)</f>
        <v>1331781</v>
      </c>
      <c r="P528" s="27"/>
      <c r="Q528" s="27"/>
      <c r="R528"/>
      <c r="S528"/>
    </row>
    <row r="529" spans="1:19" x14ac:dyDescent="0.3">
      <c r="A529">
        <v>2019</v>
      </c>
      <c r="B529" t="s">
        <v>117</v>
      </c>
      <c r="C529" t="s">
        <v>116</v>
      </c>
      <c r="D529" s="34">
        <f>ROUND(Table1[[#This Row],[Content.Column7]] * 1000, 0)</f>
        <v>356633</v>
      </c>
      <c r="E529" s="34">
        <f>ROUND(Table1[[#This Row],[Content.Column8]] * 1000, 0)</f>
        <v>224475</v>
      </c>
      <c r="F529" s="34">
        <f>ROUND(Table1[[#This Row],[Content.Column9]] * 1000, 0)</f>
        <v>581108</v>
      </c>
      <c r="G529" s="34">
        <f>ROUND(Table1[[#This Row],[Content.Column10]] * 1000, 0)</f>
        <v>581151</v>
      </c>
      <c r="H529" s="32">
        <f>ROUND(Table1[[#This Row],[Content.Column11]] * 1000, 0)</f>
        <v>1296720</v>
      </c>
      <c r="I529" s="32">
        <f>ROUND(Table1[[#This Row],[Content.Column12]] * 1000, 0)</f>
        <v>625120</v>
      </c>
      <c r="J529" s="32">
        <f>ROUND(Table1[[#This Row],[Content.Column13]] * 1000, 0)</f>
        <v>1921841</v>
      </c>
      <c r="K529" s="32">
        <f>ROUND(Table1[[#This Row],[Content.Column14]] * 1000, 0)</f>
        <v>2020649</v>
      </c>
      <c r="L529" s="30">
        <f>ROUND(Table1[[#This Row],[Content.Column3]] * 1000, 0)</f>
        <v>1653354</v>
      </c>
      <c r="M529" s="30">
        <f>ROUND(Table1[[#This Row],[Content.Column4]] * 1000, 0)</f>
        <v>849595</v>
      </c>
      <c r="N529" s="30">
        <f>ROUND(Table1[[#This Row],[Content.Column5]] * 1000, 0)</f>
        <v>2502948</v>
      </c>
      <c r="O529" s="30">
        <f>ROUND(Table1[[#This Row],[Content.Column6]] * 1000, 0)</f>
        <v>2601800</v>
      </c>
      <c r="P529" s="27"/>
      <c r="Q529" s="27"/>
      <c r="R529"/>
      <c r="S529"/>
    </row>
    <row r="530" spans="1:19" x14ac:dyDescent="0.3">
      <c r="A530">
        <v>2019</v>
      </c>
      <c r="B530" t="s">
        <v>119</v>
      </c>
      <c r="C530" t="s">
        <v>118</v>
      </c>
      <c r="D530" s="34">
        <f>ROUND(Table1[[#This Row],[Content.Column7]] * 1000, 0)</f>
        <v>2685997</v>
      </c>
      <c r="E530" s="34">
        <f>ROUND(Table1[[#This Row],[Content.Column8]] * 1000, 0)</f>
        <v>1573492</v>
      </c>
      <c r="F530" s="34">
        <f>ROUND(Table1[[#This Row],[Content.Column9]] * 1000, 0)</f>
        <v>4259489</v>
      </c>
      <c r="G530" s="34">
        <f>ROUND(Table1[[#This Row],[Content.Column10]] * 1000, 0)</f>
        <v>4269232</v>
      </c>
      <c r="H530" s="32">
        <f>ROUND(Table1[[#This Row],[Content.Column11]] * 1000, 0)</f>
        <v>15222896</v>
      </c>
      <c r="I530" s="32">
        <f>ROUND(Table1[[#This Row],[Content.Column12]] * 1000, 0)</f>
        <v>6825040</v>
      </c>
      <c r="J530" s="32">
        <f>ROUND(Table1[[#This Row],[Content.Column13]] * 1000, 0)</f>
        <v>22047937</v>
      </c>
      <c r="K530" s="32">
        <f>ROUND(Table1[[#This Row],[Content.Column14]] * 1000, 0)</f>
        <v>22884758</v>
      </c>
      <c r="L530" s="30">
        <f>ROUND(Table1[[#This Row],[Content.Column3]] * 1000, 0)</f>
        <v>17908893</v>
      </c>
      <c r="M530" s="30">
        <f>ROUND(Table1[[#This Row],[Content.Column4]] * 1000, 0)</f>
        <v>8398532</v>
      </c>
      <c r="N530" s="30">
        <f>ROUND(Table1[[#This Row],[Content.Column5]] * 1000, 0)</f>
        <v>26307426</v>
      </c>
      <c r="O530" s="30">
        <f>ROUND(Table1[[#This Row],[Content.Column6]] * 1000, 0)</f>
        <v>27153990</v>
      </c>
      <c r="P530" s="27"/>
      <c r="Q530" s="27"/>
      <c r="R530"/>
      <c r="S530"/>
    </row>
    <row r="531" spans="1:19" x14ac:dyDescent="0.3">
      <c r="A531">
        <v>2019</v>
      </c>
      <c r="B531" t="s">
        <v>121</v>
      </c>
      <c r="C531" t="s">
        <v>120</v>
      </c>
      <c r="D531" s="34">
        <f>ROUND(Table1[[#This Row],[Content.Column7]] * 1000, 0)</f>
        <v>3228596</v>
      </c>
      <c r="E531" s="34">
        <f>ROUND(Table1[[#This Row],[Content.Column8]] * 1000, 0)</f>
        <v>1912470</v>
      </c>
      <c r="F531" s="34">
        <f>ROUND(Table1[[#This Row],[Content.Column9]] * 1000, 0)</f>
        <v>5141066</v>
      </c>
      <c r="G531" s="34">
        <f>ROUND(Table1[[#This Row],[Content.Column10]] * 1000, 0)</f>
        <v>5150984</v>
      </c>
      <c r="H531" s="32">
        <f>ROUND(Table1[[#This Row],[Content.Column11]] * 1000, 0)</f>
        <v>17160460</v>
      </c>
      <c r="I531" s="32">
        <f>ROUND(Table1[[#This Row],[Content.Column12]] * 1000, 0)</f>
        <v>7777465</v>
      </c>
      <c r="J531" s="32">
        <f>ROUND(Table1[[#This Row],[Content.Column13]] * 1000, 0)</f>
        <v>24937926</v>
      </c>
      <c r="K531" s="32">
        <f>ROUND(Table1[[#This Row],[Content.Column14]] * 1000, 0)</f>
        <v>25936586</v>
      </c>
      <c r="L531" s="30">
        <f>ROUND(Table1[[#This Row],[Content.Column3]] * 1000, 0)</f>
        <v>20389056</v>
      </c>
      <c r="M531" s="30">
        <f>ROUND(Table1[[#This Row],[Content.Column4]] * 1000, 0)</f>
        <v>9689936</v>
      </c>
      <c r="N531" s="30">
        <f>ROUND(Table1[[#This Row],[Content.Column5]] * 1000, 0)</f>
        <v>30078992</v>
      </c>
      <c r="O531" s="30">
        <f>ROUND(Table1[[#This Row],[Content.Column6]] * 1000, 0)</f>
        <v>31087571</v>
      </c>
      <c r="P531" s="27"/>
      <c r="Q531" s="27"/>
      <c r="R531"/>
      <c r="S531"/>
    </row>
    <row r="534" spans="1:19" x14ac:dyDescent="0.3">
      <c r="F534"/>
      <c r="G534"/>
    </row>
    <row r="535" spans="1:19" x14ac:dyDescent="0.3">
      <c r="F535"/>
      <c r="G535"/>
    </row>
    <row r="536" spans="1:19" x14ac:dyDescent="0.3">
      <c r="F536"/>
      <c r="G536"/>
    </row>
    <row r="537" spans="1:19" x14ac:dyDescent="0.3">
      <c r="F537"/>
      <c r="G537"/>
    </row>
    <row r="538" spans="1:19" x14ac:dyDescent="0.3">
      <c r="F538"/>
      <c r="G538"/>
    </row>
    <row r="539" spans="1:19" x14ac:dyDescent="0.3">
      <c r="F539"/>
      <c r="G539"/>
    </row>
    <row r="540" spans="1:19" x14ac:dyDescent="0.3">
      <c r="F540"/>
      <c r="G540"/>
    </row>
    <row r="541" spans="1:19" x14ac:dyDescent="0.3">
      <c r="F541"/>
      <c r="G541"/>
    </row>
    <row r="542" spans="1:19" x14ac:dyDescent="0.3">
      <c r="F542"/>
      <c r="G542"/>
    </row>
    <row r="543" spans="1:19" x14ac:dyDescent="0.3">
      <c r="F543"/>
      <c r="G543"/>
    </row>
    <row r="544" spans="1:19" x14ac:dyDescent="0.3">
      <c r="F544"/>
      <c r="G544"/>
    </row>
    <row r="545" spans="6:7" x14ac:dyDescent="0.3">
      <c r="F545"/>
      <c r="G545"/>
    </row>
    <row r="546" spans="6:7" x14ac:dyDescent="0.3">
      <c r="F546"/>
      <c r="G546"/>
    </row>
    <row r="547" spans="6:7" x14ac:dyDescent="0.3">
      <c r="F547"/>
      <c r="G547"/>
    </row>
    <row r="548" spans="6:7" x14ac:dyDescent="0.3">
      <c r="F548"/>
      <c r="G548"/>
    </row>
    <row r="549" spans="6:7" x14ac:dyDescent="0.3">
      <c r="F549"/>
      <c r="G549"/>
    </row>
    <row r="550" spans="6:7" x14ac:dyDescent="0.3">
      <c r="F550"/>
      <c r="G550"/>
    </row>
    <row r="551" spans="6:7" x14ac:dyDescent="0.3">
      <c r="F551"/>
      <c r="G551"/>
    </row>
    <row r="552" spans="6:7" x14ac:dyDescent="0.3">
      <c r="F552"/>
    </row>
    <row r="553" spans="6:7" x14ac:dyDescent="0.3">
      <c r="F553"/>
    </row>
    <row r="554" spans="6:7" x14ac:dyDescent="0.3">
      <c r="F554"/>
    </row>
    <row r="555" spans="6:7" x14ac:dyDescent="0.3">
      <c r="F555"/>
    </row>
    <row r="556" spans="6:7" x14ac:dyDescent="0.3">
      <c r="F556"/>
    </row>
    <row r="557" spans="6:7" x14ac:dyDescent="0.3">
      <c r="F557"/>
    </row>
    <row r="558" spans="6:7" x14ac:dyDescent="0.3">
      <c r="F558"/>
    </row>
    <row r="559" spans="6:7" x14ac:dyDescent="0.3">
      <c r="F559"/>
    </row>
    <row r="560" spans="6:7" x14ac:dyDescent="0.3">
      <c r="F560"/>
    </row>
    <row r="561" spans="6:6" x14ac:dyDescent="0.3">
      <c r="F561"/>
    </row>
    <row r="562" spans="6:6" x14ac:dyDescent="0.3">
      <c r="F562"/>
    </row>
    <row r="563" spans="6:6" x14ac:dyDescent="0.3">
      <c r="F563"/>
    </row>
    <row r="564" spans="6:6" x14ac:dyDescent="0.3">
      <c r="F564"/>
    </row>
    <row r="565" spans="6:6" x14ac:dyDescent="0.3">
      <c r="F565"/>
    </row>
    <row r="566" spans="6:6" x14ac:dyDescent="0.3">
      <c r="F566"/>
    </row>
    <row r="567" spans="6:6" x14ac:dyDescent="0.3">
      <c r="F567"/>
    </row>
    <row r="568" spans="6:6" x14ac:dyDescent="0.3">
      <c r="F568"/>
    </row>
    <row r="569" spans="6:6" x14ac:dyDescent="0.3">
      <c r="F569"/>
    </row>
    <row r="570" spans="6:6" x14ac:dyDescent="0.3">
      <c r="F570"/>
    </row>
    <row r="571" spans="6:6" x14ac:dyDescent="0.3">
      <c r="F571"/>
    </row>
    <row r="572" spans="6:6" x14ac:dyDescent="0.3">
      <c r="F572"/>
    </row>
    <row r="573" spans="6:6" x14ac:dyDescent="0.3">
      <c r="F573"/>
    </row>
    <row r="574" spans="6:6" x14ac:dyDescent="0.3">
      <c r="F574"/>
    </row>
    <row r="575" spans="6:6" x14ac:dyDescent="0.3">
      <c r="F575"/>
    </row>
    <row r="576" spans="6:6" x14ac:dyDescent="0.3">
      <c r="F576"/>
    </row>
    <row r="577" spans="6:6" x14ac:dyDescent="0.3">
      <c r="F577"/>
    </row>
    <row r="578" spans="6:6" x14ac:dyDescent="0.3">
      <c r="F578"/>
    </row>
    <row r="579" spans="6:6" x14ac:dyDescent="0.3">
      <c r="F579"/>
    </row>
    <row r="580" spans="6:6" x14ac:dyDescent="0.3">
      <c r="F580"/>
    </row>
    <row r="581" spans="6:6" x14ac:dyDescent="0.3">
      <c r="F581"/>
    </row>
    <row r="582" spans="6:6" x14ac:dyDescent="0.3">
      <c r="F582"/>
    </row>
    <row r="583" spans="6:6" x14ac:dyDescent="0.3">
      <c r="F583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2A50-6B4E-415A-AF8C-A010A25FB960}">
  <dimension ref="A3:I531"/>
  <sheetViews>
    <sheetView topLeftCell="B1" workbookViewId="0">
      <selection activeCell="G3" sqref="G3:I7"/>
    </sheetView>
  </sheetViews>
  <sheetFormatPr defaultRowHeight="14.4" x14ac:dyDescent="0.3"/>
  <cols>
    <col min="1" max="1" width="31.44140625" style="24" customWidth="1"/>
    <col min="2" max="2" width="32" style="24" customWidth="1"/>
    <col min="3" max="3" width="26" style="24" customWidth="1"/>
    <col min="4" max="4" width="57.109375" style="24" customWidth="1"/>
    <col min="7" max="7" width="17" customWidth="1"/>
    <col min="8" max="8" width="10.33203125" customWidth="1"/>
    <col min="9" max="9" width="16.33203125" customWidth="1"/>
  </cols>
  <sheetData>
    <row r="3" spans="1:9" x14ac:dyDescent="0.3">
      <c r="A3" s="24" t="s">
        <v>170</v>
      </c>
      <c r="B3" s="24" t="s">
        <v>172</v>
      </c>
      <c r="C3" s="24" t="s">
        <v>171</v>
      </c>
      <c r="D3" s="24" t="s">
        <v>169</v>
      </c>
      <c r="G3" s="17" t="s">
        <v>173</v>
      </c>
      <c r="H3" s="17" t="s">
        <v>174</v>
      </c>
      <c r="I3" s="17" t="s">
        <v>175</v>
      </c>
    </row>
    <row r="4" spans="1:9" x14ac:dyDescent="0.3">
      <c r="A4" s="24" t="str">
        <f>IF(ABS(Table4[[#This Row],[Public_FT_employees]] + Table4[[#This Row],[Public_PT_employees]] - Table4[[#This Row],[Public_Tot_employees]]) &lt; 1, "OK", "Mismatch")</f>
        <v>Mismatch</v>
      </c>
      <c r="B4" s="24" t="str">
        <f>IF(ABS(Table4[[#This Row],[Private_FT_employees]] + Table4[[#This Row],[Private_PT_employees]] - Table4[[#This Row],[Private_Tot_employees]]) &lt; 1, "OK", "Mismatch")</f>
        <v>Mismatch</v>
      </c>
      <c r="C4" s="24" t="str">
        <f>IF(ABS(Table4[[#This Row],[Total_FT_Employees]] + Table4[[#This Row],[Total_PT_Employees]] - Table4[[#This Row],[Total_Tot_employees]]) &lt; 1, "OK", "Mismatch")</f>
        <v>Mismatch</v>
      </c>
      <c r="D4" s="24" t="str">
        <f>IF(ABS(Table4[[#This Row],[Public_Tot_employment]] + Table4[[#This Row],[Private_Tot_employment]] - Table4[[#This Row],[Total_Employment]]) &lt; 1, "OK", "Mismatch")</f>
        <v>Mismatch</v>
      </c>
      <c r="G4" t="s">
        <v>170</v>
      </c>
      <c r="H4">
        <f>COUNTIF(Table5[Public_Tot_emp_validation(PT+FT)], "OK")</f>
        <v>396</v>
      </c>
      <c r="I4">
        <f>COUNTIF(Table5[[#All],[Public_Tot_emp_validation(PT+FT)]], "Mismatch")</f>
        <v>132</v>
      </c>
    </row>
    <row r="5" spans="1:9" x14ac:dyDescent="0.3">
      <c r="A5" s="24" t="str">
        <f>IF(ABS(Table4[[#This Row],[Public_FT_employees]] + Table4[[#This Row],[Public_PT_employees]] - Table4[[#This Row],[Public_Tot_employees]]) &lt; 1, "OK", "Mismatch")</f>
        <v>Mismatch</v>
      </c>
      <c r="B5" s="24" t="str">
        <f>IF(ABS(Table4[[#This Row],[Private_FT_employees]] + Table4[[#This Row],[Private_PT_employees]] - Table4[[#This Row],[Private_Tot_employees]]) &lt; 1, "OK", "Mismatch")</f>
        <v>OK</v>
      </c>
      <c r="C5" s="24" t="str">
        <f>IF(ABS(Table4[[#This Row],[Total_FT_Employees]] + Table4[[#This Row],[Total_PT_Employees]] - Table4[[#This Row],[Total_Tot_employees]]) &lt; 1, "OK", "Mismatch")</f>
        <v>Mismatch</v>
      </c>
      <c r="D5" s="24" t="str">
        <f>IF(ABS(Table4[[#This Row],[Public_Tot_employment]] + Table4[[#This Row],[Private_Tot_employment]] - Table4[[#This Row],[Total_Employment]]) &lt; 1, "OK", "Mismatch")</f>
        <v>OK</v>
      </c>
      <c r="G5" t="s">
        <v>172</v>
      </c>
      <c r="H5">
        <f>COUNTIF(Table5[[#All],[Private_Tot_emp_validation(PT+FT)]], "OK")</f>
        <v>309</v>
      </c>
      <c r="I5">
        <f>COUNTIF(Table5[[#All],[Private_Tot_emp_validation(PT+FT)]], "Mismatch")</f>
        <v>219</v>
      </c>
    </row>
    <row r="6" spans="1:9" x14ac:dyDescent="0.3">
      <c r="A6" s="24" t="str">
        <f>IF(ABS(Table4[[#This Row],[Public_FT_employees]] + Table4[[#This Row],[Public_PT_employees]] - Table4[[#This Row],[Public_Tot_employees]]) &lt; 1, "OK", "Mismatch")</f>
        <v>OK</v>
      </c>
      <c r="B6" s="24" t="str">
        <f>IF(ABS(Table4[[#This Row],[Private_FT_employees]] + Table4[[#This Row],[Private_PT_employees]] - Table4[[#This Row],[Private_Tot_employees]]) &lt; 1, "OK", "Mismatch")</f>
        <v>OK</v>
      </c>
      <c r="C6" s="24" t="str">
        <f>IF(ABS(Table4[[#This Row],[Total_FT_Employees]] + Table4[[#This Row],[Total_PT_Employees]] - Table4[[#This Row],[Total_Tot_employees]]) &lt; 1, "OK", "Mismatch")</f>
        <v>OK</v>
      </c>
      <c r="D6" s="24" t="str">
        <f>IF(ABS(Table4[[#This Row],[Public_Tot_employment]] + Table4[[#This Row],[Private_Tot_employment]] - Table4[[#This Row],[Total_Employment]]) &lt; 1, "OK", "Mismatch")</f>
        <v>OK</v>
      </c>
      <c r="G6" t="s">
        <v>171</v>
      </c>
      <c r="H6">
        <f>COUNTIF(Table5[Total_employees_validation], "OK")</f>
        <v>299</v>
      </c>
      <c r="I6">
        <f>COUNTIF(Table5[Total_employees_validation], "Mismatch")</f>
        <v>229</v>
      </c>
    </row>
    <row r="7" spans="1:9" x14ac:dyDescent="0.3">
      <c r="A7" s="24" t="str">
        <f>IF(ABS(Table4[[#This Row],[Public_FT_employees]] + Table4[[#This Row],[Public_PT_employees]] - Table4[[#This Row],[Public_Tot_employees]]) &lt; 1, "OK", "Mismatch")</f>
        <v>OK</v>
      </c>
      <c r="B7" s="24" t="str">
        <f>IF(ABS(Table4[[#This Row],[Private_FT_employees]] + Table4[[#This Row],[Private_PT_employees]] - Table4[[#This Row],[Private_Tot_employees]]) &lt; 1, "OK", "Mismatch")</f>
        <v>OK</v>
      </c>
      <c r="C7" s="24" t="str">
        <f>IF(ABS(Table4[[#This Row],[Total_FT_Employees]] + Table4[[#This Row],[Total_PT_Employees]] - Table4[[#This Row],[Total_Tot_employees]]) &lt; 1, "OK", "Mismatch")</f>
        <v>OK</v>
      </c>
      <c r="D7" s="24" t="str">
        <f>IF(ABS(Table4[[#This Row],[Public_Tot_employment]] + Table4[[#This Row],[Private_Tot_employment]] - Table4[[#This Row],[Total_Employment]]) &lt; 1, "OK", "Mismatch")</f>
        <v>OK</v>
      </c>
      <c r="G7" t="s">
        <v>169</v>
      </c>
      <c r="H7">
        <f>COUNTIF(Table5[Total employment_Validation(private employment+public employment )], "OK")</f>
        <v>399</v>
      </c>
      <c r="I7">
        <f>COUNTIF(Table5[Total employment_Validation(private employment+public employment )], "Mismatch")</f>
        <v>129</v>
      </c>
    </row>
    <row r="8" spans="1:9" x14ac:dyDescent="0.3">
      <c r="A8" s="24" t="str">
        <f>IF(ABS(Table4[[#This Row],[Public_FT_employees]] + Table4[[#This Row],[Public_PT_employees]] - Table4[[#This Row],[Public_Tot_employees]]) &lt; 1, "OK", "Mismatch")</f>
        <v>OK</v>
      </c>
      <c r="B8" s="24" t="str">
        <f>IF(ABS(Table4[[#This Row],[Private_FT_employees]] + Table4[[#This Row],[Private_PT_employees]] - Table4[[#This Row],[Private_Tot_employees]]) &lt; 1, "OK", "Mismatch")</f>
        <v>OK</v>
      </c>
      <c r="C8" s="24" t="str">
        <f>IF(ABS(Table4[[#This Row],[Total_FT_Employees]] + Table4[[#This Row],[Total_PT_Employees]] - Table4[[#This Row],[Total_Tot_employees]]) &lt; 1, "OK", "Mismatch")</f>
        <v>Mismatch</v>
      </c>
      <c r="D8" s="24" t="str">
        <f>IF(ABS(Table4[[#This Row],[Public_Tot_employment]] + Table4[[#This Row],[Private_Tot_employment]] - Table4[[#This Row],[Total_Employment]]) &lt; 1, "OK", "Mismatch")</f>
        <v>OK</v>
      </c>
    </row>
    <row r="9" spans="1:9" x14ac:dyDescent="0.3">
      <c r="A9" s="24" t="str">
        <f>IF(ABS(Table4[[#This Row],[Public_FT_employees]] + Table4[[#This Row],[Public_PT_employees]] - Table4[[#This Row],[Public_Tot_employees]]) &lt; 1, "OK", "Mismatch")</f>
        <v>Mismatch</v>
      </c>
      <c r="B9" s="24" t="str">
        <f>IF(ABS(Table4[[#This Row],[Private_FT_employees]] + Table4[[#This Row],[Private_PT_employees]] - Table4[[#This Row],[Private_Tot_employees]]) &lt; 1, "OK", "Mismatch")</f>
        <v>Mismatch</v>
      </c>
      <c r="C9" s="24" t="str">
        <f>IF(ABS(Table4[[#This Row],[Total_FT_Employees]] + Table4[[#This Row],[Total_PT_Employees]] - Table4[[#This Row],[Total_Tot_employees]]) &lt; 1, "OK", "Mismatch")</f>
        <v>OK</v>
      </c>
      <c r="D9" s="24" t="str">
        <f>IF(ABS(Table4[[#This Row],[Public_Tot_employment]] + Table4[[#This Row],[Private_Tot_employment]] - Table4[[#This Row],[Total_Employment]]) &lt; 1, "OK", "Mismatch")</f>
        <v>OK</v>
      </c>
    </row>
    <row r="10" spans="1:9" x14ac:dyDescent="0.3">
      <c r="A10" s="24" t="str">
        <f>IF(ABS(Table4[[#This Row],[Public_FT_employees]] + Table4[[#This Row],[Public_PT_employees]] - Table4[[#This Row],[Public_Tot_employees]]) &lt; 1, "OK", "Mismatch")</f>
        <v>OK</v>
      </c>
      <c r="B10" s="24" t="str">
        <f>IF(ABS(Table4[[#This Row],[Private_FT_employees]] + Table4[[#This Row],[Private_PT_employees]] - Table4[[#This Row],[Private_Tot_employees]]) &lt; 1, "OK", "Mismatch")</f>
        <v>Mismatch</v>
      </c>
      <c r="C10" s="24" t="str">
        <f>IF(ABS(Table4[[#This Row],[Total_FT_Employees]] + Table4[[#This Row],[Total_PT_Employees]] - Table4[[#This Row],[Total_Tot_employees]]) &lt; 1, "OK", "Mismatch")</f>
        <v>OK</v>
      </c>
      <c r="D10" s="24" t="str">
        <f>IF(ABS(Table4[[#This Row],[Public_Tot_employment]] + Table4[[#This Row],[Private_Tot_employment]] - Table4[[#This Row],[Total_Employment]]) &lt; 1, "OK", "Mismatch")</f>
        <v>OK</v>
      </c>
    </row>
    <row r="11" spans="1:9" x14ac:dyDescent="0.3">
      <c r="A11" s="24" t="str">
        <f>IF(ABS(Table4[[#This Row],[Public_FT_employees]] + Table4[[#This Row],[Public_PT_employees]] - Table4[[#This Row],[Public_Tot_employees]]) &lt; 1, "OK", "Mismatch")</f>
        <v>OK</v>
      </c>
      <c r="B11" s="24" t="str">
        <f>IF(ABS(Table4[[#This Row],[Private_FT_employees]] + Table4[[#This Row],[Private_PT_employees]] - Table4[[#This Row],[Private_Tot_employees]]) &lt; 1, "OK", "Mismatch")</f>
        <v>Mismatch</v>
      </c>
      <c r="C11" s="24" t="str">
        <f>IF(ABS(Table4[[#This Row],[Total_FT_Employees]] + Table4[[#This Row],[Total_PT_Employees]] - Table4[[#This Row],[Total_Tot_employees]]) &lt; 1, "OK", "Mismatch")</f>
        <v>OK</v>
      </c>
      <c r="D11" s="24" t="str">
        <f>IF(ABS(Table4[[#This Row],[Public_Tot_employment]] + Table4[[#This Row],[Private_Tot_employment]] - Table4[[#This Row],[Total_Employment]]) &lt; 1, "OK", "Mismatch")</f>
        <v>Mismatch</v>
      </c>
    </row>
    <row r="12" spans="1:9" x14ac:dyDescent="0.3">
      <c r="A12" s="24" t="str">
        <f>IF(ABS(Table4[[#This Row],[Public_FT_employees]] + Table4[[#This Row],[Public_PT_employees]] - Table4[[#This Row],[Public_Tot_employees]]) &lt; 1, "OK", "Mismatch")</f>
        <v>Mismatch</v>
      </c>
      <c r="B12" s="24" t="str">
        <f>IF(ABS(Table4[[#This Row],[Private_FT_employees]] + Table4[[#This Row],[Private_PT_employees]] - Table4[[#This Row],[Private_Tot_employees]]) &lt; 1, "OK", "Mismatch")</f>
        <v>OK</v>
      </c>
      <c r="C12" s="24" t="str">
        <f>IF(ABS(Table4[[#This Row],[Total_FT_Employees]] + Table4[[#This Row],[Total_PT_Employees]] - Table4[[#This Row],[Total_Tot_employees]]) &lt; 1, "OK", "Mismatch")</f>
        <v>Mismatch</v>
      </c>
      <c r="D12" s="24" t="str">
        <f>IF(ABS(Table4[[#This Row],[Public_Tot_employment]] + Table4[[#This Row],[Private_Tot_employment]] - Table4[[#This Row],[Total_Employment]]) &lt; 1, "OK", "Mismatch")</f>
        <v>OK</v>
      </c>
    </row>
    <row r="13" spans="1:9" x14ac:dyDescent="0.3">
      <c r="A13" s="24" t="str">
        <f>IF(ABS(Table4[[#This Row],[Public_FT_employees]] + Table4[[#This Row],[Public_PT_employees]] - Table4[[#This Row],[Public_Tot_employees]]) &lt; 1, "OK", "Mismatch")</f>
        <v>OK</v>
      </c>
      <c r="B13" s="24" t="str">
        <f>IF(ABS(Table4[[#This Row],[Private_FT_employees]] + Table4[[#This Row],[Private_PT_employees]] - Table4[[#This Row],[Private_Tot_employees]]) &lt; 1, "OK", "Mismatch")</f>
        <v>OK</v>
      </c>
      <c r="C13" s="24" t="str">
        <f>IF(ABS(Table4[[#This Row],[Total_FT_Employees]] + Table4[[#This Row],[Total_PT_Employees]] - Table4[[#This Row],[Total_Tot_employees]]) &lt; 1, "OK", "Mismatch")</f>
        <v>Mismatch</v>
      </c>
      <c r="D13" s="24" t="str">
        <f>IF(ABS(Table4[[#This Row],[Public_Tot_employment]] + Table4[[#This Row],[Private_Tot_employment]] - Table4[[#This Row],[Total_Employment]]) &lt; 1, "OK", "Mismatch")</f>
        <v>OK</v>
      </c>
    </row>
    <row r="14" spans="1:9" x14ac:dyDescent="0.3">
      <c r="A14" s="24" t="str">
        <f>IF(ABS(Table4[[#This Row],[Public_FT_employees]] + Table4[[#This Row],[Public_PT_employees]] - Table4[[#This Row],[Public_Tot_employees]]) &lt; 1, "OK", "Mismatch")</f>
        <v>OK</v>
      </c>
      <c r="B14" s="24" t="str">
        <f>IF(ABS(Table4[[#This Row],[Private_FT_employees]] + Table4[[#This Row],[Private_PT_employees]] - Table4[[#This Row],[Private_Tot_employees]]) &lt; 1, "OK", "Mismatch")</f>
        <v>Mismatch</v>
      </c>
      <c r="C14" s="24" t="str">
        <f>IF(ABS(Table4[[#This Row],[Total_FT_Employees]] + Table4[[#This Row],[Total_PT_Employees]] - Table4[[#This Row],[Total_Tot_employees]]) &lt; 1, "OK", "Mismatch")</f>
        <v>OK</v>
      </c>
      <c r="D14" s="24" t="str">
        <f>IF(ABS(Table4[[#This Row],[Public_Tot_employment]] + Table4[[#This Row],[Private_Tot_employment]] - Table4[[#This Row],[Total_Employment]]) &lt; 1, "OK", "Mismatch")</f>
        <v>OK</v>
      </c>
    </row>
    <row r="15" spans="1:9" x14ac:dyDescent="0.3">
      <c r="A15" s="24" t="str">
        <f>IF(ABS(Table4[[#This Row],[Public_FT_employees]] + Table4[[#This Row],[Public_PT_employees]] - Table4[[#This Row],[Public_Tot_employees]]) &lt; 1, "OK", "Mismatch")</f>
        <v>OK</v>
      </c>
      <c r="B15" s="24" t="str">
        <f>IF(ABS(Table4[[#This Row],[Private_FT_employees]] + Table4[[#This Row],[Private_PT_employees]] - Table4[[#This Row],[Private_Tot_employees]]) &lt; 1, "OK", "Mismatch")</f>
        <v>OK</v>
      </c>
      <c r="C15" s="24" t="str">
        <f>IF(ABS(Table4[[#This Row],[Total_FT_Employees]] + Table4[[#This Row],[Total_PT_Employees]] - Table4[[#This Row],[Total_Tot_employees]]) &lt; 1, "OK", "Mismatch")</f>
        <v>OK</v>
      </c>
      <c r="D15" s="24" t="str">
        <f>IF(ABS(Table4[[#This Row],[Public_Tot_employment]] + Table4[[#This Row],[Private_Tot_employment]] - Table4[[#This Row],[Total_Employment]]) &lt; 1, "OK", "Mismatch")</f>
        <v>OK</v>
      </c>
    </row>
    <row r="16" spans="1:9" x14ac:dyDescent="0.3">
      <c r="A16" s="24" t="str">
        <f>IF(ABS(Table4[[#This Row],[Public_FT_employees]] + Table4[[#This Row],[Public_PT_employees]] - Table4[[#This Row],[Public_Tot_employees]]) &lt; 1, "OK", "Mismatch")</f>
        <v>OK</v>
      </c>
      <c r="B16" s="24" t="str">
        <f>IF(ABS(Table4[[#This Row],[Private_FT_employees]] + Table4[[#This Row],[Private_PT_employees]] - Table4[[#This Row],[Private_Tot_employees]]) &lt; 1, "OK", "Mismatch")</f>
        <v>OK</v>
      </c>
      <c r="C16" s="24" t="str">
        <f>IF(ABS(Table4[[#This Row],[Total_FT_Employees]] + Table4[[#This Row],[Total_PT_Employees]] - Table4[[#This Row],[Total_Tot_employees]]) &lt; 1, "OK", "Mismatch")</f>
        <v>OK</v>
      </c>
      <c r="D16" s="24" t="str">
        <f>IF(ABS(Table4[[#This Row],[Public_Tot_employment]] + Table4[[#This Row],[Private_Tot_employment]] - Table4[[#This Row],[Total_Employment]]) &lt; 1, "OK", "Mismatch")</f>
        <v>OK</v>
      </c>
    </row>
    <row r="17" spans="1:4" x14ac:dyDescent="0.3">
      <c r="A17" s="24" t="str">
        <f>IF(ABS(Table4[[#This Row],[Public_FT_employees]] + Table4[[#This Row],[Public_PT_employees]] - Table4[[#This Row],[Public_Tot_employees]]) &lt; 1, "OK", "Mismatch")</f>
        <v>OK</v>
      </c>
      <c r="B17" s="24" t="str">
        <f>IF(ABS(Table4[[#This Row],[Private_FT_employees]] + Table4[[#This Row],[Private_PT_employees]] - Table4[[#This Row],[Private_Tot_employees]]) &lt; 1, "OK", "Mismatch")</f>
        <v>OK</v>
      </c>
      <c r="C17" s="24" t="str">
        <f>IF(ABS(Table4[[#This Row],[Total_FT_Employees]] + Table4[[#This Row],[Total_PT_Employees]] - Table4[[#This Row],[Total_Tot_employees]]) &lt; 1, "OK", "Mismatch")</f>
        <v>OK</v>
      </c>
      <c r="D17" s="24" t="str">
        <f>IF(ABS(Table4[[#This Row],[Public_Tot_employment]] + Table4[[#This Row],[Private_Tot_employment]] - Table4[[#This Row],[Total_Employment]]) &lt; 1, "OK", "Mismatch")</f>
        <v>OK</v>
      </c>
    </row>
    <row r="18" spans="1:4" x14ac:dyDescent="0.3">
      <c r="A18" s="24" t="str">
        <f>IF(ABS(Table4[[#This Row],[Public_FT_employees]] + Table4[[#This Row],[Public_PT_employees]] - Table4[[#This Row],[Public_Tot_employees]]) &lt; 1, "OK", "Mismatch")</f>
        <v>OK</v>
      </c>
      <c r="B18" s="24" t="str">
        <f>IF(ABS(Table4[[#This Row],[Private_FT_employees]] + Table4[[#This Row],[Private_PT_employees]] - Table4[[#This Row],[Private_Tot_employees]]) &lt; 1, "OK", "Mismatch")</f>
        <v>OK</v>
      </c>
      <c r="C18" s="24" t="str">
        <f>IF(ABS(Table4[[#This Row],[Total_FT_Employees]] + Table4[[#This Row],[Total_PT_Employees]] - Table4[[#This Row],[Total_Tot_employees]]) &lt; 1, "OK", "Mismatch")</f>
        <v>Mismatch</v>
      </c>
      <c r="D18" s="24" t="str">
        <f>IF(ABS(Table4[[#This Row],[Public_Tot_employment]] + Table4[[#This Row],[Private_Tot_employment]] - Table4[[#This Row],[Total_Employment]]) &lt; 1, "OK", "Mismatch")</f>
        <v>Mismatch</v>
      </c>
    </row>
    <row r="19" spans="1:4" x14ac:dyDescent="0.3">
      <c r="A19" s="24" t="str">
        <f>IF(ABS(Table4[[#This Row],[Public_FT_employees]] + Table4[[#This Row],[Public_PT_employees]] - Table4[[#This Row],[Public_Tot_employees]]) &lt; 1, "OK", "Mismatch")</f>
        <v>OK</v>
      </c>
      <c r="B19" s="24" t="str">
        <f>IF(ABS(Table4[[#This Row],[Private_FT_employees]] + Table4[[#This Row],[Private_PT_employees]] - Table4[[#This Row],[Private_Tot_employees]]) &lt; 1, "OK", "Mismatch")</f>
        <v>OK</v>
      </c>
      <c r="C19" s="24" t="str">
        <f>IF(ABS(Table4[[#This Row],[Total_FT_Employees]] + Table4[[#This Row],[Total_PT_Employees]] - Table4[[#This Row],[Total_Tot_employees]]) &lt; 1, "OK", "Mismatch")</f>
        <v>OK</v>
      </c>
      <c r="D19" s="24" t="str">
        <f>IF(ABS(Table4[[#This Row],[Public_Tot_employment]] + Table4[[#This Row],[Private_Tot_employment]] - Table4[[#This Row],[Total_Employment]]) &lt; 1, "OK", "Mismatch")</f>
        <v>OK</v>
      </c>
    </row>
    <row r="20" spans="1:4" x14ac:dyDescent="0.3">
      <c r="A20" s="24" t="str">
        <f>IF(ABS(Table4[[#This Row],[Public_FT_employees]] + Table4[[#This Row],[Public_PT_employees]] - Table4[[#This Row],[Public_Tot_employees]]) &lt; 1, "OK", "Mismatch")</f>
        <v>OK</v>
      </c>
      <c r="B20" s="24" t="str">
        <f>IF(ABS(Table4[[#This Row],[Private_FT_employees]] + Table4[[#This Row],[Private_PT_employees]] - Table4[[#This Row],[Private_Tot_employees]]) &lt; 1, "OK", "Mismatch")</f>
        <v>Mismatch</v>
      </c>
      <c r="C20" s="24" t="str">
        <f>IF(ABS(Table4[[#This Row],[Total_FT_Employees]] + Table4[[#This Row],[Total_PT_Employees]] - Table4[[#This Row],[Total_Tot_employees]]) &lt; 1, "OK", "Mismatch")</f>
        <v>Mismatch</v>
      </c>
      <c r="D20" s="24" t="str">
        <f>IF(ABS(Table4[[#This Row],[Public_Tot_employment]] + Table4[[#This Row],[Private_Tot_employment]] - Table4[[#This Row],[Total_Employment]]) &lt; 1, "OK", "Mismatch")</f>
        <v>OK</v>
      </c>
    </row>
    <row r="21" spans="1:4" x14ac:dyDescent="0.3">
      <c r="A21" s="24" t="str">
        <f>IF(ABS(Table4[[#This Row],[Public_FT_employees]] + Table4[[#This Row],[Public_PT_employees]] - Table4[[#This Row],[Public_Tot_employees]]) &lt; 1, "OK", "Mismatch")</f>
        <v>OK</v>
      </c>
      <c r="B21" s="24" t="str">
        <f>IF(ABS(Table4[[#This Row],[Private_FT_employees]] + Table4[[#This Row],[Private_PT_employees]] - Table4[[#This Row],[Private_Tot_employees]]) &lt; 1, "OK", "Mismatch")</f>
        <v>Mismatch</v>
      </c>
      <c r="C21" s="24" t="str">
        <f>IF(ABS(Table4[[#This Row],[Total_FT_Employees]] + Table4[[#This Row],[Total_PT_Employees]] - Table4[[#This Row],[Total_Tot_employees]]) &lt; 1, "OK", "Mismatch")</f>
        <v>OK</v>
      </c>
      <c r="D21" s="24" t="str">
        <f>IF(ABS(Table4[[#This Row],[Public_Tot_employment]] + Table4[[#This Row],[Private_Tot_employment]] - Table4[[#This Row],[Total_Employment]]) &lt; 1, "OK", "Mismatch")</f>
        <v>OK</v>
      </c>
    </row>
    <row r="22" spans="1:4" x14ac:dyDescent="0.3">
      <c r="A22" s="24" t="str">
        <f>IF(ABS(Table4[[#This Row],[Public_FT_employees]] + Table4[[#This Row],[Public_PT_employees]] - Table4[[#This Row],[Public_Tot_employees]]) &lt; 1, "OK", "Mismatch")</f>
        <v>OK</v>
      </c>
      <c r="B22" s="24" t="str">
        <f>IF(ABS(Table4[[#This Row],[Private_FT_employees]] + Table4[[#This Row],[Private_PT_employees]] - Table4[[#This Row],[Private_Tot_employees]]) &lt; 1, "OK", "Mismatch")</f>
        <v>OK</v>
      </c>
      <c r="C22" s="24" t="str">
        <f>IF(ABS(Table4[[#This Row],[Total_FT_Employees]] + Table4[[#This Row],[Total_PT_Employees]] - Table4[[#This Row],[Total_Tot_employees]]) &lt; 1, "OK", "Mismatch")</f>
        <v>Mismatch</v>
      </c>
      <c r="D22" s="24" t="str">
        <f>IF(ABS(Table4[[#This Row],[Public_Tot_employment]] + Table4[[#This Row],[Private_Tot_employment]] - Table4[[#This Row],[Total_Employment]]) &lt; 1, "OK", "Mismatch")</f>
        <v>OK</v>
      </c>
    </row>
    <row r="23" spans="1:4" x14ac:dyDescent="0.3">
      <c r="A23" s="24" t="str">
        <f>IF(ABS(Table4[[#This Row],[Public_FT_employees]] + Table4[[#This Row],[Public_PT_employees]] - Table4[[#This Row],[Public_Tot_employees]]) &lt; 1, "OK", "Mismatch")</f>
        <v>Mismatch</v>
      </c>
      <c r="B23" s="24" t="str">
        <f>IF(ABS(Table4[[#This Row],[Private_FT_employees]] + Table4[[#This Row],[Private_PT_employees]] - Table4[[#This Row],[Private_Tot_employees]]) &lt; 1, "OK", "Mismatch")</f>
        <v>OK</v>
      </c>
      <c r="C23" s="24" t="str">
        <f>IF(ABS(Table4[[#This Row],[Total_FT_Employees]] + Table4[[#This Row],[Total_PT_Employees]] - Table4[[#This Row],[Total_Tot_employees]]) &lt; 1, "OK", "Mismatch")</f>
        <v>OK</v>
      </c>
      <c r="D23" s="24" t="str">
        <f>IF(ABS(Table4[[#This Row],[Public_Tot_employment]] + Table4[[#This Row],[Private_Tot_employment]] - Table4[[#This Row],[Total_Employment]]) &lt; 1, "OK", "Mismatch")</f>
        <v>Mismatch</v>
      </c>
    </row>
    <row r="24" spans="1:4" x14ac:dyDescent="0.3">
      <c r="A24" s="24" t="str">
        <f>IF(ABS(Table4[[#This Row],[Public_FT_employees]] + Table4[[#This Row],[Public_PT_employees]] - Table4[[#This Row],[Public_Tot_employees]]) &lt; 1, "OK", "Mismatch")</f>
        <v>OK</v>
      </c>
      <c r="B24" s="24" t="str">
        <f>IF(ABS(Table4[[#This Row],[Private_FT_employees]] + Table4[[#This Row],[Private_PT_employees]] - Table4[[#This Row],[Private_Tot_employees]]) &lt; 1, "OK", "Mismatch")</f>
        <v>OK</v>
      </c>
      <c r="C24" s="24" t="str">
        <f>IF(ABS(Table4[[#This Row],[Total_FT_Employees]] + Table4[[#This Row],[Total_PT_Employees]] - Table4[[#This Row],[Total_Tot_employees]]) &lt; 1, "OK", "Mismatch")</f>
        <v>OK</v>
      </c>
      <c r="D24" s="24" t="str">
        <f>IF(ABS(Table4[[#This Row],[Public_Tot_employment]] + Table4[[#This Row],[Private_Tot_employment]] - Table4[[#This Row],[Total_Employment]]) &lt; 1, "OK", "Mismatch")</f>
        <v>OK</v>
      </c>
    </row>
    <row r="25" spans="1:4" x14ac:dyDescent="0.3">
      <c r="A25" s="24" t="str">
        <f>IF(ABS(Table4[[#This Row],[Public_FT_employees]] + Table4[[#This Row],[Public_PT_employees]] - Table4[[#This Row],[Public_Tot_employees]]) &lt; 1, "OK", "Mismatch")</f>
        <v>OK</v>
      </c>
      <c r="B25" s="24" t="str">
        <f>IF(ABS(Table4[[#This Row],[Private_FT_employees]] + Table4[[#This Row],[Private_PT_employees]] - Table4[[#This Row],[Private_Tot_employees]]) &lt; 1, "OK", "Mismatch")</f>
        <v>OK</v>
      </c>
      <c r="C25" s="24" t="str">
        <f>IF(ABS(Table4[[#This Row],[Total_FT_Employees]] + Table4[[#This Row],[Total_PT_Employees]] - Table4[[#This Row],[Total_Tot_employees]]) &lt; 1, "OK", "Mismatch")</f>
        <v>OK</v>
      </c>
      <c r="D25" s="24" t="str">
        <f>IF(ABS(Table4[[#This Row],[Public_Tot_employment]] + Table4[[#This Row],[Private_Tot_employment]] - Table4[[#This Row],[Total_Employment]]) &lt; 1, "OK", "Mismatch")</f>
        <v>Mismatch</v>
      </c>
    </row>
    <row r="26" spans="1:4" x14ac:dyDescent="0.3">
      <c r="A26" s="24" t="str">
        <f>IF(ABS(Table4[[#This Row],[Public_FT_employees]] + Table4[[#This Row],[Public_PT_employees]] - Table4[[#This Row],[Public_Tot_employees]]) &lt; 1, "OK", "Mismatch")</f>
        <v>OK</v>
      </c>
      <c r="B26" s="24" t="str">
        <f>IF(ABS(Table4[[#This Row],[Private_FT_employees]] + Table4[[#This Row],[Private_PT_employees]] - Table4[[#This Row],[Private_Tot_employees]]) &lt; 1, "OK", "Mismatch")</f>
        <v>OK</v>
      </c>
      <c r="C26" s="24" t="str">
        <f>IF(ABS(Table4[[#This Row],[Total_FT_Employees]] + Table4[[#This Row],[Total_PT_Employees]] - Table4[[#This Row],[Total_Tot_employees]]) &lt; 1, "OK", "Mismatch")</f>
        <v>OK</v>
      </c>
      <c r="D26" s="24" t="str">
        <f>IF(ABS(Table4[[#This Row],[Public_Tot_employment]] + Table4[[#This Row],[Private_Tot_employment]] - Table4[[#This Row],[Total_Employment]]) &lt; 1, "OK", "Mismatch")</f>
        <v>OK</v>
      </c>
    </row>
    <row r="27" spans="1:4" x14ac:dyDescent="0.3">
      <c r="A27" s="24" t="str">
        <f>IF(ABS(Table4[[#This Row],[Public_FT_employees]] + Table4[[#This Row],[Public_PT_employees]] - Table4[[#This Row],[Public_Tot_employees]]) &lt; 1, "OK", "Mismatch")</f>
        <v>OK</v>
      </c>
      <c r="B27" s="24" t="str">
        <f>IF(ABS(Table4[[#This Row],[Private_FT_employees]] + Table4[[#This Row],[Private_PT_employees]] - Table4[[#This Row],[Private_Tot_employees]]) &lt; 1, "OK", "Mismatch")</f>
        <v>Mismatch</v>
      </c>
      <c r="C27" s="24" t="str">
        <f>IF(ABS(Table4[[#This Row],[Total_FT_Employees]] + Table4[[#This Row],[Total_PT_Employees]] - Table4[[#This Row],[Total_Tot_employees]]) &lt; 1, "OK", "Mismatch")</f>
        <v>OK</v>
      </c>
      <c r="D27" s="24" t="str">
        <f>IF(ABS(Table4[[#This Row],[Public_Tot_employment]] + Table4[[#This Row],[Private_Tot_employment]] - Table4[[#This Row],[Total_Employment]]) &lt; 1, "OK", "Mismatch")</f>
        <v>OK</v>
      </c>
    </row>
    <row r="28" spans="1:4" x14ac:dyDescent="0.3">
      <c r="A28" s="24" t="str">
        <f>IF(ABS(Table4[[#This Row],[Public_FT_employees]] + Table4[[#This Row],[Public_PT_employees]] - Table4[[#This Row],[Public_Tot_employees]]) &lt; 1, "OK", "Mismatch")</f>
        <v>OK</v>
      </c>
      <c r="B28" s="24" t="str">
        <f>IF(ABS(Table4[[#This Row],[Private_FT_employees]] + Table4[[#This Row],[Private_PT_employees]] - Table4[[#This Row],[Private_Tot_employees]]) &lt; 1, "OK", "Mismatch")</f>
        <v>OK</v>
      </c>
      <c r="C28" s="24" t="str">
        <f>IF(ABS(Table4[[#This Row],[Total_FT_Employees]] + Table4[[#This Row],[Total_PT_Employees]] - Table4[[#This Row],[Total_Tot_employees]]) &lt; 1, "OK", "Mismatch")</f>
        <v>Mismatch</v>
      </c>
      <c r="D28" s="24" t="str">
        <f>IF(ABS(Table4[[#This Row],[Public_Tot_employment]] + Table4[[#This Row],[Private_Tot_employment]] - Table4[[#This Row],[Total_Employment]]) &lt; 1, "OK", "Mismatch")</f>
        <v>OK</v>
      </c>
    </row>
    <row r="29" spans="1:4" x14ac:dyDescent="0.3">
      <c r="A29" s="24" t="str">
        <f>IF(ABS(Table4[[#This Row],[Public_FT_employees]] + Table4[[#This Row],[Public_PT_employees]] - Table4[[#This Row],[Public_Tot_employees]]) &lt; 1, "OK", "Mismatch")</f>
        <v>OK</v>
      </c>
      <c r="B29" s="24" t="str">
        <f>IF(ABS(Table4[[#This Row],[Private_FT_employees]] + Table4[[#This Row],[Private_PT_employees]] - Table4[[#This Row],[Private_Tot_employees]]) &lt; 1, "OK", "Mismatch")</f>
        <v>Mismatch</v>
      </c>
      <c r="C29" s="24" t="str">
        <f>IF(ABS(Table4[[#This Row],[Total_FT_Employees]] + Table4[[#This Row],[Total_PT_Employees]] - Table4[[#This Row],[Total_Tot_employees]]) &lt; 1, "OK", "Mismatch")</f>
        <v>OK</v>
      </c>
      <c r="D29" s="24" t="str">
        <f>IF(ABS(Table4[[#This Row],[Public_Tot_employment]] + Table4[[#This Row],[Private_Tot_employment]] - Table4[[#This Row],[Total_Employment]]) &lt; 1, "OK", "Mismatch")</f>
        <v>Mismatch</v>
      </c>
    </row>
    <row r="30" spans="1:4" x14ac:dyDescent="0.3">
      <c r="A30" s="24" t="str">
        <f>IF(ABS(Table4[[#This Row],[Public_FT_employees]] + Table4[[#This Row],[Public_PT_employees]] - Table4[[#This Row],[Public_Tot_employees]]) &lt; 1, "OK", "Mismatch")</f>
        <v>OK</v>
      </c>
      <c r="B30" s="24" t="str">
        <f>IF(ABS(Table4[[#This Row],[Private_FT_employees]] + Table4[[#This Row],[Private_PT_employees]] - Table4[[#This Row],[Private_Tot_employees]]) &lt; 1, "OK", "Mismatch")</f>
        <v>OK</v>
      </c>
      <c r="C30" s="24" t="str">
        <f>IF(ABS(Table4[[#This Row],[Total_FT_Employees]] + Table4[[#This Row],[Total_PT_Employees]] - Table4[[#This Row],[Total_Tot_employees]]) &lt; 1, "OK", "Mismatch")</f>
        <v>OK</v>
      </c>
      <c r="D30" s="24" t="str">
        <f>IF(ABS(Table4[[#This Row],[Public_Tot_employment]] + Table4[[#This Row],[Private_Tot_employment]] - Table4[[#This Row],[Total_Employment]]) &lt; 1, "OK", "Mismatch")</f>
        <v>OK</v>
      </c>
    </row>
    <row r="31" spans="1:4" x14ac:dyDescent="0.3">
      <c r="A31" s="24" t="str">
        <f>IF(ABS(Table4[[#This Row],[Public_FT_employees]] + Table4[[#This Row],[Public_PT_employees]] - Table4[[#This Row],[Public_Tot_employees]]) &lt; 1, "OK", "Mismatch")</f>
        <v>OK</v>
      </c>
      <c r="B31" s="24" t="str">
        <f>IF(ABS(Table4[[#This Row],[Private_FT_employees]] + Table4[[#This Row],[Private_PT_employees]] - Table4[[#This Row],[Private_Tot_employees]]) &lt; 1, "OK", "Mismatch")</f>
        <v>OK</v>
      </c>
      <c r="C31" s="24" t="str">
        <f>IF(ABS(Table4[[#This Row],[Total_FT_Employees]] + Table4[[#This Row],[Total_PT_Employees]] - Table4[[#This Row],[Total_Tot_employees]]) &lt; 1, "OK", "Mismatch")</f>
        <v>Mismatch</v>
      </c>
      <c r="D31" s="24" t="str">
        <f>IF(ABS(Table4[[#This Row],[Public_Tot_employment]] + Table4[[#This Row],[Private_Tot_employment]] - Table4[[#This Row],[Total_Employment]]) &lt; 1, "OK", "Mismatch")</f>
        <v>OK</v>
      </c>
    </row>
    <row r="32" spans="1:4" x14ac:dyDescent="0.3">
      <c r="A32" s="24" t="str">
        <f>IF(ABS(Table4[[#This Row],[Public_FT_employees]] + Table4[[#This Row],[Public_PT_employees]] - Table4[[#This Row],[Public_Tot_employees]]) &lt; 1, "OK", "Mismatch")</f>
        <v>OK</v>
      </c>
      <c r="B32" s="24" t="str">
        <f>IF(ABS(Table4[[#This Row],[Private_FT_employees]] + Table4[[#This Row],[Private_PT_employees]] - Table4[[#This Row],[Private_Tot_employees]]) &lt; 1, "OK", "Mismatch")</f>
        <v>OK</v>
      </c>
      <c r="C32" s="24" t="str">
        <f>IF(ABS(Table4[[#This Row],[Total_FT_Employees]] + Table4[[#This Row],[Total_PT_Employees]] - Table4[[#This Row],[Total_Tot_employees]]) &lt; 1, "OK", "Mismatch")</f>
        <v>Mismatch</v>
      </c>
      <c r="D32" s="24" t="str">
        <f>IF(ABS(Table4[[#This Row],[Public_Tot_employment]] + Table4[[#This Row],[Private_Tot_employment]] - Table4[[#This Row],[Total_Employment]]) &lt; 1, "OK", "Mismatch")</f>
        <v>Mismatch</v>
      </c>
    </row>
    <row r="33" spans="1:4" x14ac:dyDescent="0.3">
      <c r="A33" s="24" t="str">
        <f>IF(ABS(Table4[[#This Row],[Public_FT_employees]] + Table4[[#This Row],[Public_PT_employees]] - Table4[[#This Row],[Public_Tot_employees]]) &lt; 1, "OK", "Mismatch")</f>
        <v>OK</v>
      </c>
      <c r="B33" s="24" t="str">
        <f>IF(ABS(Table4[[#This Row],[Private_FT_employees]] + Table4[[#This Row],[Private_PT_employees]] - Table4[[#This Row],[Private_Tot_employees]]) &lt; 1, "OK", "Mismatch")</f>
        <v>OK</v>
      </c>
      <c r="C33" s="24" t="str">
        <f>IF(ABS(Table4[[#This Row],[Total_FT_Employees]] + Table4[[#This Row],[Total_PT_Employees]] - Table4[[#This Row],[Total_Tot_employees]]) &lt; 1, "OK", "Mismatch")</f>
        <v>OK</v>
      </c>
      <c r="D33" s="24" t="str">
        <f>IF(ABS(Table4[[#This Row],[Public_Tot_employment]] + Table4[[#This Row],[Private_Tot_employment]] - Table4[[#This Row],[Total_Employment]]) &lt; 1, "OK", "Mismatch")</f>
        <v>OK</v>
      </c>
    </row>
    <row r="34" spans="1:4" x14ac:dyDescent="0.3">
      <c r="A34" s="24" t="str">
        <f>IF(ABS(Table4[[#This Row],[Public_FT_employees]] + Table4[[#This Row],[Public_PT_employees]] - Table4[[#This Row],[Public_Tot_employees]]) &lt; 1, "OK", "Mismatch")</f>
        <v>OK</v>
      </c>
      <c r="B34" s="24" t="str">
        <f>IF(ABS(Table4[[#This Row],[Private_FT_employees]] + Table4[[#This Row],[Private_PT_employees]] - Table4[[#This Row],[Private_Tot_employees]]) &lt; 1, "OK", "Mismatch")</f>
        <v>OK</v>
      </c>
      <c r="C34" s="24" t="str">
        <f>IF(ABS(Table4[[#This Row],[Total_FT_Employees]] + Table4[[#This Row],[Total_PT_Employees]] - Table4[[#This Row],[Total_Tot_employees]]) &lt; 1, "OK", "Mismatch")</f>
        <v>OK</v>
      </c>
      <c r="D34" s="24" t="str">
        <f>IF(ABS(Table4[[#This Row],[Public_Tot_employment]] + Table4[[#This Row],[Private_Tot_employment]] - Table4[[#This Row],[Total_Employment]]) &lt; 1, "OK", "Mismatch")</f>
        <v>Mismatch</v>
      </c>
    </row>
    <row r="35" spans="1:4" x14ac:dyDescent="0.3">
      <c r="A35" s="24" t="str">
        <f>IF(ABS(Table4[[#This Row],[Public_FT_employees]] + Table4[[#This Row],[Public_PT_employees]] - Table4[[#This Row],[Public_Tot_employees]]) &lt; 1, "OK", "Mismatch")</f>
        <v>OK</v>
      </c>
      <c r="B35" s="24" t="str">
        <f>IF(ABS(Table4[[#This Row],[Private_FT_employees]] + Table4[[#This Row],[Private_PT_employees]] - Table4[[#This Row],[Private_Tot_employees]]) &lt; 1, "OK", "Mismatch")</f>
        <v>OK</v>
      </c>
      <c r="C35" s="24" t="str">
        <f>IF(ABS(Table4[[#This Row],[Total_FT_Employees]] + Table4[[#This Row],[Total_PT_Employees]] - Table4[[#This Row],[Total_Tot_employees]]) &lt; 1, "OK", "Mismatch")</f>
        <v>Mismatch</v>
      </c>
      <c r="D35" s="24" t="str">
        <f>IF(ABS(Table4[[#This Row],[Public_Tot_employment]] + Table4[[#This Row],[Private_Tot_employment]] - Table4[[#This Row],[Total_Employment]]) &lt; 1, "OK", "Mismatch")</f>
        <v>OK</v>
      </c>
    </row>
    <row r="36" spans="1:4" x14ac:dyDescent="0.3">
      <c r="A36" s="24" t="str">
        <f>IF(ABS(Table4[[#This Row],[Public_FT_employees]] + Table4[[#This Row],[Public_PT_employees]] - Table4[[#This Row],[Public_Tot_employees]]) &lt; 1, "OK", "Mismatch")</f>
        <v>OK</v>
      </c>
      <c r="B36" s="24" t="str">
        <f>IF(ABS(Table4[[#This Row],[Private_FT_employees]] + Table4[[#This Row],[Private_PT_employees]] - Table4[[#This Row],[Private_Tot_employees]]) &lt; 1, "OK", "Mismatch")</f>
        <v>OK</v>
      </c>
      <c r="C36" s="24" t="str">
        <f>IF(ABS(Table4[[#This Row],[Total_FT_Employees]] + Table4[[#This Row],[Total_PT_Employees]] - Table4[[#This Row],[Total_Tot_employees]]) &lt; 1, "OK", "Mismatch")</f>
        <v>OK</v>
      </c>
      <c r="D36" s="24" t="str">
        <f>IF(ABS(Table4[[#This Row],[Public_Tot_employment]] + Table4[[#This Row],[Private_Tot_employment]] - Table4[[#This Row],[Total_Employment]]) &lt; 1, "OK", "Mismatch")</f>
        <v>Mismatch</v>
      </c>
    </row>
    <row r="37" spans="1:4" x14ac:dyDescent="0.3">
      <c r="A37" s="24" t="str">
        <f>IF(ABS(Table4[[#This Row],[Public_FT_employees]] + Table4[[#This Row],[Public_PT_employees]] - Table4[[#This Row],[Public_Tot_employees]]) &lt; 1, "OK", "Mismatch")</f>
        <v>OK</v>
      </c>
      <c r="B37" s="24" t="str">
        <f>IF(ABS(Table4[[#This Row],[Private_FT_employees]] + Table4[[#This Row],[Private_PT_employees]] - Table4[[#This Row],[Private_Tot_employees]]) &lt; 1, "OK", "Mismatch")</f>
        <v>Mismatch</v>
      </c>
      <c r="C37" s="24" t="str">
        <f>IF(ABS(Table4[[#This Row],[Total_FT_Employees]] + Table4[[#This Row],[Total_PT_Employees]] - Table4[[#This Row],[Total_Tot_employees]]) &lt; 1, "OK", "Mismatch")</f>
        <v>Mismatch</v>
      </c>
      <c r="D37" s="24" t="str">
        <f>IF(ABS(Table4[[#This Row],[Public_Tot_employment]] + Table4[[#This Row],[Private_Tot_employment]] - Table4[[#This Row],[Total_Employment]]) &lt; 1, "OK", "Mismatch")</f>
        <v>OK</v>
      </c>
    </row>
    <row r="38" spans="1:4" x14ac:dyDescent="0.3">
      <c r="A38" s="24" t="str">
        <f>IF(ABS(Table4[[#This Row],[Public_FT_employees]] + Table4[[#This Row],[Public_PT_employees]] - Table4[[#This Row],[Public_Tot_employees]]) &lt; 1, "OK", "Mismatch")</f>
        <v>OK</v>
      </c>
      <c r="B38" s="24" t="str">
        <f>IF(ABS(Table4[[#This Row],[Private_FT_employees]] + Table4[[#This Row],[Private_PT_employees]] - Table4[[#This Row],[Private_Tot_employees]]) &lt; 1, "OK", "Mismatch")</f>
        <v>Mismatch</v>
      </c>
      <c r="C38" s="24" t="str">
        <f>IF(ABS(Table4[[#This Row],[Total_FT_Employees]] + Table4[[#This Row],[Total_PT_Employees]] - Table4[[#This Row],[Total_Tot_employees]]) &lt; 1, "OK", "Mismatch")</f>
        <v>OK</v>
      </c>
      <c r="D38" s="24" t="str">
        <f>IF(ABS(Table4[[#This Row],[Public_Tot_employment]] + Table4[[#This Row],[Private_Tot_employment]] - Table4[[#This Row],[Total_Employment]]) &lt; 1, "OK", "Mismatch")</f>
        <v>OK</v>
      </c>
    </row>
    <row r="39" spans="1:4" x14ac:dyDescent="0.3">
      <c r="A39" s="24" t="str">
        <f>IF(ABS(Table4[[#This Row],[Public_FT_employees]] + Table4[[#This Row],[Public_PT_employees]] - Table4[[#This Row],[Public_Tot_employees]]) &lt; 1, "OK", "Mismatch")</f>
        <v>OK</v>
      </c>
      <c r="B39" s="24" t="str">
        <f>IF(ABS(Table4[[#This Row],[Private_FT_employees]] + Table4[[#This Row],[Private_PT_employees]] - Table4[[#This Row],[Private_Tot_employees]]) &lt; 1, "OK", "Mismatch")</f>
        <v>OK</v>
      </c>
      <c r="C39" s="24" t="str">
        <f>IF(ABS(Table4[[#This Row],[Total_FT_Employees]] + Table4[[#This Row],[Total_PT_Employees]] - Table4[[#This Row],[Total_Tot_employees]]) &lt; 1, "OK", "Mismatch")</f>
        <v>OK</v>
      </c>
      <c r="D39" s="24" t="str">
        <f>IF(ABS(Table4[[#This Row],[Public_Tot_employment]] + Table4[[#This Row],[Private_Tot_employment]] - Table4[[#This Row],[Total_Employment]]) &lt; 1, "OK", "Mismatch")</f>
        <v>OK</v>
      </c>
    </row>
    <row r="40" spans="1:4" x14ac:dyDescent="0.3">
      <c r="A40" s="24" t="str">
        <f>IF(ABS(Table4[[#This Row],[Public_FT_employees]] + Table4[[#This Row],[Public_PT_employees]] - Table4[[#This Row],[Public_Tot_employees]]) &lt; 1, "OK", "Mismatch")</f>
        <v>Mismatch</v>
      </c>
      <c r="B40" s="24" t="str">
        <f>IF(ABS(Table4[[#This Row],[Private_FT_employees]] + Table4[[#This Row],[Private_PT_employees]] - Table4[[#This Row],[Private_Tot_employees]]) &lt; 1, "OK", "Mismatch")</f>
        <v>OK</v>
      </c>
      <c r="C40" s="24" t="str">
        <f>IF(ABS(Table4[[#This Row],[Total_FT_Employees]] + Table4[[#This Row],[Total_PT_Employees]] - Table4[[#This Row],[Total_Tot_employees]]) &lt; 1, "OK", "Mismatch")</f>
        <v>OK</v>
      </c>
      <c r="D40" s="24" t="str">
        <f>IF(ABS(Table4[[#This Row],[Public_Tot_employment]] + Table4[[#This Row],[Private_Tot_employment]] - Table4[[#This Row],[Total_Employment]]) &lt; 1, "OK", "Mismatch")</f>
        <v>OK</v>
      </c>
    </row>
    <row r="41" spans="1:4" x14ac:dyDescent="0.3">
      <c r="A41" s="24" t="str">
        <f>IF(ABS(Table4[[#This Row],[Public_FT_employees]] + Table4[[#This Row],[Public_PT_employees]] - Table4[[#This Row],[Public_Tot_employees]]) &lt; 1, "OK", "Mismatch")</f>
        <v>OK</v>
      </c>
      <c r="B41" s="24" t="str">
        <f>IF(ABS(Table4[[#This Row],[Private_FT_employees]] + Table4[[#This Row],[Private_PT_employees]] - Table4[[#This Row],[Private_Tot_employees]]) &lt; 1, "OK", "Mismatch")</f>
        <v>OK</v>
      </c>
      <c r="C41" s="24" t="str">
        <f>IF(ABS(Table4[[#This Row],[Total_FT_Employees]] + Table4[[#This Row],[Total_PT_Employees]] - Table4[[#This Row],[Total_Tot_employees]]) &lt; 1, "OK", "Mismatch")</f>
        <v>Mismatch</v>
      </c>
      <c r="D41" s="24" t="str">
        <f>IF(ABS(Table4[[#This Row],[Public_Tot_employment]] + Table4[[#This Row],[Private_Tot_employment]] - Table4[[#This Row],[Total_Employment]]) &lt; 1, "OK", "Mismatch")</f>
        <v>OK</v>
      </c>
    </row>
    <row r="42" spans="1:4" x14ac:dyDescent="0.3">
      <c r="A42" s="24" t="str">
        <f>IF(ABS(Table4[[#This Row],[Public_FT_employees]] + Table4[[#This Row],[Public_PT_employees]] - Table4[[#This Row],[Public_Tot_employees]]) &lt; 1, "OK", "Mismatch")</f>
        <v>OK</v>
      </c>
      <c r="B42" s="24" t="str">
        <f>IF(ABS(Table4[[#This Row],[Private_FT_employees]] + Table4[[#This Row],[Private_PT_employees]] - Table4[[#This Row],[Private_Tot_employees]]) &lt; 1, "OK", "Mismatch")</f>
        <v>Mismatch</v>
      </c>
      <c r="C42" s="24" t="str">
        <f>IF(ABS(Table4[[#This Row],[Total_FT_Employees]] + Table4[[#This Row],[Total_PT_Employees]] - Table4[[#This Row],[Total_Tot_employees]]) &lt; 1, "OK", "Mismatch")</f>
        <v>Mismatch</v>
      </c>
      <c r="D42" s="24" t="str">
        <f>IF(ABS(Table4[[#This Row],[Public_Tot_employment]] + Table4[[#This Row],[Private_Tot_employment]] - Table4[[#This Row],[Total_Employment]]) &lt; 1, "OK", "Mismatch")</f>
        <v>OK</v>
      </c>
    </row>
    <row r="43" spans="1:4" x14ac:dyDescent="0.3">
      <c r="A43" s="24" t="str">
        <f>IF(ABS(Table4[[#This Row],[Public_FT_employees]] + Table4[[#This Row],[Public_PT_employees]] - Table4[[#This Row],[Public_Tot_employees]]) &lt; 1, "OK", "Mismatch")</f>
        <v>OK</v>
      </c>
      <c r="B43" s="24" t="str">
        <f>IF(ABS(Table4[[#This Row],[Private_FT_employees]] + Table4[[#This Row],[Private_PT_employees]] - Table4[[#This Row],[Private_Tot_employees]]) &lt; 1, "OK", "Mismatch")</f>
        <v>OK</v>
      </c>
      <c r="C43" s="24" t="str">
        <f>IF(ABS(Table4[[#This Row],[Total_FT_Employees]] + Table4[[#This Row],[Total_PT_Employees]] - Table4[[#This Row],[Total_Tot_employees]]) &lt; 1, "OK", "Mismatch")</f>
        <v>OK</v>
      </c>
      <c r="D43" s="24" t="str">
        <f>IF(ABS(Table4[[#This Row],[Public_Tot_employment]] + Table4[[#This Row],[Private_Tot_employment]] - Table4[[#This Row],[Total_Employment]]) &lt; 1, "OK", "Mismatch")</f>
        <v>OK</v>
      </c>
    </row>
    <row r="44" spans="1:4" x14ac:dyDescent="0.3">
      <c r="A44" s="24" t="str">
        <f>IF(ABS(Table4[[#This Row],[Public_FT_employees]] + Table4[[#This Row],[Public_PT_employees]] - Table4[[#This Row],[Public_Tot_employees]]) &lt; 1, "OK", "Mismatch")</f>
        <v>OK</v>
      </c>
      <c r="B44" s="24" t="str">
        <f>IF(ABS(Table4[[#This Row],[Private_FT_employees]] + Table4[[#This Row],[Private_PT_employees]] - Table4[[#This Row],[Private_Tot_employees]]) &lt; 1, "OK", "Mismatch")</f>
        <v>OK</v>
      </c>
      <c r="C44" s="24" t="str">
        <f>IF(ABS(Table4[[#This Row],[Total_FT_Employees]] + Table4[[#This Row],[Total_PT_Employees]] - Table4[[#This Row],[Total_Tot_employees]]) &lt; 1, "OK", "Mismatch")</f>
        <v>OK</v>
      </c>
      <c r="D44" s="24" t="str">
        <f>IF(ABS(Table4[[#This Row],[Public_Tot_employment]] + Table4[[#This Row],[Private_Tot_employment]] - Table4[[#This Row],[Total_Employment]]) &lt; 1, "OK", "Mismatch")</f>
        <v>OK</v>
      </c>
    </row>
    <row r="45" spans="1:4" x14ac:dyDescent="0.3">
      <c r="A45" s="24" t="str">
        <f>IF(ABS(Table4[[#This Row],[Public_FT_employees]] + Table4[[#This Row],[Public_PT_employees]] - Table4[[#This Row],[Public_Tot_employees]]) &lt; 1, "OK", "Mismatch")</f>
        <v>Mismatch</v>
      </c>
      <c r="B45" s="24" t="str">
        <f>IF(ABS(Table4[[#This Row],[Private_FT_employees]] + Table4[[#This Row],[Private_PT_employees]] - Table4[[#This Row],[Private_Tot_employees]]) &lt; 1, "OK", "Mismatch")</f>
        <v>OK</v>
      </c>
      <c r="C45" s="24" t="str">
        <f>IF(ABS(Table4[[#This Row],[Total_FT_Employees]] + Table4[[#This Row],[Total_PT_Employees]] - Table4[[#This Row],[Total_Tot_employees]]) &lt; 1, "OK", "Mismatch")</f>
        <v>Mismatch</v>
      </c>
      <c r="D45" s="24" t="str">
        <f>IF(ABS(Table4[[#This Row],[Public_Tot_employment]] + Table4[[#This Row],[Private_Tot_employment]] - Table4[[#This Row],[Total_Employment]]) &lt; 1, "OK", "Mismatch")</f>
        <v>OK</v>
      </c>
    </row>
    <row r="46" spans="1:4" x14ac:dyDescent="0.3">
      <c r="A46" s="24" t="str">
        <f>IF(ABS(Table4[[#This Row],[Public_FT_employees]] + Table4[[#This Row],[Public_PT_employees]] - Table4[[#This Row],[Public_Tot_employees]]) &lt; 1, "OK", "Mismatch")</f>
        <v>OK</v>
      </c>
      <c r="B46" s="24" t="str">
        <f>IF(ABS(Table4[[#This Row],[Private_FT_employees]] + Table4[[#This Row],[Private_PT_employees]] - Table4[[#This Row],[Private_Tot_employees]]) &lt; 1, "OK", "Mismatch")</f>
        <v>OK</v>
      </c>
      <c r="C46" s="24" t="str">
        <f>IF(ABS(Table4[[#This Row],[Total_FT_Employees]] + Table4[[#This Row],[Total_PT_Employees]] - Table4[[#This Row],[Total_Tot_employees]]) &lt; 1, "OK", "Mismatch")</f>
        <v>Mismatch</v>
      </c>
      <c r="D46" s="24" t="str">
        <f>IF(ABS(Table4[[#This Row],[Public_Tot_employment]] + Table4[[#This Row],[Private_Tot_employment]] - Table4[[#This Row],[Total_Employment]]) &lt; 1, "OK", "Mismatch")</f>
        <v>OK</v>
      </c>
    </row>
    <row r="47" spans="1:4" x14ac:dyDescent="0.3">
      <c r="A47" s="24" t="str">
        <f>IF(ABS(Table4[[#This Row],[Public_FT_employees]] + Table4[[#This Row],[Public_PT_employees]] - Table4[[#This Row],[Public_Tot_employees]]) &lt; 1, "OK", "Mismatch")</f>
        <v>OK</v>
      </c>
      <c r="B47" s="24" t="str">
        <f>IF(ABS(Table4[[#This Row],[Private_FT_employees]] + Table4[[#This Row],[Private_PT_employees]] - Table4[[#This Row],[Private_Tot_employees]]) &lt; 1, "OK", "Mismatch")</f>
        <v>OK</v>
      </c>
      <c r="C47" s="24" t="str">
        <f>IF(ABS(Table4[[#This Row],[Total_FT_Employees]] + Table4[[#This Row],[Total_PT_Employees]] - Table4[[#This Row],[Total_Tot_employees]]) &lt; 1, "OK", "Mismatch")</f>
        <v>Mismatch</v>
      </c>
      <c r="D47" s="24" t="str">
        <f>IF(ABS(Table4[[#This Row],[Public_Tot_employment]] + Table4[[#This Row],[Private_Tot_employment]] - Table4[[#This Row],[Total_Employment]]) &lt; 1, "OK", "Mismatch")</f>
        <v>OK</v>
      </c>
    </row>
    <row r="48" spans="1:4" x14ac:dyDescent="0.3">
      <c r="A48" s="24" t="str">
        <f>IF(ABS(Table4[[#This Row],[Public_FT_employees]] + Table4[[#This Row],[Public_PT_employees]] - Table4[[#This Row],[Public_Tot_employees]]) &lt; 1, "OK", "Mismatch")</f>
        <v>OK</v>
      </c>
      <c r="B48" s="24" t="str">
        <f>IF(ABS(Table4[[#This Row],[Private_FT_employees]] + Table4[[#This Row],[Private_PT_employees]] - Table4[[#This Row],[Private_Tot_employees]]) &lt; 1, "OK", "Mismatch")</f>
        <v>OK</v>
      </c>
      <c r="C48" s="24" t="str">
        <f>IF(ABS(Table4[[#This Row],[Total_FT_Employees]] + Table4[[#This Row],[Total_PT_Employees]] - Table4[[#This Row],[Total_Tot_employees]]) &lt; 1, "OK", "Mismatch")</f>
        <v>OK</v>
      </c>
      <c r="D48" s="24" t="str">
        <f>IF(ABS(Table4[[#This Row],[Public_Tot_employment]] + Table4[[#This Row],[Private_Tot_employment]] - Table4[[#This Row],[Total_Employment]]) &lt; 1, "OK", "Mismatch")</f>
        <v>OK</v>
      </c>
    </row>
    <row r="49" spans="1:4" x14ac:dyDescent="0.3">
      <c r="A49" s="24" t="str">
        <f>IF(ABS(Table4[[#This Row],[Public_FT_employees]] + Table4[[#This Row],[Public_PT_employees]] - Table4[[#This Row],[Public_Tot_employees]]) &lt; 1, "OK", "Mismatch")</f>
        <v>OK</v>
      </c>
      <c r="B49" s="24" t="str">
        <f>IF(ABS(Table4[[#This Row],[Private_FT_employees]] + Table4[[#This Row],[Private_PT_employees]] - Table4[[#This Row],[Private_Tot_employees]]) &lt; 1, "OK", "Mismatch")</f>
        <v>Mismatch</v>
      </c>
      <c r="C49" s="24" t="str">
        <f>IF(ABS(Table4[[#This Row],[Total_FT_Employees]] + Table4[[#This Row],[Total_PT_Employees]] - Table4[[#This Row],[Total_Tot_employees]]) &lt; 1, "OK", "Mismatch")</f>
        <v>Mismatch</v>
      </c>
      <c r="D49" s="24" t="str">
        <f>IF(ABS(Table4[[#This Row],[Public_Tot_employment]] + Table4[[#This Row],[Private_Tot_employment]] - Table4[[#This Row],[Total_Employment]]) &lt; 1, "OK", "Mismatch")</f>
        <v>Mismatch</v>
      </c>
    </row>
    <row r="50" spans="1:4" x14ac:dyDescent="0.3">
      <c r="A50" s="24" t="str">
        <f>IF(ABS(Table4[[#This Row],[Public_FT_employees]] + Table4[[#This Row],[Public_PT_employees]] - Table4[[#This Row],[Public_Tot_employees]]) &lt; 1, "OK", "Mismatch")</f>
        <v>OK</v>
      </c>
      <c r="B50" s="24" t="str">
        <f>IF(ABS(Table4[[#This Row],[Private_FT_employees]] + Table4[[#This Row],[Private_PT_employees]] - Table4[[#This Row],[Private_Tot_employees]]) &lt; 1, "OK", "Mismatch")</f>
        <v>Mismatch</v>
      </c>
      <c r="C50" s="24" t="str">
        <f>IF(ABS(Table4[[#This Row],[Total_FT_Employees]] + Table4[[#This Row],[Total_PT_Employees]] - Table4[[#This Row],[Total_Tot_employees]]) &lt; 1, "OK", "Mismatch")</f>
        <v>Mismatch</v>
      </c>
      <c r="D50" s="24" t="str">
        <f>IF(ABS(Table4[[#This Row],[Public_Tot_employment]] + Table4[[#This Row],[Private_Tot_employment]] - Table4[[#This Row],[Total_Employment]]) &lt; 1, "OK", "Mismatch")</f>
        <v>OK</v>
      </c>
    </row>
    <row r="51" spans="1:4" x14ac:dyDescent="0.3">
      <c r="A51" s="24" t="str">
        <f>IF(ABS(Table4[[#This Row],[Public_FT_employees]] + Table4[[#This Row],[Public_PT_employees]] - Table4[[#This Row],[Public_Tot_employees]]) &lt; 1, "OK", "Mismatch")</f>
        <v>OK</v>
      </c>
      <c r="B51" s="24" t="str">
        <f>IF(ABS(Table4[[#This Row],[Private_FT_employees]] + Table4[[#This Row],[Private_PT_employees]] - Table4[[#This Row],[Private_Tot_employees]]) &lt; 1, "OK", "Mismatch")</f>
        <v>Mismatch</v>
      </c>
      <c r="C51" s="24" t="str">
        <f>IF(ABS(Table4[[#This Row],[Total_FT_Employees]] + Table4[[#This Row],[Total_PT_Employees]] - Table4[[#This Row],[Total_Tot_employees]]) &lt; 1, "OK", "Mismatch")</f>
        <v>Mismatch</v>
      </c>
      <c r="D51" s="24" t="str">
        <f>IF(ABS(Table4[[#This Row],[Public_Tot_employment]] + Table4[[#This Row],[Private_Tot_employment]] - Table4[[#This Row],[Total_Employment]]) &lt; 1, "OK", "Mismatch")</f>
        <v>OK</v>
      </c>
    </row>
    <row r="52" spans="1:4" x14ac:dyDescent="0.3">
      <c r="A52" s="24" t="str">
        <f>IF(ABS(Table4[[#This Row],[Public_FT_employees]] + Table4[[#This Row],[Public_PT_employees]] - Table4[[#This Row],[Public_Tot_employees]]) &lt; 1, "OK", "Mismatch")</f>
        <v>OK</v>
      </c>
      <c r="B52" s="24" t="str">
        <f>IF(ABS(Table4[[#This Row],[Private_FT_employees]] + Table4[[#This Row],[Private_PT_employees]] - Table4[[#This Row],[Private_Tot_employees]]) &lt; 1, "OK", "Mismatch")</f>
        <v>Mismatch</v>
      </c>
      <c r="C52" s="24" t="str">
        <f>IF(ABS(Table4[[#This Row],[Total_FT_Employees]] + Table4[[#This Row],[Total_PT_Employees]] - Table4[[#This Row],[Total_Tot_employees]]) &lt; 1, "OK", "Mismatch")</f>
        <v>Mismatch</v>
      </c>
      <c r="D52" s="24" t="str">
        <f>IF(ABS(Table4[[#This Row],[Public_Tot_employment]] + Table4[[#This Row],[Private_Tot_employment]] - Table4[[#This Row],[Total_Employment]]) &lt; 1, "OK", "Mismatch")</f>
        <v>OK</v>
      </c>
    </row>
    <row r="53" spans="1:4" x14ac:dyDescent="0.3">
      <c r="A53" s="24" t="str">
        <f>IF(ABS(Table4[[#This Row],[Public_FT_employees]] + Table4[[#This Row],[Public_PT_employees]] - Table4[[#This Row],[Public_Tot_employees]]) &lt; 1, "OK", "Mismatch")</f>
        <v>OK</v>
      </c>
      <c r="B53" s="24" t="str">
        <f>IF(ABS(Table4[[#This Row],[Private_FT_employees]] + Table4[[#This Row],[Private_PT_employees]] - Table4[[#This Row],[Private_Tot_employees]]) &lt; 1, "OK", "Mismatch")</f>
        <v>Mismatch</v>
      </c>
      <c r="C53" s="24" t="str">
        <f>IF(ABS(Table4[[#This Row],[Total_FT_Employees]] + Table4[[#This Row],[Total_PT_Employees]] - Table4[[#This Row],[Total_Tot_employees]]) &lt; 1, "OK", "Mismatch")</f>
        <v>Mismatch</v>
      </c>
      <c r="D53" s="24" t="str">
        <f>IF(ABS(Table4[[#This Row],[Public_Tot_employment]] + Table4[[#This Row],[Private_Tot_employment]] - Table4[[#This Row],[Total_Employment]]) &lt; 1, "OK", "Mismatch")</f>
        <v>OK</v>
      </c>
    </row>
    <row r="54" spans="1:4" x14ac:dyDescent="0.3">
      <c r="A54" s="24" t="str">
        <f>IF(ABS(Table4[[#This Row],[Public_FT_employees]] + Table4[[#This Row],[Public_PT_employees]] - Table4[[#This Row],[Public_Tot_employees]]) &lt; 1, "OK", "Mismatch")</f>
        <v>OK</v>
      </c>
      <c r="B54" s="24" t="str">
        <f>IF(ABS(Table4[[#This Row],[Private_FT_employees]] + Table4[[#This Row],[Private_PT_employees]] - Table4[[#This Row],[Private_Tot_employees]]) &lt; 1, "OK", "Mismatch")</f>
        <v>Mismatch</v>
      </c>
      <c r="C54" s="24" t="str">
        <f>IF(ABS(Table4[[#This Row],[Total_FT_Employees]] + Table4[[#This Row],[Total_PT_Employees]] - Table4[[#This Row],[Total_Tot_employees]]) &lt; 1, "OK", "Mismatch")</f>
        <v>Mismatch</v>
      </c>
      <c r="D54" s="24" t="str">
        <f>IF(ABS(Table4[[#This Row],[Public_Tot_employment]] + Table4[[#This Row],[Private_Tot_employment]] - Table4[[#This Row],[Total_Employment]]) &lt; 1, "OK", "Mismatch")</f>
        <v>OK</v>
      </c>
    </row>
    <row r="55" spans="1:4" x14ac:dyDescent="0.3">
      <c r="A55" s="24" t="str">
        <f>IF(ABS(Table4[[#This Row],[Public_FT_employees]] + Table4[[#This Row],[Public_PT_employees]] - Table4[[#This Row],[Public_Tot_employees]]) &lt; 1, "OK", "Mismatch")</f>
        <v>Mismatch</v>
      </c>
      <c r="B55" s="24" t="str">
        <f>IF(ABS(Table4[[#This Row],[Private_FT_employees]] + Table4[[#This Row],[Private_PT_employees]] - Table4[[#This Row],[Private_Tot_employees]]) &lt; 1, "OK", "Mismatch")</f>
        <v>Mismatch</v>
      </c>
      <c r="C55" s="24" t="str">
        <f>IF(ABS(Table4[[#This Row],[Total_FT_Employees]] + Table4[[#This Row],[Total_PT_Employees]] - Table4[[#This Row],[Total_Tot_employees]]) &lt; 1, "OK", "Mismatch")</f>
        <v>Mismatch</v>
      </c>
      <c r="D55" s="24" t="str">
        <f>IF(ABS(Table4[[#This Row],[Public_Tot_employment]] + Table4[[#This Row],[Private_Tot_employment]] - Table4[[#This Row],[Total_Employment]]) &lt; 1, "OK", "Mismatch")</f>
        <v>OK</v>
      </c>
    </row>
    <row r="56" spans="1:4" x14ac:dyDescent="0.3">
      <c r="A56" s="24" t="str">
        <f>IF(ABS(Table4[[#This Row],[Public_FT_employees]] + Table4[[#This Row],[Public_PT_employees]] - Table4[[#This Row],[Public_Tot_employees]]) &lt; 1, "OK", "Mismatch")</f>
        <v>OK</v>
      </c>
      <c r="B56" s="24" t="str">
        <f>IF(ABS(Table4[[#This Row],[Private_FT_employees]] + Table4[[#This Row],[Private_PT_employees]] - Table4[[#This Row],[Private_Tot_employees]]) &lt; 1, "OK", "Mismatch")</f>
        <v>Mismatch</v>
      </c>
      <c r="C56" s="24" t="str">
        <f>IF(ABS(Table4[[#This Row],[Total_FT_Employees]] + Table4[[#This Row],[Total_PT_Employees]] - Table4[[#This Row],[Total_Tot_employees]]) &lt; 1, "OK", "Mismatch")</f>
        <v>Mismatch</v>
      </c>
      <c r="D56" s="24" t="str">
        <f>IF(ABS(Table4[[#This Row],[Public_Tot_employment]] + Table4[[#This Row],[Private_Tot_employment]] - Table4[[#This Row],[Total_Employment]]) &lt; 1, "OK", "Mismatch")</f>
        <v>OK</v>
      </c>
    </row>
    <row r="57" spans="1:4" x14ac:dyDescent="0.3">
      <c r="A57" s="24" t="str">
        <f>IF(ABS(Table4[[#This Row],[Public_FT_employees]] + Table4[[#This Row],[Public_PT_employees]] - Table4[[#This Row],[Public_Tot_employees]]) &lt; 1, "OK", "Mismatch")</f>
        <v>OK</v>
      </c>
      <c r="B57" s="24" t="str">
        <f>IF(ABS(Table4[[#This Row],[Private_FT_employees]] + Table4[[#This Row],[Private_PT_employees]] - Table4[[#This Row],[Private_Tot_employees]]) &lt; 1, "OK", "Mismatch")</f>
        <v>Mismatch</v>
      </c>
      <c r="C57" s="24" t="str">
        <f>IF(ABS(Table4[[#This Row],[Total_FT_Employees]] + Table4[[#This Row],[Total_PT_Employees]] - Table4[[#This Row],[Total_Tot_employees]]) &lt; 1, "OK", "Mismatch")</f>
        <v>Mismatch</v>
      </c>
      <c r="D57" s="24" t="str">
        <f>IF(ABS(Table4[[#This Row],[Public_Tot_employment]] + Table4[[#This Row],[Private_Tot_employment]] - Table4[[#This Row],[Total_Employment]]) &lt; 1, "OK", "Mismatch")</f>
        <v>OK</v>
      </c>
    </row>
    <row r="58" spans="1:4" x14ac:dyDescent="0.3">
      <c r="A58" s="24" t="str">
        <f>IF(ABS(Table4[[#This Row],[Public_FT_employees]] + Table4[[#This Row],[Public_PT_employees]] - Table4[[#This Row],[Public_Tot_employees]]) &lt; 1, "OK", "Mismatch")</f>
        <v>OK</v>
      </c>
      <c r="B58" s="24" t="str">
        <f>IF(ABS(Table4[[#This Row],[Private_FT_employees]] + Table4[[#This Row],[Private_PT_employees]] - Table4[[#This Row],[Private_Tot_employees]]) &lt; 1, "OK", "Mismatch")</f>
        <v>Mismatch</v>
      </c>
      <c r="C58" s="24" t="str">
        <f>IF(ABS(Table4[[#This Row],[Total_FT_Employees]] + Table4[[#This Row],[Total_PT_Employees]] - Table4[[#This Row],[Total_Tot_employees]]) &lt; 1, "OK", "Mismatch")</f>
        <v>Mismatch</v>
      </c>
      <c r="D58" s="24" t="str">
        <f>IF(ABS(Table4[[#This Row],[Public_Tot_employment]] + Table4[[#This Row],[Private_Tot_employment]] - Table4[[#This Row],[Total_Employment]]) &lt; 1, "OK", "Mismatch")</f>
        <v>OK</v>
      </c>
    </row>
    <row r="59" spans="1:4" x14ac:dyDescent="0.3">
      <c r="A59" s="24" t="str">
        <f>IF(ABS(Table4[[#This Row],[Public_FT_employees]] + Table4[[#This Row],[Public_PT_employees]] - Table4[[#This Row],[Public_Tot_employees]]) &lt; 1, "OK", "Mismatch")</f>
        <v>Mismatch</v>
      </c>
      <c r="B59" s="24" t="str">
        <f>IF(ABS(Table4[[#This Row],[Private_FT_employees]] + Table4[[#This Row],[Private_PT_employees]] - Table4[[#This Row],[Private_Tot_employees]]) &lt; 1, "OK", "Mismatch")</f>
        <v>Mismatch</v>
      </c>
      <c r="C59" s="24" t="str">
        <f>IF(ABS(Table4[[#This Row],[Total_FT_Employees]] + Table4[[#This Row],[Total_PT_Employees]] - Table4[[#This Row],[Total_Tot_employees]]) &lt; 1, "OK", "Mismatch")</f>
        <v>Mismatch</v>
      </c>
      <c r="D59" s="24" t="str">
        <f>IF(ABS(Table4[[#This Row],[Public_Tot_employment]] + Table4[[#This Row],[Private_Tot_employment]] - Table4[[#This Row],[Total_Employment]]) &lt; 1, "OK", "Mismatch")</f>
        <v>OK</v>
      </c>
    </row>
    <row r="60" spans="1:4" x14ac:dyDescent="0.3">
      <c r="A60" s="24" t="str">
        <f>IF(ABS(Table4[[#This Row],[Public_FT_employees]] + Table4[[#This Row],[Public_PT_employees]] - Table4[[#This Row],[Public_Tot_employees]]) &lt; 1, "OK", "Mismatch")</f>
        <v>OK</v>
      </c>
      <c r="B60" s="24" t="str">
        <f>IF(ABS(Table4[[#This Row],[Private_FT_employees]] + Table4[[#This Row],[Private_PT_employees]] - Table4[[#This Row],[Private_Tot_employees]]) &lt; 1, "OK", "Mismatch")</f>
        <v>Mismatch</v>
      </c>
      <c r="C60" s="24" t="str">
        <f>IF(ABS(Table4[[#This Row],[Total_FT_Employees]] + Table4[[#This Row],[Total_PT_Employees]] - Table4[[#This Row],[Total_Tot_employees]]) &lt; 1, "OK", "Mismatch")</f>
        <v>Mismatch</v>
      </c>
      <c r="D60" s="24" t="str">
        <f>IF(ABS(Table4[[#This Row],[Public_Tot_employment]] + Table4[[#This Row],[Private_Tot_employment]] - Table4[[#This Row],[Total_Employment]]) &lt; 1, "OK", "Mismatch")</f>
        <v>OK</v>
      </c>
    </row>
    <row r="61" spans="1:4" x14ac:dyDescent="0.3">
      <c r="A61" s="24" t="str">
        <f>IF(ABS(Table4[[#This Row],[Public_FT_employees]] + Table4[[#This Row],[Public_PT_employees]] - Table4[[#This Row],[Public_Tot_employees]]) &lt; 1, "OK", "Mismatch")</f>
        <v>OK</v>
      </c>
      <c r="B61" s="24" t="str">
        <f>IF(ABS(Table4[[#This Row],[Private_FT_employees]] + Table4[[#This Row],[Private_PT_employees]] - Table4[[#This Row],[Private_Tot_employees]]) &lt; 1, "OK", "Mismatch")</f>
        <v>Mismatch</v>
      </c>
      <c r="C61" s="24" t="str">
        <f>IF(ABS(Table4[[#This Row],[Total_FT_Employees]] + Table4[[#This Row],[Total_PT_Employees]] - Table4[[#This Row],[Total_Tot_employees]]) &lt; 1, "OK", "Mismatch")</f>
        <v>Mismatch</v>
      </c>
      <c r="D61" s="24" t="str">
        <f>IF(ABS(Table4[[#This Row],[Public_Tot_employment]] + Table4[[#This Row],[Private_Tot_employment]] - Table4[[#This Row],[Total_Employment]]) &lt; 1, "OK", "Mismatch")</f>
        <v>OK</v>
      </c>
    </row>
    <row r="62" spans="1:4" x14ac:dyDescent="0.3">
      <c r="A62" s="24" t="str">
        <f>IF(ABS(Table4[[#This Row],[Public_FT_employees]] + Table4[[#This Row],[Public_PT_employees]] - Table4[[#This Row],[Public_Tot_employees]]) &lt; 1, "OK", "Mismatch")</f>
        <v>Mismatch</v>
      </c>
      <c r="B62" s="24" t="str">
        <f>IF(ABS(Table4[[#This Row],[Private_FT_employees]] + Table4[[#This Row],[Private_PT_employees]] - Table4[[#This Row],[Private_Tot_employees]]) &lt; 1, "OK", "Mismatch")</f>
        <v>Mismatch</v>
      </c>
      <c r="C62" s="24" t="str">
        <f>IF(ABS(Table4[[#This Row],[Total_FT_Employees]] + Table4[[#This Row],[Total_PT_Employees]] - Table4[[#This Row],[Total_Tot_employees]]) &lt; 1, "OK", "Mismatch")</f>
        <v>Mismatch</v>
      </c>
      <c r="D62" s="24" t="str">
        <f>IF(ABS(Table4[[#This Row],[Public_Tot_employment]] + Table4[[#This Row],[Private_Tot_employment]] - Table4[[#This Row],[Total_Employment]]) &lt; 1, "OK", "Mismatch")</f>
        <v>OK</v>
      </c>
    </row>
    <row r="63" spans="1:4" x14ac:dyDescent="0.3">
      <c r="A63" s="24" t="str">
        <f>IF(ABS(Table4[[#This Row],[Public_FT_employees]] + Table4[[#This Row],[Public_PT_employees]] - Table4[[#This Row],[Public_Tot_employees]]) &lt; 1, "OK", "Mismatch")</f>
        <v>OK</v>
      </c>
      <c r="B63" s="24" t="str">
        <f>IF(ABS(Table4[[#This Row],[Private_FT_employees]] + Table4[[#This Row],[Private_PT_employees]] - Table4[[#This Row],[Private_Tot_employees]]) &lt; 1, "OK", "Mismatch")</f>
        <v>Mismatch</v>
      </c>
      <c r="C63" s="24" t="str">
        <f>IF(ABS(Table4[[#This Row],[Total_FT_Employees]] + Table4[[#This Row],[Total_PT_Employees]] - Table4[[#This Row],[Total_Tot_employees]]) &lt; 1, "OK", "Mismatch")</f>
        <v>Mismatch</v>
      </c>
      <c r="D63" s="24" t="str">
        <f>IF(ABS(Table4[[#This Row],[Public_Tot_employment]] + Table4[[#This Row],[Private_Tot_employment]] - Table4[[#This Row],[Total_Employment]]) &lt; 1, "OK", "Mismatch")</f>
        <v>OK</v>
      </c>
    </row>
    <row r="64" spans="1:4" x14ac:dyDescent="0.3">
      <c r="A64" s="24" t="str">
        <f>IF(ABS(Table4[[#This Row],[Public_FT_employees]] + Table4[[#This Row],[Public_PT_employees]] - Table4[[#This Row],[Public_Tot_employees]]) &lt; 1, "OK", "Mismatch")</f>
        <v>OK</v>
      </c>
      <c r="B64" s="24" t="str">
        <f>IF(ABS(Table4[[#This Row],[Private_FT_employees]] + Table4[[#This Row],[Private_PT_employees]] - Table4[[#This Row],[Private_Tot_employees]]) &lt; 1, "OK", "Mismatch")</f>
        <v>Mismatch</v>
      </c>
      <c r="C64" s="24" t="str">
        <f>IF(ABS(Table4[[#This Row],[Total_FT_Employees]] + Table4[[#This Row],[Total_PT_Employees]] - Table4[[#This Row],[Total_Tot_employees]]) &lt; 1, "OK", "Mismatch")</f>
        <v>Mismatch</v>
      </c>
      <c r="D64" s="24" t="str">
        <f>IF(ABS(Table4[[#This Row],[Public_Tot_employment]] + Table4[[#This Row],[Private_Tot_employment]] - Table4[[#This Row],[Total_Employment]]) &lt; 1, "OK", "Mismatch")</f>
        <v>Mismatch</v>
      </c>
    </row>
    <row r="65" spans="1:4" x14ac:dyDescent="0.3">
      <c r="A65" s="24" t="str">
        <f>IF(ABS(Table4[[#This Row],[Public_FT_employees]] + Table4[[#This Row],[Public_PT_employees]] - Table4[[#This Row],[Public_Tot_employees]]) &lt; 1, "OK", "Mismatch")</f>
        <v>OK</v>
      </c>
      <c r="B65" s="24" t="str">
        <f>IF(ABS(Table4[[#This Row],[Private_FT_employees]] + Table4[[#This Row],[Private_PT_employees]] - Table4[[#This Row],[Private_Tot_employees]]) &lt; 1, "OK", "Mismatch")</f>
        <v>Mismatch</v>
      </c>
      <c r="C65" s="24" t="str">
        <f>IF(ABS(Table4[[#This Row],[Total_FT_Employees]] + Table4[[#This Row],[Total_PT_Employees]] - Table4[[#This Row],[Total_Tot_employees]]) &lt; 1, "OK", "Mismatch")</f>
        <v>Mismatch</v>
      </c>
      <c r="D65" s="24" t="str">
        <f>IF(ABS(Table4[[#This Row],[Public_Tot_employment]] + Table4[[#This Row],[Private_Tot_employment]] - Table4[[#This Row],[Total_Employment]]) &lt; 1, "OK", "Mismatch")</f>
        <v>OK</v>
      </c>
    </row>
    <row r="66" spans="1:4" x14ac:dyDescent="0.3">
      <c r="A66" s="24" t="str">
        <f>IF(ABS(Table4[[#This Row],[Public_FT_employees]] + Table4[[#This Row],[Public_PT_employees]] - Table4[[#This Row],[Public_Tot_employees]]) &lt; 1, "OK", "Mismatch")</f>
        <v>OK</v>
      </c>
      <c r="B66" s="24" t="str">
        <f>IF(ABS(Table4[[#This Row],[Private_FT_employees]] + Table4[[#This Row],[Private_PT_employees]] - Table4[[#This Row],[Private_Tot_employees]]) &lt; 1, "OK", "Mismatch")</f>
        <v>Mismatch</v>
      </c>
      <c r="C66" s="24" t="str">
        <f>IF(ABS(Table4[[#This Row],[Total_FT_Employees]] + Table4[[#This Row],[Total_PT_Employees]] - Table4[[#This Row],[Total_Tot_employees]]) &lt; 1, "OK", "Mismatch")</f>
        <v>Mismatch</v>
      </c>
      <c r="D66" s="24" t="str">
        <f>IF(ABS(Table4[[#This Row],[Public_Tot_employment]] + Table4[[#This Row],[Private_Tot_employment]] - Table4[[#This Row],[Total_Employment]]) &lt; 1, "OK", "Mismatch")</f>
        <v>OK</v>
      </c>
    </row>
    <row r="67" spans="1:4" x14ac:dyDescent="0.3">
      <c r="A67" s="24" t="str">
        <f>IF(ABS(Table4[[#This Row],[Public_FT_employees]] + Table4[[#This Row],[Public_PT_employees]] - Table4[[#This Row],[Public_Tot_employees]]) &lt; 1, "OK", "Mismatch")</f>
        <v>OK</v>
      </c>
      <c r="B67" s="24" t="str">
        <f>IF(ABS(Table4[[#This Row],[Private_FT_employees]] + Table4[[#This Row],[Private_PT_employees]] - Table4[[#This Row],[Private_Tot_employees]]) &lt; 1, "OK", "Mismatch")</f>
        <v>Mismatch</v>
      </c>
      <c r="C67" s="24" t="str">
        <f>IF(ABS(Table4[[#This Row],[Total_FT_Employees]] + Table4[[#This Row],[Total_PT_Employees]] - Table4[[#This Row],[Total_Tot_employees]]) &lt; 1, "OK", "Mismatch")</f>
        <v>Mismatch</v>
      </c>
      <c r="D67" s="24" t="str">
        <f>IF(ABS(Table4[[#This Row],[Public_Tot_employment]] + Table4[[#This Row],[Private_Tot_employment]] - Table4[[#This Row],[Total_Employment]]) &lt; 1, "OK", "Mismatch")</f>
        <v>OK</v>
      </c>
    </row>
    <row r="68" spans="1:4" x14ac:dyDescent="0.3">
      <c r="A68" s="24" t="str">
        <f>IF(ABS(Table4[[#This Row],[Public_FT_employees]] + Table4[[#This Row],[Public_PT_employees]] - Table4[[#This Row],[Public_Tot_employees]]) &lt; 1, "OK", "Mismatch")</f>
        <v>OK</v>
      </c>
      <c r="B68" s="24" t="str">
        <f>IF(ABS(Table4[[#This Row],[Private_FT_employees]] + Table4[[#This Row],[Private_PT_employees]] - Table4[[#This Row],[Private_Tot_employees]]) &lt; 1, "OK", "Mismatch")</f>
        <v>Mismatch</v>
      </c>
      <c r="C68" s="24" t="str">
        <f>IF(ABS(Table4[[#This Row],[Total_FT_Employees]] + Table4[[#This Row],[Total_PT_Employees]] - Table4[[#This Row],[Total_Tot_employees]]) &lt; 1, "OK", "Mismatch")</f>
        <v>Mismatch</v>
      </c>
      <c r="D68" s="24" t="str">
        <f>IF(ABS(Table4[[#This Row],[Public_Tot_employment]] + Table4[[#This Row],[Private_Tot_employment]] - Table4[[#This Row],[Total_Employment]]) &lt; 1, "OK", "Mismatch")</f>
        <v>OK</v>
      </c>
    </row>
    <row r="69" spans="1:4" x14ac:dyDescent="0.3">
      <c r="A69" s="24" t="str">
        <f>IF(ABS(Table4[[#This Row],[Public_FT_employees]] + Table4[[#This Row],[Public_PT_employees]] - Table4[[#This Row],[Public_Tot_employees]]) &lt; 1, "OK", "Mismatch")</f>
        <v>OK</v>
      </c>
      <c r="B69" s="24" t="str">
        <f>IF(ABS(Table4[[#This Row],[Private_FT_employees]] + Table4[[#This Row],[Private_PT_employees]] - Table4[[#This Row],[Private_Tot_employees]]) &lt; 1, "OK", "Mismatch")</f>
        <v>Mismatch</v>
      </c>
      <c r="C69" s="24" t="str">
        <f>IF(ABS(Table4[[#This Row],[Total_FT_Employees]] + Table4[[#This Row],[Total_PT_Employees]] - Table4[[#This Row],[Total_Tot_employees]]) &lt; 1, "OK", "Mismatch")</f>
        <v>Mismatch</v>
      </c>
      <c r="D69" s="24" t="str">
        <f>IF(ABS(Table4[[#This Row],[Public_Tot_employment]] + Table4[[#This Row],[Private_Tot_employment]] - Table4[[#This Row],[Total_Employment]]) &lt; 1, "OK", "Mismatch")</f>
        <v>OK</v>
      </c>
    </row>
    <row r="70" spans="1:4" x14ac:dyDescent="0.3">
      <c r="A70" s="24" t="str">
        <f>IF(ABS(Table4[[#This Row],[Public_FT_employees]] + Table4[[#This Row],[Public_PT_employees]] - Table4[[#This Row],[Public_Tot_employees]]) &lt; 1, "OK", "Mismatch")</f>
        <v>OK</v>
      </c>
      <c r="B70" s="24" t="str">
        <f>IF(ABS(Table4[[#This Row],[Private_FT_employees]] + Table4[[#This Row],[Private_PT_employees]] - Table4[[#This Row],[Private_Tot_employees]]) &lt; 1, "OK", "Mismatch")</f>
        <v>Mismatch</v>
      </c>
      <c r="C70" s="24" t="str">
        <f>IF(ABS(Table4[[#This Row],[Total_FT_Employees]] + Table4[[#This Row],[Total_PT_Employees]] - Table4[[#This Row],[Total_Tot_employees]]) &lt; 1, "OK", "Mismatch")</f>
        <v>Mismatch</v>
      </c>
      <c r="D70" s="24" t="str">
        <f>IF(ABS(Table4[[#This Row],[Public_Tot_employment]] + Table4[[#This Row],[Private_Tot_employment]] - Table4[[#This Row],[Total_Employment]]) &lt; 1, "OK", "Mismatch")</f>
        <v>Mismatch</v>
      </c>
    </row>
    <row r="71" spans="1:4" x14ac:dyDescent="0.3">
      <c r="A71" s="24" t="str">
        <f>IF(ABS(Table4[[#This Row],[Public_FT_employees]] + Table4[[#This Row],[Public_PT_employees]] - Table4[[#This Row],[Public_Tot_employees]]) &lt; 1, "OK", "Mismatch")</f>
        <v>Mismatch</v>
      </c>
      <c r="B71" s="24" t="str">
        <f>IF(ABS(Table4[[#This Row],[Private_FT_employees]] + Table4[[#This Row],[Private_PT_employees]] - Table4[[#This Row],[Private_Tot_employees]]) &lt; 1, "OK", "Mismatch")</f>
        <v>Mismatch</v>
      </c>
      <c r="C71" s="24" t="str">
        <f>IF(ABS(Table4[[#This Row],[Total_FT_Employees]] + Table4[[#This Row],[Total_PT_Employees]] - Table4[[#This Row],[Total_Tot_employees]]) &lt; 1, "OK", "Mismatch")</f>
        <v>Mismatch</v>
      </c>
      <c r="D71" s="24" t="str">
        <f>IF(ABS(Table4[[#This Row],[Public_Tot_employment]] + Table4[[#This Row],[Private_Tot_employment]] - Table4[[#This Row],[Total_Employment]]) &lt; 1, "OK", "Mismatch")</f>
        <v>Mismatch</v>
      </c>
    </row>
    <row r="72" spans="1:4" x14ac:dyDescent="0.3">
      <c r="A72" s="24" t="str">
        <f>IF(ABS(Table4[[#This Row],[Public_FT_employees]] + Table4[[#This Row],[Public_PT_employees]] - Table4[[#This Row],[Public_Tot_employees]]) &lt; 1, "OK", "Mismatch")</f>
        <v>OK</v>
      </c>
      <c r="B72" s="24" t="str">
        <f>IF(ABS(Table4[[#This Row],[Private_FT_employees]] + Table4[[#This Row],[Private_PT_employees]] - Table4[[#This Row],[Private_Tot_employees]]) &lt; 1, "OK", "Mismatch")</f>
        <v>OK</v>
      </c>
      <c r="C72" s="24" t="str">
        <f>IF(ABS(Table4[[#This Row],[Total_FT_Employees]] + Table4[[#This Row],[Total_PT_Employees]] - Table4[[#This Row],[Total_Tot_employees]]) &lt; 1, "OK", "Mismatch")</f>
        <v>Mismatch</v>
      </c>
      <c r="D72" s="24" t="str">
        <f>IF(ABS(Table4[[#This Row],[Public_Tot_employment]] + Table4[[#This Row],[Private_Tot_employment]] - Table4[[#This Row],[Total_Employment]]) &lt; 1, "OK", "Mismatch")</f>
        <v>Mismatch</v>
      </c>
    </row>
    <row r="73" spans="1:4" x14ac:dyDescent="0.3">
      <c r="A73" s="24" t="str">
        <f>IF(ABS(Table4[[#This Row],[Public_FT_employees]] + Table4[[#This Row],[Public_PT_employees]] - Table4[[#This Row],[Public_Tot_employees]]) &lt; 1, "OK", "Mismatch")</f>
        <v>OK</v>
      </c>
      <c r="B73" s="24" t="str">
        <f>IF(ABS(Table4[[#This Row],[Private_FT_employees]] + Table4[[#This Row],[Private_PT_employees]] - Table4[[#This Row],[Private_Tot_employees]]) &lt; 1, "OK", "Mismatch")</f>
        <v>Mismatch</v>
      </c>
      <c r="C73" s="24" t="str">
        <f>IF(ABS(Table4[[#This Row],[Total_FT_Employees]] + Table4[[#This Row],[Total_PT_Employees]] - Table4[[#This Row],[Total_Tot_employees]]) &lt; 1, "OK", "Mismatch")</f>
        <v>Mismatch</v>
      </c>
      <c r="D73" s="24" t="str">
        <f>IF(ABS(Table4[[#This Row],[Public_Tot_employment]] + Table4[[#This Row],[Private_Tot_employment]] - Table4[[#This Row],[Total_Employment]]) &lt; 1, "OK", "Mismatch")</f>
        <v>OK</v>
      </c>
    </row>
    <row r="74" spans="1:4" x14ac:dyDescent="0.3">
      <c r="A74" s="24" t="str">
        <f>IF(ABS(Table4[[#This Row],[Public_FT_employees]] + Table4[[#This Row],[Public_PT_employees]] - Table4[[#This Row],[Public_Tot_employees]]) &lt; 1, "OK", "Mismatch")</f>
        <v>OK</v>
      </c>
      <c r="B74" s="24" t="str">
        <f>IF(ABS(Table4[[#This Row],[Private_FT_employees]] + Table4[[#This Row],[Private_PT_employees]] - Table4[[#This Row],[Private_Tot_employees]]) &lt; 1, "OK", "Mismatch")</f>
        <v>Mismatch</v>
      </c>
      <c r="C74" s="24" t="str">
        <f>IF(ABS(Table4[[#This Row],[Total_FT_Employees]] + Table4[[#This Row],[Total_PT_Employees]] - Table4[[#This Row],[Total_Tot_employees]]) &lt; 1, "OK", "Mismatch")</f>
        <v>Mismatch</v>
      </c>
      <c r="D74" s="24" t="str">
        <f>IF(ABS(Table4[[#This Row],[Public_Tot_employment]] + Table4[[#This Row],[Private_Tot_employment]] - Table4[[#This Row],[Total_Employment]]) &lt; 1, "OK", "Mismatch")</f>
        <v>OK</v>
      </c>
    </row>
    <row r="75" spans="1:4" x14ac:dyDescent="0.3">
      <c r="A75" s="24" t="str">
        <f>IF(ABS(Table4[[#This Row],[Public_FT_employees]] + Table4[[#This Row],[Public_PT_employees]] - Table4[[#This Row],[Public_Tot_employees]]) &lt; 1, "OK", "Mismatch")</f>
        <v>OK</v>
      </c>
      <c r="B75" s="24" t="str">
        <f>IF(ABS(Table4[[#This Row],[Private_FT_employees]] + Table4[[#This Row],[Private_PT_employees]] - Table4[[#This Row],[Private_Tot_employees]]) &lt; 1, "OK", "Mismatch")</f>
        <v>Mismatch</v>
      </c>
      <c r="C75" s="24" t="str">
        <f>IF(ABS(Table4[[#This Row],[Total_FT_Employees]] + Table4[[#This Row],[Total_PT_Employees]] - Table4[[#This Row],[Total_Tot_employees]]) &lt; 1, "OK", "Mismatch")</f>
        <v>Mismatch</v>
      </c>
      <c r="D75" s="24" t="str">
        <f>IF(ABS(Table4[[#This Row],[Public_Tot_employment]] + Table4[[#This Row],[Private_Tot_employment]] - Table4[[#This Row],[Total_Employment]]) &lt; 1, "OK", "Mismatch")</f>
        <v>OK</v>
      </c>
    </row>
    <row r="76" spans="1:4" x14ac:dyDescent="0.3">
      <c r="A76" s="24" t="str">
        <f>IF(ABS(Table4[[#This Row],[Public_FT_employees]] + Table4[[#This Row],[Public_PT_employees]] - Table4[[#This Row],[Public_Tot_employees]]) &lt; 1, "OK", "Mismatch")</f>
        <v>OK</v>
      </c>
      <c r="B76" s="24" t="str">
        <f>IF(ABS(Table4[[#This Row],[Private_FT_employees]] + Table4[[#This Row],[Private_PT_employees]] - Table4[[#This Row],[Private_Tot_employees]]) &lt; 1, "OK", "Mismatch")</f>
        <v>Mismatch</v>
      </c>
      <c r="C76" s="24" t="str">
        <f>IF(ABS(Table4[[#This Row],[Total_FT_Employees]] + Table4[[#This Row],[Total_PT_Employees]] - Table4[[#This Row],[Total_Tot_employees]]) &lt; 1, "OK", "Mismatch")</f>
        <v>Mismatch</v>
      </c>
      <c r="D76" s="24" t="str">
        <f>IF(ABS(Table4[[#This Row],[Public_Tot_employment]] + Table4[[#This Row],[Private_Tot_employment]] - Table4[[#This Row],[Total_Employment]]) &lt; 1, "OK", "Mismatch")</f>
        <v>Mismatch</v>
      </c>
    </row>
    <row r="77" spans="1:4" x14ac:dyDescent="0.3">
      <c r="A77" s="24" t="str">
        <f>IF(ABS(Table4[[#This Row],[Public_FT_employees]] + Table4[[#This Row],[Public_PT_employees]] - Table4[[#This Row],[Public_Tot_employees]]) &lt; 1, "OK", "Mismatch")</f>
        <v>OK</v>
      </c>
      <c r="B77" s="24" t="str">
        <f>IF(ABS(Table4[[#This Row],[Private_FT_employees]] + Table4[[#This Row],[Private_PT_employees]] - Table4[[#This Row],[Private_Tot_employees]]) &lt; 1, "OK", "Mismatch")</f>
        <v>Mismatch</v>
      </c>
      <c r="C77" s="24" t="str">
        <f>IF(ABS(Table4[[#This Row],[Total_FT_Employees]] + Table4[[#This Row],[Total_PT_Employees]] - Table4[[#This Row],[Total_Tot_employees]]) &lt; 1, "OK", "Mismatch")</f>
        <v>Mismatch</v>
      </c>
      <c r="D77" s="24" t="str">
        <f>IF(ABS(Table4[[#This Row],[Public_Tot_employment]] + Table4[[#This Row],[Private_Tot_employment]] - Table4[[#This Row],[Total_Employment]]) &lt; 1, "OK", "Mismatch")</f>
        <v>Mismatch</v>
      </c>
    </row>
    <row r="78" spans="1:4" x14ac:dyDescent="0.3">
      <c r="A78" s="24" t="str">
        <f>IF(ABS(Table4[[#This Row],[Public_FT_employees]] + Table4[[#This Row],[Public_PT_employees]] - Table4[[#This Row],[Public_Tot_employees]]) &lt; 1, "OK", "Mismatch")</f>
        <v>Mismatch</v>
      </c>
      <c r="B78" s="24" t="str">
        <f>IF(ABS(Table4[[#This Row],[Private_FT_employees]] + Table4[[#This Row],[Private_PT_employees]] - Table4[[#This Row],[Private_Tot_employees]]) &lt; 1, "OK", "Mismatch")</f>
        <v>Mismatch</v>
      </c>
      <c r="C78" s="24" t="str">
        <f>IF(ABS(Table4[[#This Row],[Total_FT_Employees]] + Table4[[#This Row],[Total_PT_Employees]] - Table4[[#This Row],[Total_Tot_employees]]) &lt; 1, "OK", "Mismatch")</f>
        <v>Mismatch</v>
      </c>
      <c r="D78" s="24" t="str">
        <f>IF(ABS(Table4[[#This Row],[Public_Tot_employment]] + Table4[[#This Row],[Private_Tot_employment]] - Table4[[#This Row],[Total_Employment]]) &lt; 1, "OK", "Mismatch")</f>
        <v>Mismatch</v>
      </c>
    </row>
    <row r="79" spans="1:4" x14ac:dyDescent="0.3">
      <c r="A79" s="24" t="str">
        <f>IF(ABS(Table4[[#This Row],[Public_FT_employees]] + Table4[[#This Row],[Public_PT_employees]] - Table4[[#This Row],[Public_Tot_employees]]) &lt; 1, "OK", "Mismatch")</f>
        <v>Mismatch</v>
      </c>
      <c r="B79" s="24" t="str">
        <f>IF(ABS(Table4[[#This Row],[Private_FT_employees]] + Table4[[#This Row],[Private_PT_employees]] - Table4[[#This Row],[Private_Tot_employees]]) &lt; 1, "OK", "Mismatch")</f>
        <v>Mismatch</v>
      </c>
      <c r="C79" s="24" t="str">
        <f>IF(ABS(Table4[[#This Row],[Total_FT_Employees]] + Table4[[#This Row],[Total_PT_Employees]] - Table4[[#This Row],[Total_Tot_employees]]) &lt; 1, "OK", "Mismatch")</f>
        <v>Mismatch</v>
      </c>
      <c r="D79" s="24" t="str">
        <f>IF(ABS(Table4[[#This Row],[Public_Tot_employment]] + Table4[[#This Row],[Private_Tot_employment]] - Table4[[#This Row],[Total_Employment]]) &lt; 1, "OK", "Mismatch")</f>
        <v>OK</v>
      </c>
    </row>
    <row r="80" spans="1:4" x14ac:dyDescent="0.3">
      <c r="A80" s="24" t="str">
        <f>IF(ABS(Table4[[#This Row],[Public_FT_employees]] + Table4[[#This Row],[Public_PT_employees]] - Table4[[#This Row],[Public_Tot_employees]]) &lt; 1, "OK", "Mismatch")</f>
        <v>OK</v>
      </c>
      <c r="B80" s="24" t="str">
        <f>IF(ABS(Table4[[#This Row],[Private_FT_employees]] + Table4[[#This Row],[Private_PT_employees]] - Table4[[#This Row],[Private_Tot_employees]]) &lt; 1, "OK", "Mismatch")</f>
        <v>Mismatch</v>
      </c>
      <c r="C80" s="24" t="str">
        <f>IF(ABS(Table4[[#This Row],[Total_FT_Employees]] + Table4[[#This Row],[Total_PT_Employees]] - Table4[[#This Row],[Total_Tot_employees]]) &lt; 1, "OK", "Mismatch")</f>
        <v>Mismatch</v>
      </c>
      <c r="D80" s="24" t="str">
        <f>IF(ABS(Table4[[#This Row],[Public_Tot_employment]] + Table4[[#This Row],[Private_Tot_employment]] - Table4[[#This Row],[Total_Employment]]) &lt; 1, "OK", "Mismatch")</f>
        <v>OK</v>
      </c>
    </row>
    <row r="81" spans="1:4" x14ac:dyDescent="0.3">
      <c r="A81" s="24" t="str">
        <f>IF(ABS(Table4[[#This Row],[Public_FT_employees]] + Table4[[#This Row],[Public_PT_employees]] - Table4[[#This Row],[Public_Tot_employees]]) &lt; 1, "OK", "Mismatch")</f>
        <v>OK</v>
      </c>
      <c r="B81" s="24" t="str">
        <f>IF(ABS(Table4[[#This Row],[Private_FT_employees]] + Table4[[#This Row],[Private_PT_employees]] - Table4[[#This Row],[Private_Tot_employees]]) &lt; 1, "OK", "Mismatch")</f>
        <v>Mismatch</v>
      </c>
      <c r="C81" s="24" t="str">
        <f>IF(ABS(Table4[[#This Row],[Total_FT_Employees]] + Table4[[#This Row],[Total_PT_Employees]] - Table4[[#This Row],[Total_Tot_employees]]) &lt; 1, "OK", "Mismatch")</f>
        <v>Mismatch</v>
      </c>
      <c r="D81" s="24" t="str">
        <f>IF(ABS(Table4[[#This Row],[Public_Tot_employment]] + Table4[[#This Row],[Private_Tot_employment]] - Table4[[#This Row],[Total_Employment]]) &lt; 1, "OK", "Mismatch")</f>
        <v>Mismatch</v>
      </c>
    </row>
    <row r="82" spans="1:4" x14ac:dyDescent="0.3">
      <c r="A82" s="24" t="str">
        <f>IF(ABS(Table4[[#This Row],[Public_FT_employees]] + Table4[[#This Row],[Public_PT_employees]] - Table4[[#This Row],[Public_Tot_employees]]) &lt; 1, "OK", "Mismatch")</f>
        <v>OK</v>
      </c>
      <c r="B82" s="24" t="str">
        <f>IF(ABS(Table4[[#This Row],[Private_FT_employees]] + Table4[[#This Row],[Private_PT_employees]] - Table4[[#This Row],[Private_Tot_employees]]) &lt; 1, "OK", "Mismatch")</f>
        <v>Mismatch</v>
      </c>
      <c r="C82" s="24" t="str">
        <f>IF(ABS(Table4[[#This Row],[Total_FT_Employees]] + Table4[[#This Row],[Total_PT_Employees]] - Table4[[#This Row],[Total_Tot_employees]]) &lt; 1, "OK", "Mismatch")</f>
        <v>Mismatch</v>
      </c>
      <c r="D82" s="24" t="str">
        <f>IF(ABS(Table4[[#This Row],[Public_Tot_employment]] + Table4[[#This Row],[Private_Tot_employment]] - Table4[[#This Row],[Total_Employment]]) &lt; 1, "OK", "Mismatch")</f>
        <v>Mismatch</v>
      </c>
    </row>
    <row r="83" spans="1:4" x14ac:dyDescent="0.3">
      <c r="A83" s="24" t="str">
        <f>IF(ABS(Table4[[#This Row],[Public_FT_employees]] + Table4[[#This Row],[Public_PT_employees]] - Table4[[#This Row],[Public_Tot_employees]]) &lt; 1, "OK", "Mismatch")</f>
        <v>OK</v>
      </c>
      <c r="B83" s="24" t="str">
        <f>IF(ABS(Table4[[#This Row],[Private_FT_employees]] + Table4[[#This Row],[Private_PT_employees]] - Table4[[#This Row],[Private_Tot_employees]]) &lt; 1, "OK", "Mismatch")</f>
        <v>Mismatch</v>
      </c>
      <c r="C83" s="24" t="str">
        <f>IF(ABS(Table4[[#This Row],[Total_FT_Employees]] + Table4[[#This Row],[Total_PT_Employees]] - Table4[[#This Row],[Total_Tot_employees]]) &lt; 1, "OK", "Mismatch")</f>
        <v>Mismatch</v>
      </c>
      <c r="D83" s="24" t="str">
        <f>IF(ABS(Table4[[#This Row],[Public_Tot_employment]] + Table4[[#This Row],[Private_Tot_employment]] - Table4[[#This Row],[Total_Employment]]) &lt; 1, "OK", "Mismatch")</f>
        <v>Mismatch</v>
      </c>
    </row>
    <row r="84" spans="1:4" x14ac:dyDescent="0.3">
      <c r="A84" s="24" t="str">
        <f>IF(ABS(Table4[[#This Row],[Public_FT_employees]] + Table4[[#This Row],[Public_PT_employees]] - Table4[[#This Row],[Public_Tot_employees]]) &lt; 1, "OK", "Mismatch")</f>
        <v>Mismatch</v>
      </c>
      <c r="B84" s="24" t="str">
        <f>IF(ABS(Table4[[#This Row],[Private_FT_employees]] + Table4[[#This Row],[Private_PT_employees]] - Table4[[#This Row],[Private_Tot_employees]]) &lt; 1, "OK", "Mismatch")</f>
        <v>Mismatch</v>
      </c>
      <c r="C84" s="24" t="str">
        <f>IF(ABS(Table4[[#This Row],[Total_FT_Employees]] + Table4[[#This Row],[Total_PT_Employees]] - Table4[[#This Row],[Total_Tot_employees]]) &lt; 1, "OK", "Mismatch")</f>
        <v>Mismatch</v>
      </c>
      <c r="D84" s="24" t="str">
        <f>IF(ABS(Table4[[#This Row],[Public_Tot_employment]] + Table4[[#This Row],[Private_Tot_employment]] - Table4[[#This Row],[Total_Employment]]) &lt; 1, "OK", "Mismatch")</f>
        <v>OK</v>
      </c>
    </row>
    <row r="85" spans="1:4" x14ac:dyDescent="0.3">
      <c r="A85" s="24" t="str">
        <f>IF(ABS(Table4[[#This Row],[Public_FT_employees]] + Table4[[#This Row],[Public_PT_employees]] - Table4[[#This Row],[Public_Tot_employees]]) &lt; 1, "OK", "Mismatch")</f>
        <v>OK</v>
      </c>
      <c r="B85" s="24" t="str">
        <f>IF(ABS(Table4[[#This Row],[Private_FT_employees]] + Table4[[#This Row],[Private_PT_employees]] - Table4[[#This Row],[Private_Tot_employees]]) &lt; 1, "OK", "Mismatch")</f>
        <v>Mismatch</v>
      </c>
      <c r="C85" s="24" t="str">
        <f>IF(ABS(Table4[[#This Row],[Total_FT_Employees]] + Table4[[#This Row],[Total_PT_Employees]] - Table4[[#This Row],[Total_Tot_employees]]) &lt; 1, "OK", "Mismatch")</f>
        <v>Mismatch</v>
      </c>
      <c r="D85" s="24" t="str">
        <f>IF(ABS(Table4[[#This Row],[Public_Tot_employment]] + Table4[[#This Row],[Private_Tot_employment]] - Table4[[#This Row],[Total_Employment]]) &lt; 1, "OK", "Mismatch")</f>
        <v>OK</v>
      </c>
    </row>
    <row r="86" spans="1:4" x14ac:dyDescent="0.3">
      <c r="A86" s="24" t="str">
        <f>IF(ABS(Table4[[#This Row],[Public_FT_employees]] + Table4[[#This Row],[Public_PT_employees]] - Table4[[#This Row],[Public_Tot_employees]]) &lt; 1, "OK", "Mismatch")</f>
        <v>OK</v>
      </c>
      <c r="B86" s="24" t="str">
        <f>IF(ABS(Table4[[#This Row],[Private_FT_employees]] + Table4[[#This Row],[Private_PT_employees]] - Table4[[#This Row],[Private_Tot_employees]]) &lt; 1, "OK", "Mismatch")</f>
        <v>Mismatch</v>
      </c>
      <c r="C86" s="24" t="str">
        <f>IF(ABS(Table4[[#This Row],[Total_FT_Employees]] + Table4[[#This Row],[Total_PT_Employees]] - Table4[[#This Row],[Total_Tot_employees]]) &lt; 1, "OK", "Mismatch")</f>
        <v>Mismatch</v>
      </c>
      <c r="D86" s="24" t="str">
        <f>IF(ABS(Table4[[#This Row],[Public_Tot_employment]] + Table4[[#This Row],[Private_Tot_employment]] - Table4[[#This Row],[Total_Employment]]) &lt; 1, "OK", "Mismatch")</f>
        <v>OK</v>
      </c>
    </row>
    <row r="87" spans="1:4" x14ac:dyDescent="0.3">
      <c r="A87" s="24" t="str">
        <f>IF(ABS(Table4[[#This Row],[Public_FT_employees]] + Table4[[#This Row],[Public_PT_employees]] - Table4[[#This Row],[Public_Tot_employees]]) &lt; 1, "OK", "Mismatch")</f>
        <v>OK</v>
      </c>
      <c r="B87" s="24" t="str">
        <f>IF(ABS(Table4[[#This Row],[Private_FT_employees]] + Table4[[#This Row],[Private_PT_employees]] - Table4[[#This Row],[Private_Tot_employees]]) &lt; 1, "OK", "Mismatch")</f>
        <v>OK</v>
      </c>
      <c r="C87" s="24" t="str">
        <f>IF(ABS(Table4[[#This Row],[Total_FT_Employees]] + Table4[[#This Row],[Total_PT_Employees]] - Table4[[#This Row],[Total_Tot_employees]]) &lt; 1, "OK", "Mismatch")</f>
        <v>OK</v>
      </c>
      <c r="D87" s="24" t="str">
        <f>IF(ABS(Table4[[#This Row],[Public_Tot_employment]] + Table4[[#This Row],[Private_Tot_employment]] - Table4[[#This Row],[Total_Employment]]) &lt; 1, "OK", "Mismatch")</f>
        <v>OK</v>
      </c>
    </row>
    <row r="88" spans="1:4" x14ac:dyDescent="0.3">
      <c r="A88" s="24" t="str">
        <f>IF(ABS(Table4[[#This Row],[Public_FT_employees]] + Table4[[#This Row],[Public_PT_employees]] - Table4[[#This Row],[Public_Tot_employees]]) &lt; 1, "OK", "Mismatch")</f>
        <v>OK</v>
      </c>
      <c r="B88" s="24" t="str">
        <f>IF(ABS(Table4[[#This Row],[Private_FT_employees]] + Table4[[#This Row],[Private_PT_employees]] - Table4[[#This Row],[Private_Tot_employees]]) &lt; 1, "OK", "Mismatch")</f>
        <v>OK</v>
      </c>
      <c r="C88" s="24" t="str">
        <f>IF(ABS(Table4[[#This Row],[Total_FT_Employees]] + Table4[[#This Row],[Total_PT_Employees]] - Table4[[#This Row],[Total_Tot_employees]]) &lt; 1, "OK", "Mismatch")</f>
        <v>Mismatch</v>
      </c>
      <c r="D88" s="24" t="str">
        <f>IF(ABS(Table4[[#This Row],[Public_Tot_employment]] + Table4[[#This Row],[Private_Tot_employment]] - Table4[[#This Row],[Total_Employment]]) &lt; 1, "OK", "Mismatch")</f>
        <v>OK</v>
      </c>
    </row>
    <row r="89" spans="1:4" x14ac:dyDescent="0.3">
      <c r="A89" s="24" t="str">
        <f>IF(ABS(Table4[[#This Row],[Public_FT_employees]] + Table4[[#This Row],[Public_PT_employees]] - Table4[[#This Row],[Public_Tot_employees]]) &lt; 1, "OK", "Mismatch")</f>
        <v>OK</v>
      </c>
      <c r="B89" s="24" t="str">
        <f>IF(ABS(Table4[[#This Row],[Private_FT_employees]] + Table4[[#This Row],[Private_PT_employees]] - Table4[[#This Row],[Private_Tot_employees]]) &lt; 1, "OK", "Mismatch")</f>
        <v>OK</v>
      </c>
      <c r="C89" s="24" t="str">
        <f>IF(ABS(Table4[[#This Row],[Total_FT_Employees]] + Table4[[#This Row],[Total_PT_Employees]] - Table4[[#This Row],[Total_Tot_employees]]) &lt; 1, "OK", "Mismatch")</f>
        <v>Mismatch</v>
      </c>
      <c r="D89" s="24" t="str">
        <f>IF(ABS(Table4[[#This Row],[Public_Tot_employment]] + Table4[[#This Row],[Private_Tot_employment]] - Table4[[#This Row],[Total_Employment]]) &lt; 1, "OK", "Mismatch")</f>
        <v>OK</v>
      </c>
    </row>
    <row r="90" spans="1:4" x14ac:dyDescent="0.3">
      <c r="A90" s="24" t="str">
        <f>IF(ABS(Table4[[#This Row],[Public_FT_employees]] + Table4[[#This Row],[Public_PT_employees]] - Table4[[#This Row],[Public_Tot_employees]]) &lt; 1, "OK", "Mismatch")</f>
        <v>Mismatch</v>
      </c>
      <c r="B90" s="24" t="str">
        <f>IF(ABS(Table4[[#This Row],[Private_FT_employees]] + Table4[[#This Row],[Private_PT_employees]] - Table4[[#This Row],[Private_Tot_employees]]) &lt; 1, "OK", "Mismatch")</f>
        <v>OK</v>
      </c>
      <c r="C90" s="24" t="str">
        <f>IF(ABS(Table4[[#This Row],[Total_FT_Employees]] + Table4[[#This Row],[Total_PT_Employees]] - Table4[[#This Row],[Total_Tot_employees]]) &lt; 1, "OK", "Mismatch")</f>
        <v>OK</v>
      </c>
      <c r="D90" s="24" t="str">
        <f>IF(ABS(Table4[[#This Row],[Public_Tot_employment]] + Table4[[#This Row],[Private_Tot_employment]] - Table4[[#This Row],[Total_Employment]]) &lt; 1, "OK", "Mismatch")</f>
        <v>OK</v>
      </c>
    </row>
    <row r="91" spans="1:4" x14ac:dyDescent="0.3">
      <c r="A91" s="24" t="str">
        <f>IF(ABS(Table4[[#This Row],[Public_FT_employees]] + Table4[[#This Row],[Public_PT_employees]] - Table4[[#This Row],[Public_Tot_employees]]) &lt; 1, "OK", "Mismatch")</f>
        <v>OK</v>
      </c>
      <c r="B91" s="24" t="str">
        <f>IF(ABS(Table4[[#This Row],[Private_FT_employees]] + Table4[[#This Row],[Private_PT_employees]] - Table4[[#This Row],[Private_Tot_employees]]) &lt; 1, "OK", "Mismatch")</f>
        <v>Mismatch</v>
      </c>
      <c r="C91" s="24" t="str">
        <f>IF(ABS(Table4[[#This Row],[Total_FT_Employees]] + Table4[[#This Row],[Total_PT_Employees]] - Table4[[#This Row],[Total_Tot_employees]]) &lt; 1, "OK", "Mismatch")</f>
        <v>Mismatch</v>
      </c>
      <c r="D91" s="24" t="str">
        <f>IF(ABS(Table4[[#This Row],[Public_Tot_employment]] + Table4[[#This Row],[Private_Tot_employment]] - Table4[[#This Row],[Total_Employment]]) &lt; 1, "OK", "Mismatch")</f>
        <v>OK</v>
      </c>
    </row>
    <row r="92" spans="1:4" x14ac:dyDescent="0.3">
      <c r="A92" s="24" t="str">
        <f>IF(ABS(Table4[[#This Row],[Public_FT_employees]] + Table4[[#This Row],[Public_PT_employees]] - Table4[[#This Row],[Public_Tot_employees]]) &lt; 1, "OK", "Mismatch")</f>
        <v>Mismatch</v>
      </c>
      <c r="B92" s="24" t="str">
        <f>IF(ABS(Table4[[#This Row],[Private_FT_employees]] + Table4[[#This Row],[Private_PT_employees]] - Table4[[#This Row],[Private_Tot_employees]]) &lt; 1, "OK", "Mismatch")</f>
        <v>Mismatch</v>
      </c>
      <c r="C92" s="24" t="str">
        <f>IF(ABS(Table4[[#This Row],[Total_FT_Employees]] + Table4[[#This Row],[Total_PT_Employees]] - Table4[[#This Row],[Total_Tot_employees]]) &lt; 1, "OK", "Mismatch")</f>
        <v>Mismatch</v>
      </c>
      <c r="D92" s="24" t="str">
        <f>IF(ABS(Table4[[#This Row],[Public_Tot_employment]] + Table4[[#This Row],[Private_Tot_employment]] - Table4[[#This Row],[Total_Employment]]) &lt; 1, "OK", "Mismatch")</f>
        <v>OK</v>
      </c>
    </row>
    <row r="93" spans="1:4" x14ac:dyDescent="0.3">
      <c r="A93" s="24" t="str">
        <f>IF(ABS(Table4[[#This Row],[Public_FT_employees]] + Table4[[#This Row],[Public_PT_employees]] - Table4[[#This Row],[Public_Tot_employees]]) &lt; 1, "OK", "Mismatch")</f>
        <v>OK</v>
      </c>
      <c r="B93" s="24" t="str">
        <f>IF(ABS(Table4[[#This Row],[Private_FT_employees]] + Table4[[#This Row],[Private_PT_employees]] - Table4[[#This Row],[Private_Tot_employees]]) &lt; 1, "OK", "Mismatch")</f>
        <v>Mismatch</v>
      </c>
      <c r="C93" s="24" t="str">
        <f>IF(ABS(Table4[[#This Row],[Total_FT_Employees]] + Table4[[#This Row],[Total_PT_Employees]] - Table4[[#This Row],[Total_Tot_employees]]) &lt; 1, "OK", "Mismatch")</f>
        <v>Mismatch</v>
      </c>
      <c r="D93" s="24" t="str">
        <f>IF(ABS(Table4[[#This Row],[Public_Tot_employment]] + Table4[[#This Row],[Private_Tot_employment]] - Table4[[#This Row],[Total_Employment]]) &lt; 1, "OK", "Mismatch")</f>
        <v>Mismatch</v>
      </c>
    </row>
    <row r="94" spans="1:4" x14ac:dyDescent="0.3">
      <c r="A94" s="24" t="str">
        <f>IF(ABS(Table4[[#This Row],[Public_FT_employees]] + Table4[[#This Row],[Public_PT_employees]] - Table4[[#This Row],[Public_Tot_employees]]) &lt; 1, "OK", "Mismatch")</f>
        <v>OK</v>
      </c>
      <c r="B94" s="24" t="str">
        <f>IF(ABS(Table4[[#This Row],[Private_FT_employees]] + Table4[[#This Row],[Private_PT_employees]] - Table4[[#This Row],[Private_Tot_employees]]) &lt; 1, "OK", "Mismatch")</f>
        <v>Mismatch</v>
      </c>
      <c r="C94" s="24" t="str">
        <f>IF(ABS(Table4[[#This Row],[Total_FT_Employees]] + Table4[[#This Row],[Total_PT_Employees]] - Table4[[#This Row],[Total_Tot_employees]]) &lt; 1, "OK", "Mismatch")</f>
        <v>Mismatch</v>
      </c>
      <c r="D94" s="24" t="str">
        <f>IF(ABS(Table4[[#This Row],[Public_Tot_employment]] + Table4[[#This Row],[Private_Tot_employment]] - Table4[[#This Row],[Total_Employment]]) &lt; 1, "OK", "Mismatch")</f>
        <v>OK</v>
      </c>
    </row>
    <row r="95" spans="1:4" x14ac:dyDescent="0.3">
      <c r="A95" s="24" t="str">
        <f>IF(ABS(Table4[[#This Row],[Public_FT_employees]] + Table4[[#This Row],[Public_PT_employees]] - Table4[[#This Row],[Public_Tot_employees]]) &lt; 1, "OK", "Mismatch")</f>
        <v>OK</v>
      </c>
      <c r="B95" s="24" t="str">
        <f>IF(ABS(Table4[[#This Row],[Private_FT_employees]] + Table4[[#This Row],[Private_PT_employees]] - Table4[[#This Row],[Private_Tot_employees]]) &lt; 1, "OK", "Mismatch")</f>
        <v>Mismatch</v>
      </c>
      <c r="C95" s="24" t="str">
        <f>IF(ABS(Table4[[#This Row],[Total_FT_Employees]] + Table4[[#This Row],[Total_PT_Employees]] - Table4[[#This Row],[Total_Tot_employees]]) &lt; 1, "OK", "Mismatch")</f>
        <v>Mismatch</v>
      </c>
      <c r="D95" s="24" t="str">
        <f>IF(ABS(Table4[[#This Row],[Public_Tot_employment]] + Table4[[#This Row],[Private_Tot_employment]] - Table4[[#This Row],[Total_Employment]]) &lt; 1, "OK", "Mismatch")</f>
        <v>OK</v>
      </c>
    </row>
    <row r="96" spans="1:4" x14ac:dyDescent="0.3">
      <c r="A96" s="24" t="str">
        <f>IF(ABS(Table4[[#This Row],[Public_FT_employees]] + Table4[[#This Row],[Public_PT_employees]] - Table4[[#This Row],[Public_Tot_employees]]) &lt; 1, "OK", "Mismatch")</f>
        <v>OK</v>
      </c>
      <c r="B96" s="24" t="str">
        <f>IF(ABS(Table4[[#This Row],[Private_FT_employees]] + Table4[[#This Row],[Private_PT_employees]] - Table4[[#This Row],[Private_Tot_employees]]) &lt; 1, "OK", "Mismatch")</f>
        <v>Mismatch</v>
      </c>
      <c r="C96" s="24" t="str">
        <f>IF(ABS(Table4[[#This Row],[Total_FT_Employees]] + Table4[[#This Row],[Total_PT_Employees]] - Table4[[#This Row],[Total_Tot_employees]]) &lt; 1, "OK", "Mismatch")</f>
        <v>Mismatch</v>
      </c>
      <c r="D96" s="24" t="str">
        <f>IF(ABS(Table4[[#This Row],[Public_Tot_employment]] + Table4[[#This Row],[Private_Tot_employment]] - Table4[[#This Row],[Total_Employment]]) &lt; 1, "OK", "Mismatch")</f>
        <v>OK</v>
      </c>
    </row>
    <row r="97" spans="1:4" x14ac:dyDescent="0.3">
      <c r="A97" s="24" t="str">
        <f>IF(ABS(Table4[[#This Row],[Public_FT_employees]] + Table4[[#This Row],[Public_PT_employees]] - Table4[[#This Row],[Public_Tot_employees]]) &lt; 1, "OK", "Mismatch")</f>
        <v>OK</v>
      </c>
      <c r="B97" s="24" t="str">
        <f>IF(ABS(Table4[[#This Row],[Private_FT_employees]] + Table4[[#This Row],[Private_PT_employees]] - Table4[[#This Row],[Private_Tot_employees]]) &lt; 1, "OK", "Mismatch")</f>
        <v>Mismatch</v>
      </c>
      <c r="C97" s="24" t="str">
        <f>IF(ABS(Table4[[#This Row],[Total_FT_Employees]] + Table4[[#This Row],[Total_PT_Employees]] - Table4[[#This Row],[Total_Tot_employees]]) &lt; 1, "OK", "Mismatch")</f>
        <v>OK</v>
      </c>
      <c r="D97" s="24" t="str">
        <f>IF(ABS(Table4[[#This Row],[Public_Tot_employment]] + Table4[[#This Row],[Private_Tot_employment]] - Table4[[#This Row],[Total_Employment]]) &lt; 1, "OK", "Mismatch")</f>
        <v>OK</v>
      </c>
    </row>
    <row r="98" spans="1:4" x14ac:dyDescent="0.3">
      <c r="A98" s="24" t="str">
        <f>IF(ABS(Table4[[#This Row],[Public_FT_employees]] + Table4[[#This Row],[Public_PT_employees]] - Table4[[#This Row],[Public_Tot_employees]]) &lt; 1, "OK", "Mismatch")</f>
        <v>OK</v>
      </c>
      <c r="B98" s="24" t="str">
        <f>IF(ABS(Table4[[#This Row],[Private_FT_employees]] + Table4[[#This Row],[Private_PT_employees]] - Table4[[#This Row],[Private_Tot_employees]]) &lt; 1, "OK", "Mismatch")</f>
        <v>Mismatch</v>
      </c>
      <c r="C98" s="24" t="str">
        <f>IF(ABS(Table4[[#This Row],[Total_FT_Employees]] + Table4[[#This Row],[Total_PT_Employees]] - Table4[[#This Row],[Total_Tot_employees]]) &lt; 1, "OK", "Mismatch")</f>
        <v>Mismatch</v>
      </c>
      <c r="D98" s="24" t="str">
        <f>IF(ABS(Table4[[#This Row],[Public_Tot_employment]] + Table4[[#This Row],[Private_Tot_employment]] - Table4[[#This Row],[Total_Employment]]) &lt; 1, "OK", "Mismatch")</f>
        <v>OK</v>
      </c>
    </row>
    <row r="99" spans="1:4" x14ac:dyDescent="0.3">
      <c r="A99" s="24" t="str">
        <f>IF(ABS(Table4[[#This Row],[Public_FT_employees]] + Table4[[#This Row],[Public_PT_employees]] - Table4[[#This Row],[Public_Tot_employees]]) &lt; 1, "OK", "Mismatch")</f>
        <v>OK</v>
      </c>
      <c r="B99" s="24" t="str">
        <f>IF(ABS(Table4[[#This Row],[Private_FT_employees]] + Table4[[#This Row],[Private_PT_employees]] - Table4[[#This Row],[Private_Tot_employees]]) &lt; 1, "OK", "Mismatch")</f>
        <v>Mismatch</v>
      </c>
      <c r="C99" s="24" t="str">
        <f>IF(ABS(Table4[[#This Row],[Total_FT_Employees]] + Table4[[#This Row],[Total_PT_Employees]] - Table4[[#This Row],[Total_Tot_employees]]) &lt; 1, "OK", "Mismatch")</f>
        <v>Mismatch</v>
      </c>
      <c r="D99" s="24" t="str">
        <f>IF(ABS(Table4[[#This Row],[Public_Tot_employment]] + Table4[[#This Row],[Private_Tot_employment]] - Table4[[#This Row],[Total_Employment]]) &lt; 1, "OK", "Mismatch")</f>
        <v>OK</v>
      </c>
    </row>
    <row r="100" spans="1:4" x14ac:dyDescent="0.3">
      <c r="A100" s="24" t="str">
        <f>IF(ABS(Table4[[#This Row],[Public_FT_employees]] + Table4[[#This Row],[Public_PT_employees]] - Table4[[#This Row],[Public_Tot_employees]]) &lt; 1, "OK", "Mismatch")</f>
        <v>Mismatch</v>
      </c>
      <c r="B100" s="24" t="str">
        <f>IF(ABS(Table4[[#This Row],[Private_FT_employees]] + Table4[[#This Row],[Private_PT_employees]] - Table4[[#This Row],[Private_Tot_employees]]) &lt; 1, "OK", "Mismatch")</f>
        <v>OK</v>
      </c>
      <c r="C100" s="24" t="str">
        <f>IF(ABS(Table4[[#This Row],[Total_FT_Employees]] + Table4[[#This Row],[Total_PT_Employees]] - Table4[[#This Row],[Total_Tot_employees]]) &lt; 1, "OK", "Mismatch")</f>
        <v>OK</v>
      </c>
      <c r="D100" s="24" t="str">
        <f>IF(ABS(Table4[[#This Row],[Public_Tot_employment]] + Table4[[#This Row],[Private_Tot_employment]] - Table4[[#This Row],[Total_Employment]]) &lt; 1, "OK", "Mismatch")</f>
        <v>Mismatch</v>
      </c>
    </row>
    <row r="101" spans="1:4" x14ac:dyDescent="0.3">
      <c r="A101" s="24" t="str">
        <f>IF(ABS(Table4[[#This Row],[Public_FT_employees]] + Table4[[#This Row],[Public_PT_employees]] - Table4[[#This Row],[Public_Tot_employees]]) &lt; 1, "OK", "Mismatch")</f>
        <v>OK</v>
      </c>
      <c r="B101" s="24" t="str">
        <f>IF(ABS(Table4[[#This Row],[Private_FT_employees]] + Table4[[#This Row],[Private_PT_employees]] - Table4[[#This Row],[Private_Tot_employees]]) &lt; 1, "OK", "Mismatch")</f>
        <v>OK</v>
      </c>
      <c r="C101" s="24" t="str">
        <f>IF(ABS(Table4[[#This Row],[Total_FT_Employees]] + Table4[[#This Row],[Total_PT_Employees]] - Table4[[#This Row],[Total_Tot_employees]]) &lt; 1, "OK", "Mismatch")</f>
        <v>OK</v>
      </c>
      <c r="D101" s="24" t="str">
        <f>IF(ABS(Table4[[#This Row],[Public_Tot_employment]] + Table4[[#This Row],[Private_Tot_employment]] - Table4[[#This Row],[Total_Employment]]) &lt; 1, "OK", "Mismatch")</f>
        <v>OK</v>
      </c>
    </row>
    <row r="102" spans="1:4" x14ac:dyDescent="0.3">
      <c r="A102" s="24" t="str">
        <f>IF(ABS(Table4[[#This Row],[Public_FT_employees]] + Table4[[#This Row],[Public_PT_employees]] - Table4[[#This Row],[Public_Tot_employees]]) &lt; 1, "OK", "Mismatch")</f>
        <v>OK</v>
      </c>
      <c r="B102" s="24" t="str">
        <f>IF(ABS(Table4[[#This Row],[Private_FT_employees]] + Table4[[#This Row],[Private_PT_employees]] - Table4[[#This Row],[Private_Tot_employees]]) &lt; 1, "OK", "Mismatch")</f>
        <v>OK</v>
      </c>
      <c r="C102" s="24" t="str">
        <f>IF(ABS(Table4[[#This Row],[Total_FT_Employees]] + Table4[[#This Row],[Total_PT_Employees]] - Table4[[#This Row],[Total_Tot_employees]]) &lt; 1, "OK", "Mismatch")</f>
        <v>OK</v>
      </c>
      <c r="D102" s="24" t="str">
        <f>IF(ABS(Table4[[#This Row],[Public_Tot_employment]] + Table4[[#This Row],[Private_Tot_employment]] - Table4[[#This Row],[Total_Employment]]) &lt; 1, "OK", "Mismatch")</f>
        <v>OK</v>
      </c>
    </row>
    <row r="103" spans="1:4" x14ac:dyDescent="0.3">
      <c r="A103" s="24" t="str">
        <f>IF(ABS(Table4[[#This Row],[Public_FT_employees]] + Table4[[#This Row],[Public_PT_employees]] - Table4[[#This Row],[Public_Tot_employees]]) &lt; 1, "OK", "Mismatch")</f>
        <v>OK</v>
      </c>
      <c r="B103" s="24" t="str">
        <f>IF(ABS(Table4[[#This Row],[Private_FT_employees]] + Table4[[#This Row],[Private_PT_employees]] - Table4[[#This Row],[Private_Tot_employees]]) &lt; 1, "OK", "Mismatch")</f>
        <v>OK</v>
      </c>
      <c r="C103" s="24" t="str">
        <f>IF(ABS(Table4[[#This Row],[Total_FT_Employees]] + Table4[[#This Row],[Total_PT_Employees]] - Table4[[#This Row],[Total_Tot_employees]]) &lt; 1, "OK", "Mismatch")</f>
        <v>OK</v>
      </c>
      <c r="D103" s="24" t="str">
        <f>IF(ABS(Table4[[#This Row],[Public_Tot_employment]] + Table4[[#This Row],[Private_Tot_employment]] - Table4[[#This Row],[Total_Employment]]) &lt; 1, "OK", "Mismatch")</f>
        <v>OK</v>
      </c>
    </row>
    <row r="104" spans="1:4" x14ac:dyDescent="0.3">
      <c r="A104" s="24" t="str">
        <f>IF(ABS(Table4[[#This Row],[Public_FT_employees]] + Table4[[#This Row],[Public_PT_employees]] - Table4[[#This Row],[Public_Tot_employees]]) &lt; 1, "OK", "Mismatch")</f>
        <v>Mismatch</v>
      </c>
      <c r="B104" s="24" t="str">
        <f>IF(ABS(Table4[[#This Row],[Private_FT_employees]] + Table4[[#This Row],[Private_PT_employees]] - Table4[[#This Row],[Private_Tot_employees]]) &lt; 1, "OK", "Mismatch")</f>
        <v>Mismatch</v>
      </c>
      <c r="C104" s="24" t="str">
        <f>IF(ABS(Table4[[#This Row],[Total_FT_Employees]] + Table4[[#This Row],[Total_PT_Employees]] - Table4[[#This Row],[Total_Tot_employees]]) &lt; 1, "OK", "Mismatch")</f>
        <v>OK</v>
      </c>
      <c r="D104" s="24" t="str">
        <f>IF(ABS(Table4[[#This Row],[Public_Tot_employment]] + Table4[[#This Row],[Private_Tot_employment]] - Table4[[#This Row],[Total_Employment]]) &lt; 1, "OK", "Mismatch")</f>
        <v>OK</v>
      </c>
    </row>
    <row r="105" spans="1:4" x14ac:dyDescent="0.3">
      <c r="A105" s="24" t="str">
        <f>IF(ABS(Table4[[#This Row],[Public_FT_employees]] + Table4[[#This Row],[Public_PT_employees]] - Table4[[#This Row],[Public_Tot_employees]]) &lt; 1, "OK", "Mismatch")</f>
        <v>OK</v>
      </c>
      <c r="B105" s="24" t="str">
        <f>IF(ABS(Table4[[#This Row],[Private_FT_employees]] + Table4[[#This Row],[Private_PT_employees]] - Table4[[#This Row],[Private_Tot_employees]]) &lt; 1, "OK", "Mismatch")</f>
        <v>OK</v>
      </c>
      <c r="C105" s="24" t="str">
        <f>IF(ABS(Table4[[#This Row],[Total_FT_Employees]] + Table4[[#This Row],[Total_PT_Employees]] - Table4[[#This Row],[Total_Tot_employees]]) &lt; 1, "OK", "Mismatch")</f>
        <v>Mismatch</v>
      </c>
      <c r="D105" s="24" t="str">
        <f>IF(ABS(Table4[[#This Row],[Public_Tot_employment]] + Table4[[#This Row],[Private_Tot_employment]] - Table4[[#This Row],[Total_Employment]]) &lt; 1, "OK", "Mismatch")</f>
        <v>Mismatch</v>
      </c>
    </row>
    <row r="106" spans="1:4" x14ac:dyDescent="0.3">
      <c r="A106" s="24" t="str">
        <f>IF(ABS(Table4[[#This Row],[Public_FT_employees]] + Table4[[#This Row],[Public_PT_employees]] - Table4[[#This Row],[Public_Tot_employees]]) &lt; 1, "OK", "Mismatch")</f>
        <v>OK</v>
      </c>
      <c r="B106" s="24" t="str">
        <f>IF(ABS(Table4[[#This Row],[Private_FT_employees]] + Table4[[#This Row],[Private_PT_employees]] - Table4[[#This Row],[Private_Tot_employees]]) &lt; 1, "OK", "Mismatch")</f>
        <v>OK</v>
      </c>
      <c r="C106" s="24" t="str">
        <f>IF(ABS(Table4[[#This Row],[Total_FT_Employees]] + Table4[[#This Row],[Total_PT_Employees]] - Table4[[#This Row],[Total_Tot_employees]]) &lt; 1, "OK", "Mismatch")</f>
        <v>OK</v>
      </c>
      <c r="D106" s="24" t="str">
        <f>IF(ABS(Table4[[#This Row],[Public_Tot_employment]] + Table4[[#This Row],[Private_Tot_employment]] - Table4[[#This Row],[Total_Employment]]) &lt; 1, "OK", "Mismatch")</f>
        <v>OK</v>
      </c>
    </row>
    <row r="107" spans="1:4" x14ac:dyDescent="0.3">
      <c r="A107" s="24" t="str">
        <f>IF(ABS(Table4[[#This Row],[Public_FT_employees]] + Table4[[#This Row],[Public_PT_employees]] - Table4[[#This Row],[Public_Tot_employees]]) &lt; 1, "OK", "Mismatch")</f>
        <v>OK</v>
      </c>
      <c r="B107" s="24" t="str">
        <f>IF(ABS(Table4[[#This Row],[Private_FT_employees]] + Table4[[#This Row],[Private_PT_employees]] - Table4[[#This Row],[Private_Tot_employees]]) &lt; 1, "OK", "Mismatch")</f>
        <v>OK</v>
      </c>
      <c r="C107" s="24" t="str">
        <f>IF(ABS(Table4[[#This Row],[Total_FT_Employees]] + Table4[[#This Row],[Total_PT_Employees]] - Table4[[#This Row],[Total_Tot_employees]]) &lt; 1, "OK", "Mismatch")</f>
        <v>OK</v>
      </c>
      <c r="D107" s="24" t="str">
        <f>IF(ABS(Table4[[#This Row],[Public_Tot_employment]] + Table4[[#This Row],[Private_Tot_employment]] - Table4[[#This Row],[Total_Employment]]) &lt; 1, "OK", "Mismatch")</f>
        <v>Mismatch</v>
      </c>
    </row>
    <row r="108" spans="1:4" x14ac:dyDescent="0.3">
      <c r="A108" s="24" t="str">
        <f>IF(ABS(Table4[[#This Row],[Public_FT_employees]] + Table4[[#This Row],[Public_PT_employees]] - Table4[[#This Row],[Public_Tot_employees]]) &lt; 1, "OK", "Mismatch")</f>
        <v>Mismatch</v>
      </c>
      <c r="B108" s="24" t="str">
        <f>IF(ABS(Table4[[#This Row],[Private_FT_employees]] + Table4[[#This Row],[Private_PT_employees]] - Table4[[#This Row],[Private_Tot_employees]]) &lt; 1, "OK", "Mismatch")</f>
        <v>OK</v>
      </c>
      <c r="C108" s="24" t="str">
        <f>IF(ABS(Table4[[#This Row],[Total_FT_Employees]] + Table4[[#This Row],[Total_PT_Employees]] - Table4[[#This Row],[Total_Tot_employees]]) &lt; 1, "OK", "Mismatch")</f>
        <v>OK</v>
      </c>
      <c r="D108" s="24" t="str">
        <f>IF(ABS(Table4[[#This Row],[Public_Tot_employment]] + Table4[[#This Row],[Private_Tot_employment]] - Table4[[#This Row],[Total_Employment]]) &lt; 1, "OK", "Mismatch")</f>
        <v>OK</v>
      </c>
    </row>
    <row r="109" spans="1:4" x14ac:dyDescent="0.3">
      <c r="A109" s="24" t="str">
        <f>IF(ABS(Table4[[#This Row],[Public_FT_employees]] + Table4[[#This Row],[Public_PT_employees]] - Table4[[#This Row],[Public_Tot_employees]]) &lt; 1, "OK", "Mismatch")</f>
        <v>OK</v>
      </c>
      <c r="B109" s="24" t="str">
        <f>IF(ABS(Table4[[#This Row],[Private_FT_employees]] + Table4[[#This Row],[Private_PT_employees]] - Table4[[#This Row],[Private_Tot_employees]]) &lt; 1, "OK", "Mismatch")</f>
        <v>OK</v>
      </c>
      <c r="C109" s="24" t="str">
        <f>IF(ABS(Table4[[#This Row],[Total_FT_Employees]] + Table4[[#This Row],[Total_PT_Employees]] - Table4[[#This Row],[Total_Tot_employees]]) &lt; 1, "OK", "Mismatch")</f>
        <v>Mismatch</v>
      </c>
      <c r="D109" s="24" t="str">
        <f>IF(ABS(Table4[[#This Row],[Public_Tot_employment]] + Table4[[#This Row],[Private_Tot_employment]] - Table4[[#This Row],[Total_Employment]]) &lt; 1, "OK", "Mismatch")</f>
        <v>OK</v>
      </c>
    </row>
    <row r="110" spans="1:4" x14ac:dyDescent="0.3">
      <c r="A110" s="24" t="str">
        <f>IF(ABS(Table4[[#This Row],[Public_FT_employees]] + Table4[[#This Row],[Public_PT_employees]] - Table4[[#This Row],[Public_Tot_employees]]) &lt; 1, "OK", "Mismatch")</f>
        <v>OK</v>
      </c>
      <c r="B110" s="24" t="str">
        <f>IF(ABS(Table4[[#This Row],[Private_FT_employees]] + Table4[[#This Row],[Private_PT_employees]] - Table4[[#This Row],[Private_Tot_employees]]) &lt; 1, "OK", "Mismatch")</f>
        <v>OK</v>
      </c>
      <c r="C110" s="24" t="str">
        <f>IF(ABS(Table4[[#This Row],[Total_FT_Employees]] + Table4[[#This Row],[Total_PT_Employees]] - Table4[[#This Row],[Total_Tot_employees]]) &lt; 1, "OK", "Mismatch")</f>
        <v>Mismatch</v>
      </c>
      <c r="D110" s="24" t="str">
        <f>IF(ABS(Table4[[#This Row],[Public_Tot_employment]] + Table4[[#This Row],[Private_Tot_employment]] - Table4[[#This Row],[Total_Employment]]) &lt; 1, "OK", "Mismatch")</f>
        <v>OK</v>
      </c>
    </row>
    <row r="111" spans="1:4" x14ac:dyDescent="0.3">
      <c r="A111" s="24" t="str">
        <f>IF(ABS(Table4[[#This Row],[Public_FT_employees]] + Table4[[#This Row],[Public_PT_employees]] - Table4[[#This Row],[Public_Tot_employees]]) &lt; 1, "OK", "Mismatch")</f>
        <v>OK</v>
      </c>
      <c r="B111" s="24" t="str">
        <f>IF(ABS(Table4[[#This Row],[Private_FT_employees]] + Table4[[#This Row],[Private_PT_employees]] - Table4[[#This Row],[Private_Tot_employees]]) &lt; 1, "OK", "Mismatch")</f>
        <v>OK</v>
      </c>
      <c r="C111" s="24" t="str">
        <f>IF(ABS(Table4[[#This Row],[Total_FT_Employees]] + Table4[[#This Row],[Total_PT_Employees]] - Table4[[#This Row],[Total_Tot_employees]]) &lt; 1, "OK", "Mismatch")</f>
        <v>OK</v>
      </c>
      <c r="D111" s="24" t="str">
        <f>IF(ABS(Table4[[#This Row],[Public_Tot_employment]] + Table4[[#This Row],[Private_Tot_employment]] - Table4[[#This Row],[Total_Employment]]) &lt; 1, "OK", "Mismatch")</f>
        <v>OK</v>
      </c>
    </row>
    <row r="112" spans="1:4" x14ac:dyDescent="0.3">
      <c r="A112" s="24" t="str">
        <f>IF(ABS(Table4[[#This Row],[Public_FT_employees]] + Table4[[#This Row],[Public_PT_employees]] - Table4[[#This Row],[Public_Tot_employees]]) &lt; 1, "OK", "Mismatch")</f>
        <v>Mismatch</v>
      </c>
      <c r="B112" s="24" t="str">
        <f>IF(ABS(Table4[[#This Row],[Private_FT_employees]] + Table4[[#This Row],[Private_PT_employees]] - Table4[[#This Row],[Private_Tot_employees]]) &lt; 1, "OK", "Mismatch")</f>
        <v>OK</v>
      </c>
      <c r="C112" s="24" t="str">
        <f>IF(ABS(Table4[[#This Row],[Total_FT_Employees]] + Table4[[#This Row],[Total_PT_Employees]] - Table4[[#This Row],[Total_Tot_employees]]) &lt; 1, "OK", "Mismatch")</f>
        <v>Mismatch</v>
      </c>
      <c r="D112" s="24" t="str">
        <f>IF(ABS(Table4[[#This Row],[Public_Tot_employment]] + Table4[[#This Row],[Private_Tot_employment]] - Table4[[#This Row],[Total_Employment]]) &lt; 1, "OK", "Mismatch")</f>
        <v>OK</v>
      </c>
    </row>
    <row r="113" spans="1:4" x14ac:dyDescent="0.3">
      <c r="A113" s="24" t="str">
        <f>IF(ABS(Table4[[#This Row],[Public_FT_employees]] + Table4[[#This Row],[Public_PT_employees]] - Table4[[#This Row],[Public_Tot_employees]]) &lt; 1, "OK", "Mismatch")</f>
        <v>OK</v>
      </c>
      <c r="B113" s="24" t="str">
        <f>IF(ABS(Table4[[#This Row],[Private_FT_employees]] + Table4[[#This Row],[Private_PT_employees]] - Table4[[#This Row],[Private_Tot_employees]]) &lt; 1, "OK", "Mismatch")</f>
        <v>OK</v>
      </c>
      <c r="C113" s="24" t="str">
        <f>IF(ABS(Table4[[#This Row],[Total_FT_Employees]] + Table4[[#This Row],[Total_PT_Employees]] - Table4[[#This Row],[Total_Tot_employees]]) &lt; 1, "OK", "Mismatch")</f>
        <v>OK</v>
      </c>
      <c r="D113" s="24" t="str">
        <f>IF(ABS(Table4[[#This Row],[Public_Tot_employment]] + Table4[[#This Row],[Private_Tot_employment]] - Table4[[#This Row],[Total_Employment]]) &lt; 1, "OK", "Mismatch")</f>
        <v>OK</v>
      </c>
    </row>
    <row r="114" spans="1:4" x14ac:dyDescent="0.3">
      <c r="A114" s="24" t="str">
        <f>IF(ABS(Table4[[#This Row],[Public_FT_employees]] + Table4[[#This Row],[Public_PT_employees]] - Table4[[#This Row],[Public_Tot_employees]]) &lt; 1, "OK", "Mismatch")</f>
        <v>Mismatch</v>
      </c>
      <c r="B114" s="24" t="str">
        <f>IF(ABS(Table4[[#This Row],[Private_FT_employees]] + Table4[[#This Row],[Private_PT_employees]] - Table4[[#This Row],[Private_Tot_employees]]) &lt; 1, "OK", "Mismatch")</f>
        <v>OK</v>
      </c>
      <c r="C114" s="24" t="str">
        <f>IF(ABS(Table4[[#This Row],[Total_FT_Employees]] + Table4[[#This Row],[Total_PT_Employees]] - Table4[[#This Row],[Total_Tot_employees]]) &lt; 1, "OK", "Mismatch")</f>
        <v>OK</v>
      </c>
      <c r="D114" s="24" t="str">
        <f>IF(ABS(Table4[[#This Row],[Public_Tot_employment]] + Table4[[#This Row],[Private_Tot_employment]] - Table4[[#This Row],[Total_Employment]]) &lt; 1, "OK", "Mismatch")</f>
        <v>OK</v>
      </c>
    </row>
    <row r="115" spans="1:4" x14ac:dyDescent="0.3">
      <c r="A115" s="24" t="str">
        <f>IF(ABS(Table4[[#This Row],[Public_FT_employees]] + Table4[[#This Row],[Public_PT_employees]] - Table4[[#This Row],[Public_Tot_employees]]) &lt; 1, "OK", "Mismatch")</f>
        <v>Mismatch</v>
      </c>
      <c r="B115" s="24" t="str">
        <f>IF(ABS(Table4[[#This Row],[Private_FT_employees]] + Table4[[#This Row],[Private_PT_employees]] - Table4[[#This Row],[Private_Tot_employees]]) &lt; 1, "OK", "Mismatch")</f>
        <v>OK</v>
      </c>
      <c r="C115" s="24" t="str">
        <f>IF(ABS(Table4[[#This Row],[Total_FT_Employees]] + Table4[[#This Row],[Total_PT_Employees]] - Table4[[#This Row],[Total_Tot_employees]]) &lt; 1, "OK", "Mismatch")</f>
        <v>Mismatch</v>
      </c>
      <c r="D115" s="24" t="str">
        <f>IF(ABS(Table4[[#This Row],[Public_Tot_employment]] + Table4[[#This Row],[Private_Tot_employment]] - Table4[[#This Row],[Total_Employment]]) &lt; 1, "OK", "Mismatch")</f>
        <v>OK</v>
      </c>
    </row>
    <row r="116" spans="1:4" x14ac:dyDescent="0.3">
      <c r="A116" s="24" t="str">
        <f>IF(ABS(Table4[[#This Row],[Public_FT_employees]] + Table4[[#This Row],[Public_PT_employees]] - Table4[[#This Row],[Public_Tot_employees]]) &lt; 1, "OK", "Mismatch")</f>
        <v>OK</v>
      </c>
      <c r="B116" s="24" t="str">
        <f>IF(ABS(Table4[[#This Row],[Private_FT_employees]] + Table4[[#This Row],[Private_PT_employees]] - Table4[[#This Row],[Private_Tot_employees]]) &lt; 1, "OK", "Mismatch")</f>
        <v>Mismatch</v>
      </c>
      <c r="C116" s="24" t="str">
        <f>IF(ABS(Table4[[#This Row],[Total_FT_Employees]] + Table4[[#This Row],[Total_PT_Employees]] - Table4[[#This Row],[Total_Tot_employees]]) &lt; 1, "OK", "Mismatch")</f>
        <v>OK</v>
      </c>
      <c r="D116" s="24" t="str">
        <f>IF(ABS(Table4[[#This Row],[Public_Tot_employment]] + Table4[[#This Row],[Private_Tot_employment]] - Table4[[#This Row],[Total_Employment]]) &lt; 1, "OK", "Mismatch")</f>
        <v>OK</v>
      </c>
    </row>
    <row r="117" spans="1:4" x14ac:dyDescent="0.3">
      <c r="A117" s="24" t="str">
        <f>IF(ABS(Table4[[#This Row],[Public_FT_employees]] + Table4[[#This Row],[Public_PT_employees]] - Table4[[#This Row],[Public_Tot_employees]]) &lt; 1, "OK", "Mismatch")</f>
        <v>OK</v>
      </c>
      <c r="B117" s="24" t="str">
        <f>IF(ABS(Table4[[#This Row],[Private_FT_employees]] + Table4[[#This Row],[Private_PT_employees]] - Table4[[#This Row],[Private_Tot_employees]]) &lt; 1, "OK", "Mismatch")</f>
        <v>Mismatch</v>
      </c>
      <c r="C117" s="24" t="str">
        <f>IF(ABS(Table4[[#This Row],[Total_FT_Employees]] + Table4[[#This Row],[Total_PT_Employees]] - Table4[[#This Row],[Total_Tot_employees]]) &lt; 1, "OK", "Mismatch")</f>
        <v>OK</v>
      </c>
      <c r="D117" s="24" t="str">
        <f>IF(ABS(Table4[[#This Row],[Public_Tot_employment]] + Table4[[#This Row],[Private_Tot_employment]] - Table4[[#This Row],[Total_Employment]]) &lt; 1, "OK", "Mismatch")</f>
        <v>OK</v>
      </c>
    </row>
    <row r="118" spans="1:4" x14ac:dyDescent="0.3">
      <c r="A118" s="24" t="str">
        <f>IF(ABS(Table4[[#This Row],[Public_FT_employees]] + Table4[[#This Row],[Public_PT_employees]] - Table4[[#This Row],[Public_Tot_employees]]) &lt; 1, "OK", "Mismatch")</f>
        <v>Mismatch</v>
      </c>
      <c r="B118" s="24" t="str">
        <f>IF(ABS(Table4[[#This Row],[Private_FT_employees]] + Table4[[#This Row],[Private_PT_employees]] - Table4[[#This Row],[Private_Tot_employees]]) &lt; 1, "OK", "Mismatch")</f>
        <v>OK</v>
      </c>
      <c r="C118" s="24" t="str">
        <f>IF(ABS(Table4[[#This Row],[Total_FT_Employees]] + Table4[[#This Row],[Total_PT_Employees]] - Table4[[#This Row],[Total_Tot_employees]]) &lt; 1, "OK", "Mismatch")</f>
        <v>OK</v>
      </c>
      <c r="D118" s="24" t="str">
        <f>IF(ABS(Table4[[#This Row],[Public_Tot_employment]] + Table4[[#This Row],[Private_Tot_employment]] - Table4[[#This Row],[Total_Employment]]) &lt; 1, "OK", "Mismatch")</f>
        <v>Mismatch</v>
      </c>
    </row>
    <row r="119" spans="1:4" x14ac:dyDescent="0.3">
      <c r="A119" s="24" t="str">
        <f>IF(ABS(Table4[[#This Row],[Public_FT_employees]] + Table4[[#This Row],[Public_PT_employees]] - Table4[[#This Row],[Public_Tot_employees]]) &lt; 1, "OK", "Mismatch")</f>
        <v>Mismatch</v>
      </c>
      <c r="B119" s="24" t="str">
        <f>IF(ABS(Table4[[#This Row],[Private_FT_employees]] + Table4[[#This Row],[Private_PT_employees]] - Table4[[#This Row],[Private_Tot_employees]]) &lt; 1, "OK", "Mismatch")</f>
        <v>OK</v>
      </c>
      <c r="C119" s="24" t="str">
        <f>IF(ABS(Table4[[#This Row],[Total_FT_Employees]] + Table4[[#This Row],[Total_PT_Employees]] - Table4[[#This Row],[Total_Tot_employees]]) &lt; 1, "OK", "Mismatch")</f>
        <v>OK</v>
      </c>
      <c r="D119" s="24" t="str">
        <f>IF(ABS(Table4[[#This Row],[Public_Tot_employment]] + Table4[[#This Row],[Private_Tot_employment]] - Table4[[#This Row],[Total_Employment]]) &lt; 1, "OK", "Mismatch")</f>
        <v>OK</v>
      </c>
    </row>
    <row r="120" spans="1:4" x14ac:dyDescent="0.3">
      <c r="A120" s="24" t="str">
        <f>IF(ABS(Table4[[#This Row],[Public_FT_employees]] + Table4[[#This Row],[Public_PT_employees]] - Table4[[#This Row],[Public_Tot_employees]]) &lt; 1, "OK", "Mismatch")</f>
        <v>OK</v>
      </c>
      <c r="B120" s="24" t="str">
        <f>IF(ABS(Table4[[#This Row],[Private_FT_employees]] + Table4[[#This Row],[Private_PT_employees]] - Table4[[#This Row],[Private_Tot_employees]]) &lt; 1, "OK", "Mismatch")</f>
        <v>OK</v>
      </c>
      <c r="C120" s="24" t="str">
        <f>IF(ABS(Table4[[#This Row],[Total_FT_Employees]] + Table4[[#This Row],[Total_PT_Employees]] - Table4[[#This Row],[Total_Tot_employees]]) &lt; 1, "OK", "Mismatch")</f>
        <v>OK</v>
      </c>
      <c r="D120" s="24" t="str">
        <f>IF(ABS(Table4[[#This Row],[Public_Tot_employment]] + Table4[[#This Row],[Private_Tot_employment]] - Table4[[#This Row],[Total_Employment]]) &lt; 1, "OK", "Mismatch")</f>
        <v>OK</v>
      </c>
    </row>
    <row r="121" spans="1:4" x14ac:dyDescent="0.3">
      <c r="A121" s="24" t="str">
        <f>IF(ABS(Table4[[#This Row],[Public_FT_employees]] + Table4[[#This Row],[Public_PT_employees]] - Table4[[#This Row],[Public_Tot_employees]]) &lt; 1, "OK", "Mismatch")</f>
        <v>OK</v>
      </c>
      <c r="B121" s="24" t="str">
        <f>IF(ABS(Table4[[#This Row],[Private_FT_employees]] + Table4[[#This Row],[Private_PT_employees]] - Table4[[#This Row],[Private_Tot_employees]]) &lt; 1, "OK", "Mismatch")</f>
        <v>OK</v>
      </c>
      <c r="C121" s="24" t="str">
        <f>IF(ABS(Table4[[#This Row],[Total_FT_Employees]] + Table4[[#This Row],[Total_PT_Employees]] - Table4[[#This Row],[Total_Tot_employees]]) &lt; 1, "OK", "Mismatch")</f>
        <v>Mismatch</v>
      </c>
      <c r="D121" s="24" t="str">
        <f>IF(ABS(Table4[[#This Row],[Public_Tot_employment]] + Table4[[#This Row],[Private_Tot_employment]] - Table4[[#This Row],[Total_Employment]]) &lt; 1, "OK", "Mismatch")</f>
        <v>OK</v>
      </c>
    </row>
    <row r="122" spans="1:4" x14ac:dyDescent="0.3">
      <c r="A122" s="24" t="str">
        <f>IF(ABS(Table4[[#This Row],[Public_FT_employees]] + Table4[[#This Row],[Public_PT_employees]] - Table4[[#This Row],[Public_Tot_employees]]) &lt; 1, "OK", "Mismatch")</f>
        <v>OK</v>
      </c>
      <c r="B122" s="24" t="str">
        <f>IF(ABS(Table4[[#This Row],[Private_FT_employees]] + Table4[[#This Row],[Private_PT_employees]] - Table4[[#This Row],[Private_Tot_employees]]) &lt; 1, "OK", "Mismatch")</f>
        <v>OK</v>
      </c>
      <c r="C122" s="24" t="str">
        <f>IF(ABS(Table4[[#This Row],[Total_FT_Employees]] + Table4[[#This Row],[Total_PT_Employees]] - Table4[[#This Row],[Total_Tot_employees]]) &lt; 1, "OK", "Mismatch")</f>
        <v>OK</v>
      </c>
      <c r="D122" s="24" t="str">
        <f>IF(ABS(Table4[[#This Row],[Public_Tot_employment]] + Table4[[#This Row],[Private_Tot_employment]] - Table4[[#This Row],[Total_Employment]]) &lt; 1, "OK", "Mismatch")</f>
        <v>OK</v>
      </c>
    </row>
    <row r="123" spans="1:4" x14ac:dyDescent="0.3">
      <c r="A123" s="24" t="str">
        <f>IF(ABS(Table4[[#This Row],[Public_FT_employees]] + Table4[[#This Row],[Public_PT_employees]] - Table4[[#This Row],[Public_Tot_employees]]) &lt; 1, "OK", "Mismatch")</f>
        <v>Mismatch</v>
      </c>
      <c r="B123" s="24" t="str">
        <f>IF(ABS(Table4[[#This Row],[Private_FT_employees]] + Table4[[#This Row],[Private_PT_employees]] - Table4[[#This Row],[Private_Tot_employees]]) &lt; 1, "OK", "Mismatch")</f>
        <v>OK</v>
      </c>
      <c r="C123" s="24" t="str">
        <f>IF(ABS(Table4[[#This Row],[Total_FT_Employees]] + Table4[[#This Row],[Total_PT_Employees]] - Table4[[#This Row],[Total_Tot_employees]]) &lt; 1, "OK", "Mismatch")</f>
        <v>OK</v>
      </c>
      <c r="D123" s="24" t="str">
        <f>IF(ABS(Table4[[#This Row],[Public_Tot_employment]] + Table4[[#This Row],[Private_Tot_employment]] - Table4[[#This Row],[Total_Employment]]) &lt; 1, "OK", "Mismatch")</f>
        <v>Mismatch</v>
      </c>
    </row>
    <row r="124" spans="1:4" x14ac:dyDescent="0.3">
      <c r="A124" s="24" t="str">
        <f>IF(ABS(Table4[[#This Row],[Public_FT_employees]] + Table4[[#This Row],[Public_PT_employees]] - Table4[[#This Row],[Public_Tot_employees]]) &lt; 1, "OK", "Mismatch")</f>
        <v>OK</v>
      </c>
      <c r="B124" s="24" t="str">
        <f>IF(ABS(Table4[[#This Row],[Private_FT_employees]] + Table4[[#This Row],[Private_PT_employees]] - Table4[[#This Row],[Private_Tot_employees]]) &lt; 1, "OK", "Mismatch")</f>
        <v>OK</v>
      </c>
      <c r="C124" s="24" t="str">
        <f>IF(ABS(Table4[[#This Row],[Total_FT_Employees]] + Table4[[#This Row],[Total_PT_Employees]] - Table4[[#This Row],[Total_Tot_employees]]) &lt; 1, "OK", "Mismatch")</f>
        <v>OK</v>
      </c>
      <c r="D124" s="24" t="str">
        <f>IF(ABS(Table4[[#This Row],[Public_Tot_employment]] + Table4[[#This Row],[Private_Tot_employment]] - Table4[[#This Row],[Total_Employment]]) &lt; 1, "OK", "Mismatch")</f>
        <v>OK</v>
      </c>
    </row>
    <row r="125" spans="1:4" x14ac:dyDescent="0.3">
      <c r="A125" s="24" t="str">
        <f>IF(ABS(Table4[[#This Row],[Public_FT_employees]] + Table4[[#This Row],[Public_PT_employees]] - Table4[[#This Row],[Public_Tot_employees]]) &lt; 1, "OK", "Mismatch")</f>
        <v>Mismatch</v>
      </c>
      <c r="B125" s="24" t="str">
        <f>IF(ABS(Table4[[#This Row],[Private_FT_employees]] + Table4[[#This Row],[Private_PT_employees]] - Table4[[#This Row],[Private_Tot_employees]]) &lt; 1, "OK", "Mismatch")</f>
        <v>Mismatch</v>
      </c>
      <c r="C125" s="24" t="str">
        <f>IF(ABS(Table4[[#This Row],[Total_FT_Employees]] + Table4[[#This Row],[Total_PT_Employees]] - Table4[[#This Row],[Total_Tot_employees]]) &lt; 1, "OK", "Mismatch")</f>
        <v>OK</v>
      </c>
      <c r="D125" s="24" t="str">
        <f>IF(ABS(Table4[[#This Row],[Public_Tot_employment]] + Table4[[#This Row],[Private_Tot_employment]] - Table4[[#This Row],[Total_Employment]]) &lt; 1, "OK", "Mismatch")</f>
        <v>OK</v>
      </c>
    </row>
    <row r="126" spans="1:4" x14ac:dyDescent="0.3">
      <c r="A126" s="24" t="str">
        <f>IF(ABS(Table4[[#This Row],[Public_FT_employees]] + Table4[[#This Row],[Public_PT_employees]] - Table4[[#This Row],[Public_Tot_employees]]) &lt; 1, "OK", "Mismatch")</f>
        <v>OK</v>
      </c>
      <c r="B126" s="24" t="str">
        <f>IF(ABS(Table4[[#This Row],[Private_FT_employees]] + Table4[[#This Row],[Private_PT_employees]] - Table4[[#This Row],[Private_Tot_employees]]) &lt; 1, "OK", "Mismatch")</f>
        <v>Mismatch</v>
      </c>
      <c r="C126" s="24" t="str">
        <f>IF(ABS(Table4[[#This Row],[Total_FT_Employees]] + Table4[[#This Row],[Total_PT_Employees]] - Table4[[#This Row],[Total_Tot_employees]]) &lt; 1, "OK", "Mismatch")</f>
        <v>OK</v>
      </c>
      <c r="D126" s="24" t="str">
        <f>IF(ABS(Table4[[#This Row],[Public_Tot_employment]] + Table4[[#This Row],[Private_Tot_employment]] - Table4[[#This Row],[Total_Employment]]) &lt; 1, "OK", "Mismatch")</f>
        <v>OK</v>
      </c>
    </row>
    <row r="127" spans="1:4" x14ac:dyDescent="0.3">
      <c r="A127" s="24" t="str">
        <f>IF(ABS(Table4[[#This Row],[Public_FT_employees]] + Table4[[#This Row],[Public_PT_employees]] - Table4[[#This Row],[Public_Tot_employees]]) &lt; 1, "OK", "Mismatch")</f>
        <v>OK</v>
      </c>
      <c r="B127" s="24" t="str">
        <f>IF(ABS(Table4[[#This Row],[Private_FT_employees]] + Table4[[#This Row],[Private_PT_employees]] - Table4[[#This Row],[Private_Tot_employees]]) &lt; 1, "OK", "Mismatch")</f>
        <v>OK</v>
      </c>
      <c r="C127" s="24" t="str">
        <f>IF(ABS(Table4[[#This Row],[Total_FT_Employees]] + Table4[[#This Row],[Total_PT_Employees]] - Table4[[#This Row],[Total_Tot_employees]]) &lt; 1, "OK", "Mismatch")</f>
        <v>OK</v>
      </c>
      <c r="D127" s="24" t="str">
        <f>IF(ABS(Table4[[#This Row],[Public_Tot_employment]] + Table4[[#This Row],[Private_Tot_employment]] - Table4[[#This Row],[Total_Employment]]) &lt; 1, "OK", "Mismatch")</f>
        <v>OK</v>
      </c>
    </row>
    <row r="128" spans="1:4" x14ac:dyDescent="0.3">
      <c r="A128" s="24" t="str">
        <f>IF(ABS(Table4[[#This Row],[Public_FT_employees]] + Table4[[#This Row],[Public_PT_employees]] - Table4[[#This Row],[Public_Tot_employees]]) &lt; 1, "OK", "Mismatch")</f>
        <v>OK</v>
      </c>
      <c r="B128" s="24" t="str">
        <f>IF(ABS(Table4[[#This Row],[Private_FT_employees]] + Table4[[#This Row],[Private_PT_employees]] - Table4[[#This Row],[Private_Tot_employees]]) &lt; 1, "OK", "Mismatch")</f>
        <v>OK</v>
      </c>
      <c r="C128" s="24" t="str">
        <f>IF(ABS(Table4[[#This Row],[Total_FT_Employees]] + Table4[[#This Row],[Total_PT_Employees]] - Table4[[#This Row],[Total_Tot_employees]]) &lt; 1, "OK", "Mismatch")</f>
        <v>Mismatch</v>
      </c>
      <c r="D128" s="24" t="str">
        <f>IF(ABS(Table4[[#This Row],[Public_Tot_employment]] + Table4[[#This Row],[Private_Tot_employment]] - Table4[[#This Row],[Total_Employment]]) &lt; 1, "OK", "Mismatch")</f>
        <v>Mismatch</v>
      </c>
    </row>
    <row r="129" spans="1:4" x14ac:dyDescent="0.3">
      <c r="A129" s="24" t="str">
        <f>IF(ABS(Table4[[#This Row],[Public_FT_employees]] + Table4[[#This Row],[Public_PT_employees]] - Table4[[#This Row],[Public_Tot_employees]]) &lt; 1, "OK", "Mismatch")</f>
        <v>OK</v>
      </c>
      <c r="B129" s="24" t="str">
        <f>IF(ABS(Table4[[#This Row],[Private_FT_employees]] + Table4[[#This Row],[Private_PT_employees]] - Table4[[#This Row],[Private_Tot_employees]]) &lt; 1, "OK", "Mismatch")</f>
        <v>OK</v>
      </c>
      <c r="C129" s="24" t="str">
        <f>IF(ABS(Table4[[#This Row],[Total_FT_Employees]] + Table4[[#This Row],[Total_PT_Employees]] - Table4[[#This Row],[Total_Tot_employees]]) &lt; 1, "OK", "Mismatch")</f>
        <v>OK</v>
      </c>
      <c r="D129" s="24" t="str">
        <f>IF(ABS(Table4[[#This Row],[Public_Tot_employment]] + Table4[[#This Row],[Private_Tot_employment]] - Table4[[#This Row],[Total_Employment]]) &lt; 1, "OK", "Mismatch")</f>
        <v>OK</v>
      </c>
    </row>
    <row r="130" spans="1:4" x14ac:dyDescent="0.3">
      <c r="A130" s="24" t="str">
        <f>IF(ABS(Table4[[#This Row],[Public_FT_employees]] + Table4[[#This Row],[Public_PT_employees]] - Table4[[#This Row],[Public_Tot_employees]]) &lt; 1, "OK", "Mismatch")</f>
        <v>OK</v>
      </c>
      <c r="B130" s="24" t="str">
        <f>IF(ABS(Table4[[#This Row],[Private_FT_employees]] + Table4[[#This Row],[Private_PT_employees]] - Table4[[#This Row],[Private_Tot_employees]]) &lt; 1, "OK", "Mismatch")</f>
        <v>OK</v>
      </c>
      <c r="C130" s="24" t="str">
        <f>IF(ABS(Table4[[#This Row],[Total_FT_Employees]] + Table4[[#This Row],[Total_PT_Employees]] - Table4[[#This Row],[Total_Tot_employees]]) &lt; 1, "OK", "Mismatch")</f>
        <v>Mismatch</v>
      </c>
      <c r="D130" s="24" t="str">
        <f>IF(ABS(Table4[[#This Row],[Public_Tot_employment]] + Table4[[#This Row],[Private_Tot_employment]] - Table4[[#This Row],[Total_Employment]]) &lt; 1, "OK", "Mismatch")</f>
        <v>OK</v>
      </c>
    </row>
    <row r="131" spans="1:4" x14ac:dyDescent="0.3">
      <c r="A131" s="24" t="str">
        <f>IF(ABS(Table4[[#This Row],[Public_FT_employees]] + Table4[[#This Row],[Public_PT_employees]] - Table4[[#This Row],[Public_Tot_employees]]) &lt; 1, "OK", "Mismatch")</f>
        <v>OK</v>
      </c>
      <c r="B131" s="24" t="str">
        <f>IF(ABS(Table4[[#This Row],[Private_FT_employees]] + Table4[[#This Row],[Private_PT_employees]] - Table4[[#This Row],[Private_Tot_employees]]) &lt; 1, "OK", "Mismatch")</f>
        <v>OK</v>
      </c>
      <c r="C131" s="24" t="str">
        <f>IF(ABS(Table4[[#This Row],[Total_FT_Employees]] + Table4[[#This Row],[Total_PT_Employees]] - Table4[[#This Row],[Total_Tot_employees]]) &lt; 1, "OK", "Mismatch")</f>
        <v>OK</v>
      </c>
      <c r="D131" s="24" t="str">
        <f>IF(ABS(Table4[[#This Row],[Public_Tot_employment]] + Table4[[#This Row],[Private_Tot_employment]] - Table4[[#This Row],[Total_Employment]]) &lt; 1, "OK", "Mismatch")</f>
        <v>Mismatch</v>
      </c>
    </row>
    <row r="132" spans="1:4" x14ac:dyDescent="0.3">
      <c r="A132" s="24" t="str">
        <f>IF(ABS(Table4[[#This Row],[Public_FT_employees]] + Table4[[#This Row],[Public_PT_employees]] - Table4[[#This Row],[Public_Tot_employees]]) &lt; 1, "OK", "Mismatch")</f>
        <v>Mismatch</v>
      </c>
      <c r="B132" s="24" t="str">
        <f>IF(ABS(Table4[[#This Row],[Private_FT_employees]] + Table4[[#This Row],[Private_PT_employees]] - Table4[[#This Row],[Private_Tot_employees]]) &lt; 1, "OK", "Mismatch")</f>
        <v>OK</v>
      </c>
      <c r="C132" s="24" t="str">
        <f>IF(ABS(Table4[[#This Row],[Total_FT_Employees]] + Table4[[#This Row],[Total_PT_Employees]] - Table4[[#This Row],[Total_Tot_employees]]) &lt; 1, "OK", "Mismatch")</f>
        <v>OK</v>
      </c>
      <c r="D132" s="24" t="str">
        <f>IF(ABS(Table4[[#This Row],[Public_Tot_employment]] + Table4[[#This Row],[Private_Tot_employment]] - Table4[[#This Row],[Total_Employment]]) &lt; 1, "OK", "Mismatch")</f>
        <v>Mismatch</v>
      </c>
    </row>
    <row r="133" spans="1:4" x14ac:dyDescent="0.3">
      <c r="A133" s="24" t="str">
        <f>IF(ABS(Table4[[#This Row],[Public_FT_employees]] + Table4[[#This Row],[Public_PT_employees]] - Table4[[#This Row],[Public_Tot_employees]]) &lt; 1, "OK", "Mismatch")</f>
        <v>Mismatch</v>
      </c>
      <c r="B133" s="24" t="str">
        <f>IF(ABS(Table4[[#This Row],[Private_FT_employees]] + Table4[[#This Row],[Private_PT_employees]] - Table4[[#This Row],[Private_Tot_employees]]) &lt; 1, "OK", "Mismatch")</f>
        <v>Mismatch</v>
      </c>
      <c r="C133" s="24" t="str">
        <f>IF(ABS(Table4[[#This Row],[Total_FT_Employees]] + Table4[[#This Row],[Total_PT_Employees]] - Table4[[#This Row],[Total_Tot_employees]]) &lt; 1, "OK", "Mismatch")</f>
        <v>OK</v>
      </c>
      <c r="D133" s="24" t="str">
        <f>IF(ABS(Table4[[#This Row],[Public_Tot_employment]] + Table4[[#This Row],[Private_Tot_employment]] - Table4[[#This Row],[Total_Employment]]) &lt; 1, "OK", "Mismatch")</f>
        <v>OK</v>
      </c>
    </row>
    <row r="134" spans="1:4" x14ac:dyDescent="0.3">
      <c r="A134" s="24" t="str">
        <f>IF(ABS(Table4[[#This Row],[Public_FT_employees]] + Table4[[#This Row],[Public_PT_employees]] - Table4[[#This Row],[Public_Tot_employees]]) &lt; 1, "OK", "Mismatch")</f>
        <v>OK</v>
      </c>
      <c r="B134" s="24" t="str">
        <f>IF(ABS(Table4[[#This Row],[Private_FT_employees]] + Table4[[#This Row],[Private_PT_employees]] - Table4[[#This Row],[Private_Tot_employees]]) &lt; 1, "OK", "Mismatch")</f>
        <v>OK</v>
      </c>
      <c r="C134" s="24" t="str">
        <f>IF(ABS(Table4[[#This Row],[Total_FT_Employees]] + Table4[[#This Row],[Total_PT_Employees]] - Table4[[#This Row],[Total_Tot_employees]]) &lt; 1, "OK", "Mismatch")</f>
        <v>Mismatch</v>
      </c>
      <c r="D134" s="24" t="str">
        <f>IF(ABS(Table4[[#This Row],[Public_Tot_employment]] + Table4[[#This Row],[Private_Tot_employment]] - Table4[[#This Row],[Total_Employment]]) &lt; 1, "OK", "Mismatch")</f>
        <v>Mismatch</v>
      </c>
    </row>
    <row r="135" spans="1:4" x14ac:dyDescent="0.3">
      <c r="A135" s="24" t="str">
        <f>IF(ABS(Table4[[#This Row],[Public_FT_employees]] + Table4[[#This Row],[Public_PT_employees]] - Table4[[#This Row],[Public_Tot_employees]]) &lt; 1, "OK", "Mismatch")</f>
        <v>Mismatch</v>
      </c>
      <c r="B135" s="24" t="str">
        <f>IF(ABS(Table4[[#This Row],[Private_FT_employees]] + Table4[[#This Row],[Private_PT_employees]] - Table4[[#This Row],[Private_Tot_employees]]) &lt; 1, "OK", "Mismatch")</f>
        <v>Mismatch</v>
      </c>
      <c r="C135" s="24" t="str">
        <f>IF(ABS(Table4[[#This Row],[Total_FT_Employees]] + Table4[[#This Row],[Total_PT_Employees]] - Table4[[#This Row],[Total_Tot_employees]]) &lt; 1, "OK", "Mismatch")</f>
        <v>OK</v>
      </c>
      <c r="D135" s="24" t="str">
        <f>IF(ABS(Table4[[#This Row],[Public_Tot_employment]] + Table4[[#This Row],[Private_Tot_employment]] - Table4[[#This Row],[Total_Employment]]) &lt; 1, "OK", "Mismatch")</f>
        <v>OK</v>
      </c>
    </row>
    <row r="136" spans="1:4" x14ac:dyDescent="0.3">
      <c r="A136" s="24" t="str">
        <f>IF(ABS(Table4[[#This Row],[Public_FT_employees]] + Table4[[#This Row],[Public_PT_employees]] - Table4[[#This Row],[Public_Tot_employees]]) &lt; 1, "OK", "Mismatch")</f>
        <v>OK</v>
      </c>
      <c r="B136" s="24" t="str">
        <f>IF(ABS(Table4[[#This Row],[Private_FT_employees]] + Table4[[#This Row],[Private_PT_employees]] - Table4[[#This Row],[Private_Tot_employees]]) &lt; 1, "OK", "Mismatch")</f>
        <v>Mismatch</v>
      </c>
      <c r="C136" s="24" t="str">
        <f>IF(ABS(Table4[[#This Row],[Total_FT_Employees]] + Table4[[#This Row],[Total_PT_Employees]] - Table4[[#This Row],[Total_Tot_employees]]) &lt; 1, "OK", "Mismatch")</f>
        <v>OK</v>
      </c>
      <c r="D136" s="24" t="str">
        <f>IF(ABS(Table4[[#This Row],[Public_Tot_employment]] + Table4[[#This Row],[Private_Tot_employment]] - Table4[[#This Row],[Total_Employment]]) &lt; 1, "OK", "Mismatch")</f>
        <v>OK</v>
      </c>
    </row>
    <row r="137" spans="1:4" x14ac:dyDescent="0.3">
      <c r="A137" s="24" t="str">
        <f>IF(ABS(Table4[[#This Row],[Public_FT_employees]] + Table4[[#This Row],[Public_PT_employees]] - Table4[[#This Row],[Public_Tot_employees]]) &lt; 1, "OK", "Mismatch")</f>
        <v>Mismatch</v>
      </c>
      <c r="B137" s="24" t="str">
        <f>IF(ABS(Table4[[#This Row],[Private_FT_employees]] + Table4[[#This Row],[Private_PT_employees]] - Table4[[#This Row],[Private_Tot_employees]]) &lt; 1, "OK", "Mismatch")</f>
        <v>Mismatch</v>
      </c>
      <c r="C137" s="24" t="str">
        <f>IF(ABS(Table4[[#This Row],[Total_FT_Employees]] + Table4[[#This Row],[Total_PT_Employees]] - Table4[[#This Row],[Total_Tot_employees]]) &lt; 1, "OK", "Mismatch")</f>
        <v>Mismatch</v>
      </c>
      <c r="D137" s="24" t="str">
        <f>IF(ABS(Table4[[#This Row],[Public_Tot_employment]] + Table4[[#This Row],[Private_Tot_employment]] - Table4[[#This Row],[Total_Employment]]) &lt; 1, "OK", "Mismatch")</f>
        <v>OK</v>
      </c>
    </row>
    <row r="138" spans="1:4" x14ac:dyDescent="0.3">
      <c r="A138" s="24" t="str">
        <f>IF(ABS(Table4[[#This Row],[Public_FT_employees]] + Table4[[#This Row],[Public_PT_employees]] - Table4[[#This Row],[Public_Tot_employees]]) &lt; 1, "OK", "Mismatch")</f>
        <v>Mismatch</v>
      </c>
      <c r="B138" s="24" t="str">
        <f>IF(ABS(Table4[[#This Row],[Private_FT_employees]] + Table4[[#This Row],[Private_PT_employees]] - Table4[[#This Row],[Private_Tot_employees]]) &lt; 1, "OK", "Mismatch")</f>
        <v>OK</v>
      </c>
      <c r="C138" s="24" t="str">
        <f>IF(ABS(Table4[[#This Row],[Total_FT_Employees]] + Table4[[#This Row],[Total_PT_Employees]] - Table4[[#This Row],[Total_Tot_employees]]) &lt; 1, "OK", "Mismatch")</f>
        <v>OK</v>
      </c>
      <c r="D138" s="24" t="str">
        <f>IF(ABS(Table4[[#This Row],[Public_Tot_employment]] + Table4[[#This Row],[Private_Tot_employment]] - Table4[[#This Row],[Total_Employment]]) &lt; 1, "OK", "Mismatch")</f>
        <v>OK</v>
      </c>
    </row>
    <row r="139" spans="1:4" x14ac:dyDescent="0.3">
      <c r="A139" s="24" t="str">
        <f>IF(ABS(Table4[[#This Row],[Public_FT_employees]] + Table4[[#This Row],[Public_PT_employees]] - Table4[[#This Row],[Public_Tot_employees]]) &lt; 1, "OK", "Mismatch")</f>
        <v>Mismatch</v>
      </c>
      <c r="B139" s="24" t="str">
        <f>IF(ABS(Table4[[#This Row],[Private_FT_employees]] + Table4[[#This Row],[Private_PT_employees]] - Table4[[#This Row],[Private_Tot_employees]]) &lt; 1, "OK", "Mismatch")</f>
        <v>OK</v>
      </c>
      <c r="C139" s="24" t="str">
        <f>IF(ABS(Table4[[#This Row],[Total_FT_Employees]] + Table4[[#This Row],[Total_PT_Employees]] - Table4[[#This Row],[Total_Tot_employees]]) &lt; 1, "OK", "Mismatch")</f>
        <v>Mismatch</v>
      </c>
      <c r="D139" s="24" t="str">
        <f>IF(ABS(Table4[[#This Row],[Public_Tot_employment]] + Table4[[#This Row],[Private_Tot_employment]] - Table4[[#This Row],[Total_Employment]]) &lt; 1, "OK", "Mismatch")</f>
        <v>OK</v>
      </c>
    </row>
    <row r="140" spans="1:4" x14ac:dyDescent="0.3">
      <c r="A140" s="24" t="str">
        <f>IF(ABS(Table4[[#This Row],[Public_FT_employees]] + Table4[[#This Row],[Public_PT_employees]] - Table4[[#This Row],[Public_Tot_employees]]) &lt; 1, "OK", "Mismatch")</f>
        <v>OK</v>
      </c>
      <c r="B140" s="24" t="str">
        <f>IF(ABS(Table4[[#This Row],[Private_FT_employees]] + Table4[[#This Row],[Private_PT_employees]] - Table4[[#This Row],[Private_Tot_employees]]) &lt; 1, "OK", "Mismatch")</f>
        <v>Mismatch</v>
      </c>
      <c r="C140" s="24" t="str">
        <f>IF(ABS(Table4[[#This Row],[Total_FT_Employees]] + Table4[[#This Row],[Total_PT_Employees]] - Table4[[#This Row],[Total_Tot_employees]]) &lt; 1, "OK", "Mismatch")</f>
        <v>Mismatch</v>
      </c>
      <c r="D140" s="24" t="str">
        <f>IF(ABS(Table4[[#This Row],[Public_Tot_employment]] + Table4[[#This Row],[Private_Tot_employment]] - Table4[[#This Row],[Total_Employment]]) &lt; 1, "OK", "Mismatch")</f>
        <v>OK</v>
      </c>
    </row>
    <row r="141" spans="1:4" x14ac:dyDescent="0.3">
      <c r="A141" s="24" t="str">
        <f>IF(ABS(Table4[[#This Row],[Public_FT_employees]] + Table4[[#This Row],[Public_PT_employees]] - Table4[[#This Row],[Public_Tot_employees]]) &lt; 1, "OK", "Mismatch")</f>
        <v>Mismatch</v>
      </c>
      <c r="B141" s="24" t="str">
        <f>IF(ABS(Table4[[#This Row],[Private_FT_employees]] + Table4[[#This Row],[Private_PT_employees]] - Table4[[#This Row],[Private_Tot_employees]]) &lt; 1, "OK", "Mismatch")</f>
        <v>Mismatch</v>
      </c>
      <c r="C141" s="24" t="str">
        <f>IF(ABS(Table4[[#This Row],[Total_FT_Employees]] + Table4[[#This Row],[Total_PT_Employees]] - Table4[[#This Row],[Total_Tot_employees]]) &lt; 1, "OK", "Mismatch")</f>
        <v>Mismatch</v>
      </c>
      <c r="D141" s="24" t="str">
        <f>IF(ABS(Table4[[#This Row],[Public_Tot_employment]] + Table4[[#This Row],[Private_Tot_employment]] - Table4[[#This Row],[Total_Employment]]) &lt; 1, "OK", "Mismatch")</f>
        <v>OK</v>
      </c>
    </row>
    <row r="142" spans="1:4" x14ac:dyDescent="0.3">
      <c r="A142" s="24" t="str">
        <f>IF(ABS(Table4[[#This Row],[Public_FT_employees]] + Table4[[#This Row],[Public_PT_employees]] - Table4[[#This Row],[Public_Tot_employees]]) &lt; 1, "OK", "Mismatch")</f>
        <v>Mismatch</v>
      </c>
      <c r="B142" s="24" t="str">
        <f>IF(ABS(Table4[[#This Row],[Private_FT_employees]] + Table4[[#This Row],[Private_PT_employees]] - Table4[[#This Row],[Private_Tot_employees]]) &lt; 1, "OK", "Mismatch")</f>
        <v>OK</v>
      </c>
      <c r="C142" s="24" t="str">
        <f>IF(ABS(Table4[[#This Row],[Total_FT_Employees]] + Table4[[#This Row],[Total_PT_Employees]] - Table4[[#This Row],[Total_Tot_employees]]) &lt; 1, "OK", "Mismatch")</f>
        <v>OK</v>
      </c>
      <c r="D142" s="24" t="str">
        <f>IF(ABS(Table4[[#This Row],[Public_Tot_employment]] + Table4[[#This Row],[Private_Tot_employment]] - Table4[[#This Row],[Total_Employment]]) &lt; 1, "OK", "Mismatch")</f>
        <v>OK</v>
      </c>
    </row>
    <row r="143" spans="1:4" x14ac:dyDescent="0.3">
      <c r="A143" s="24" t="str">
        <f>IF(ABS(Table4[[#This Row],[Public_FT_employees]] + Table4[[#This Row],[Public_PT_employees]] - Table4[[#This Row],[Public_Tot_employees]]) &lt; 1, "OK", "Mismatch")</f>
        <v>Mismatch</v>
      </c>
      <c r="B143" s="24" t="str">
        <f>IF(ABS(Table4[[#This Row],[Private_FT_employees]] + Table4[[#This Row],[Private_PT_employees]] - Table4[[#This Row],[Private_Tot_employees]]) &lt; 1, "OK", "Mismatch")</f>
        <v>Mismatch</v>
      </c>
      <c r="C143" s="24" t="str">
        <f>IF(ABS(Table4[[#This Row],[Total_FT_Employees]] + Table4[[#This Row],[Total_PT_Employees]] - Table4[[#This Row],[Total_Tot_employees]]) &lt; 1, "OK", "Mismatch")</f>
        <v>Mismatch</v>
      </c>
      <c r="D143" s="24" t="str">
        <f>IF(ABS(Table4[[#This Row],[Public_Tot_employment]] + Table4[[#This Row],[Private_Tot_employment]] - Table4[[#This Row],[Total_Employment]]) &lt; 1, "OK", "Mismatch")</f>
        <v>OK</v>
      </c>
    </row>
    <row r="144" spans="1:4" x14ac:dyDescent="0.3">
      <c r="A144" s="24" t="str">
        <f>IF(ABS(Table4[[#This Row],[Public_FT_employees]] + Table4[[#This Row],[Public_PT_employees]] - Table4[[#This Row],[Public_Tot_employees]]) &lt; 1, "OK", "Mismatch")</f>
        <v>Mismatch</v>
      </c>
      <c r="B144" s="24" t="str">
        <f>IF(ABS(Table4[[#This Row],[Private_FT_employees]] + Table4[[#This Row],[Private_PT_employees]] - Table4[[#This Row],[Private_Tot_employees]]) &lt; 1, "OK", "Mismatch")</f>
        <v>Mismatch</v>
      </c>
      <c r="C144" s="24" t="str">
        <f>IF(ABS(Table4[[#This Row],[Total_FT_Employees]] + Table4[[#This Row],[Total_PT_Employees]] - Table4[[#This Row],[Total_Tot_employees]]) &lt; 1, "OK", "Mismatch")</f>
        <v>Mismatch</v>
      </c>
      <c r="D144" s="24" t="str">
        <f>IF(ABS(Table4[[#This Row],[Public_Tot_employment]] + Table4[[#This Row],[Private_Tot_employment]] - Table4[[#This Row],[Total_Employment]]) &lt; 1, "OK", "Mismatch")</f>
        <v>OK</v>
      </c>
    </row>
    <row r="145" spans="1:4" x14ac:dyDescent="0.3">
      <c r="A145" s="24" t="str">
        <f>IF(ABS(Table4[[#This Row],[Public_FT_employees]] + Table4[[#This Row],[Public_PT_employees]] - Table4[[#This Row],[Public_Tot_employees]]) &lt; 1, "OK", "Mismatch")</f>
        <v>OK</v>
      </c>
      <c r="B145" s="24" t="str">
        <f>IF(ABS(Table4[[#This Row],[Private_FT_employees]] + Table4[[#This Row],[Private_PT_employees]] - Table4[[#This Row],[Private_Tot_employees]]) &lt; 1, "OK", "Mismatch")</f>
        <v>Mismatch</v>
      </c>
      <c r="C145" s="24" t="str">
        <f>IF(ABS(Table4[[#This Row],[Total_FT_Employees]] + Table4[[#This Row],[Total_PT_Employees]] - Table4[[#This Row],[Total_Tot_employees]]) &lt; 1, "OK", "Mismatch")</f>
        <v>Mismatch</v>
      </c>
      <c r="D145" s="24" t="str">
        <f>IF(ABS(Table4[[#This Row],[Public_Tot_employment]] + Table4[[#This Row],[Private_Tot_employment]] - Table4[[#This Row],[Total_Employment]]) &lt; 1, "OK", "Mismatch")</f>
        <v>OK</v>
      </c>
    </row>
    <row r="146" spans="1:4" x14ac:dyDescent="0.3">
      <c r="A146" s="24" t="str">
        <f>IF(ABS(Table4[[#This Row],[Public_FT_employees]] + Table4[[#This Row],[Public_PT_employees]] - Table4[[#This Row],[Public_Tot_employees]]) &lt; 1, "OK", "Mismatch")</f>
        <v>Mismatch</v>
      </c>
      <c r="B146" s="24" t="str">
        <f>IF(ABS(Table4[[#This Row],[Private_FT_employees]] + Table4[[#This Row],[Private_PT_employees]] - Table4[[#This Row],[Private_Tot_employees]]) &lt; 1, "OK", "Mismatch")</f>
        <v>OK</v>
      </c>
      <c r="C146" s="24" t="str">
        <f>IF(ABS(Table4[[#This Row],[Total_FT_Employees]] + Table4[[#This Row],[Total_PT_Employees]] - Table4[[#This Row],[Total_Tot_employees]]) &lt; 1, "OK", "Mismatch")</f>
        <v>OK</v>
      </c>
      <c r="D146" s="24" t="str">
        <f>IF(ABS(Table4[[#This Row],[Public_Tot_employment]] + Table4[[#This Row],[Private_Tot_employment]] - Table4[[#This Row],[Total_Employment]]) &lt; 1, "OK", "Mismatch")</f>
        <v>Mismatch</v>
      </c>
    </row>
    <row r="147" spans="1:4" x14ac:dyDescent="0.3">
      <c r="A147" s="24" t="str">
        <f>IF(ABS(Table4[[#This Row],[Public_FT_employees]] + Table4[[#This Row],[Public_PT_employees]] - Table4[[#This Row],[Public_Tot_employees]]) &lt; 1, "OK", "Mismatch")</f>
        <v>OK</v>
      </c>
      <c r="B147" s="24" t="str">
        <f>IF(ABS(Table4[[#This Row],[Private_FT_employees]] + Table4[[#This Row],[Private_PT_employees]] - Table4[[#This Row],[Private_Tot_employees]]) &lt; 1, "OK", "Mismatch")</f>
        <v>OK</v>
      </c>
      <c r="C147" s="24" t="str">
        <f>IF(ABS(Table4[[#This Row],[Total_FT_Employees]] + Table4[[#This Row],[Total_PT_Employees]] - Table4[[#This Row],[Total_Tot_employees]]) &lt; 1, "OK", "Mismatch")</f>
        <v>OK</v>
      </c>
      <c r="D147" s="24" t="str">
        <f>IF(ABS(Table4[[#This Row],[Public_Tot_employment]] + Table4[[#This Row],[Private_Tot_employment]] - Table4[[#This Row],[Total_Employment]]) &lt; 1, "OK", "Mismatch")</f>
        <v>Mismatch</v>
      </c>
    </row>
    <row r="148" spans="1:4" x14ac:dyDescent="0.3">
      <c r="A148" s="24" t="str">
        <f>IF(ABS(Table4[[#This Row],[Public_FT_employees]] + Table4[[#This Row],[Public_PT_employees]] - Table4[[#This Row],[Public_Tot_employees]]) &lt; 1, "OK", "Mismatch")</f>
        <v>Mismatch</v>
      </c>
      <c r="B148" s="24" t="str">
        <f>IF(ABS(Table4[[#This Row],[Private_FT_employees]] + Table4[[#This Row],[Private_PT_employees]] - Table4[[#This Row],[Private_Tot_employees]]) &lt; 1, "OK", "Mismatch")</f>
        <v>Mismatch</v>
      </c>
      <c r="C148" s="24" t="str">
        <f>IF(ABS(Table4[[#This Row],[Total_FT_Employees]] + Table4[[#This Row],[Total_PT_Employees]] - Table4[[#This Row],[Total_Tot_employees]]) &lt; 1, "OK", "Mismatch")</f>
        <v>Mismatch</v>
      </c>
      <c r="D148" s="24" t="str">
        <f>IF(ABS(Table4[[#This Row],[Public_Tot_employment]] + Table4[[#This Row],[Private_Tot_employment]] - Table4[[#This Row],[Total_Employment]]) &lt; 1, "OK", "Mismatch")</f>
        <v>OK</v>
      </c>
    </row>
    <row r="149" spans="1:4" x14ac:dyDescent="0.3">
      <c r="A149" s="24" t="str">
        <f>IF(ABS(Table4[[#This Row],[Public_FT_employees]] + Table4[[#This Row],[Public_PT_employees]] - Table4[[#This Row],[Public_Tot_employees]]) &lt; 1, "OK", "Mismatch")</f>
        <v>Mismatch</v>
      </c>
      <c r="B149" s="24" t="str">
        <f>IF(ABS(Table4[[#This Row],[Private_FT_employees]] + Table4[[#This Row],[Private_PT_employees]] - Table4[[#This Row],[Private_Tot_employees]]) &lt; 1, "OK", "Mismatch")</f>
        <v>Mismatch</v>
      </c>
      <c r="C149" s="24" t="str">
        <f>IF(ABS(Table4[[#This Row],[Total_FT_Employees]] + Table4[[#This Row],[Total_PT_Employees]] - Table4[[#This Row],[Total_Tot_employees]]) &lt; 1, "OK", "Mismatch")</f>
        <v>OK</v>
      </c>
      <c r="D149" s="24" t="str">
        <f>IF(ABS(Table4[[#This Row],[Public_Tot_employment]] + Table4[[#This Row],[Private_Tot_employment]] - Table4[[#This Row],[Total_Employment]]) &lt; 1, "OK", "Mismatch")</f>
        <v>OK</v>
      </c>
    </row>
    <row r="150" spans="1:4" x14ac:dyDescent="0.3">
      <c r="A150" s="24" t="str">
        <f>IF(ABS(Table4[[#This Row],[Public_FT_employees]] + Table4[[#This Row],[Public_PT_employees]] - Table4[[#This Row],[Public_Tot_employees]]) &lt; 1, "OK", "Mismatch")</f>
        <v>OK</v>
      </c>
      <c r="B150" s="24" t="str">
        <f>IF(ABS(Table4[[#This Row],[Private_FT_employees]] + Table4[[#This Row],[Private_PT_employees]] - Table4[[#This Row],[Private_Tot_employees]]) &lt; 1, "OK", "Mismatch")</f>
        <v>OK</v>
      </c>
      <c r="C150" s="24" t="str">
        <f>IF(ABS(Table4[[#This Row],[Total_FT_Employees]] + Table4[[#This Row],[Total_PT_Employees]] - Table4[[#This Row],[Total_Tot_employees]]) &lt; 1, "OK", "Mismatch")</f>
        <v>OK</v>
      </c>
      <c r="D150" s="24" t="str">
        <f>IF(ABS(Table4[[#This Row],[Public_Tot_employment]] + Table4[[#This Row],[Private_Tot_employment]] - Table4[[#This Row],[Total_Employment]]) &lt; 1, "OK", "Mismatch")</f>
        <v>Mismatch</v>
      </c>
    </row>
    <row r="151" spans="1:4" x14ac:dyDescent="0.3">
      <c r="A151" s="24" t="str">
        <f>IF(ABS(Table4[[#This Row],[Public_FT_employees]] + Table4[[#This Row],[Public_PT_employees]] - Table4[[#This Row],[Public_Tot_employees]]) &lt; 1, "OK", "Mismatch")</f>
        <v>OK</v>
      </c>
      <c r="B151" s="24" t="str">
        <f>IF(ABS(Table4[[#This Row],[Private_FT_employees]] + Table4[[#This Row],[Private_PT_employees]] - Table4[[#This Row],[Private_Tot_employees]]) &lt; 1, "OK", "Mismatch")</f>
        <v>OK</v>
      </c>
      <c r="C151" s="24" t="str">
        <f>IF(ABS(Table4[[#This Row],[Total_FT_Employees]] + Table4[[#This Row],[Total_PT_Employees]] - Table4[[#This Row],[Total_Tot_employees]]) &lt; 1, "OK", "Mismatch")</f>
        <v>Mismatch</v>
      </c>
      <c r="D151" s="24" t="str">
        <f>IF(ABS(Table4[[#This Row],[Public_Tot_employment]] + Table4[[#This Row],[Private_Tot_employment]] - Table4[[#This Row],[Total_Employment]]) &lt; 1, "OK", "Mismatch")</f>
        <v>Mismatch</v>
      </c>
    </row>
    <row r="152" spans="1:4" x14ac:dyDescent="0.3">
      <c r="A152" s="24" t="str">
        <f>IF(ABS(Table4[[#This Row],[Public_FT_employees]] + Table4[[#This Row],[Public_PT_employees]] - Table4[[#This Row],[Public_Tot_employees]]) &lt; 1, "OK", "Mismatch")</f>
        <v>Mismatch</v>
      </c>
      <c r="B152" s="24" t="str">
        <f>IF(ABS(Table4[[#This Row],[Private_FT_employees]] + Table4[[#This Row],[Private_PT_employees]] - Table4[[#This Row],[Private_Tot_employees]]) &lt; 1, "OK", "Mismatch")</f>
        <v>OK</v>
      </c>
      <c r="C152" s="24" t="str">
        <f>IF(ABS(Table4[[#This Row],[Total_FT_Employees]] + Table4[[#This Row],[Total_PT_Employees]] - Table4[[#This Row],[Total_Tot_employees]]) &lt; 1, "OK", "Mismatch")</f>
        <v>OK</v>
      </c>
      <c r="D152" s="24" t="str">
        <f>IF(ABS(Table4[[#This Row],[Public_Tot_employment]] + Table4[[#This Row],[Private_Tot_employment]] - Table4[[#This Row],[Total_Employment]]) &lt; 1, "OK", "Mismatch")</f>
        <v>OK</v>
      </c>
    </row>
    <row r="153" spans="1:4" x14ac:dyDescent="0.3">
      <c r="A153" s="24" t="str">
        <f>IF(ABS(Table4[[#This Row],[Public_FT_employees]] + Table4[[#This Row],[Public_PT_employees]] - Table4[[#This Row],[Public_Tot_employees]]) &lt; 1, "OK", "Mismatch")</f>
        <v>OK</v>
      </c>
      <c r="B153" s="24" t="str">
        <f>IF(ABS(Table4[[#This Row],[Private_FT_employees]] + Table4[[#This Row],[Private_PT_employees]] - Table4[[#This Row],[Private_Tot_employees]]) &lt; 1, "OK", "Mismatch")</f>
        <v>OK</v>
      </c>
      <c r="C153" s="24" t="str">
        <f>IF(ABS(Table4[[#This Row],[Total_FT_Employees]] + Table4[[#This Row],[Total_PT_Employees]] - Table4[[#This Row],[Total_Tot_employees]]) &lt; 1, "OK", "Mismatch")</f>
        <v>OK</v>
      </c>
      <c r="D153" s="24" t="str">
        <f>IF(ABS(Table4[[#This Row],[Public_Tot_employment]] + Table4[[#This Row],[Private_Tot_employment]] - Table4[[#This Row],[Total_Employment]]) &lt; 1, "OK", "Mismatch")</f>
        <v>OK</v>
      </c>
    </row>
    <row r="154" spans="1:4" x14ac:dyDescent="0.3">
      <c r="A154" s="24" t="str">
        <f>IF(ABS(Table4[[#This Row],[Public_FT_employees]] + Table4[[#This Row],[Public_PT_employees]] - Table4[[#This Row],[Public_Tot_employees]]) &lt; 1, "OK", "Mismatch")</f>
        <v>OK</v>
      </c>
      <c r="B154" s="24" t="str">
        <f>IF(ABS(Table4[[#This Row],[Private_FT_employees]] + Table4[[#This Row],[Private_PT_employees]] - Table4[[#This Row],[Private_Tot_employees]]) &lt; 1, "OK", "Mismatch")</f>
        <v>OK</v>
      </c>
      <c r="C154" s="24" t="str">
        <f>IF(ABS(Table4[[#This Row],[Total_FT_Employees]] + Table4[[#This Row],[Total_PT_Employees]] - Table4[[#This Row],[Total_Tot_employees]]) &lt; 1, "OK", "Mismatch")</f>
        <v>OK</v>
      </c>
      <c r="D154" s="24" t="str">
        <f>IF(ABS(Table4[[#This Row],[Public_Tot_employment]] + Table4[[#This Row],[Private_Tot_employment]] - Table4[[#This Row],[Total_Employment]]) &lt; 1, "OK", "Mismatch")</f>
        <v>OK</v>
      </c>
    </row>
    <row r="155" spans="1:4" x14ac:dyDescent="0.3">
      <c r="A155" s="24" t="str">
        <f>IF(ABS(Table4[[#This Row],[Public_FT_employees]] + Table4[[#This Row],[Public_PT_employees]] - Table4[[#This Row],[Public_Tot_employees]]) &lt; 1, "OK", "Mismatch")</f>
        <v>Mismatch</v>
      </c>
      <c r="B155" s="24" t="str">
        <f>IF(ABS(Table4[[#This Row],[Private_FT_employees]] + Table4[[#This Row],[Private_PT_employees]] - Table4[[#This Row],[Private_Tot_employees]]) &lt; 1, "OK", "Mismatch")</f>
        <v>OK</v>
      </c>
      <c r="C155" s="24" t="str">
        <f>IF(ABS(Table4[[#This Row],[Total_FT_Employees]] + Table4[[#This Row],[Total_PT_Employees]] - Table4[[#This Row],[Total_Tot_employees]]) &lt; 1, "OK", "Mismatch")</f>
        <v>OK</v>
      </c>
      <c r="D155" s="24" t="str">
        <f>IF(ABS(Table4[[#This Row],[Public_Tot_employment]] + Table4[[#This Row],[Private_Tot_employment]] - Table4[[#This Row],[Total_Employment]]) &lt; 1, "OK", "Mismatch")</f>
        <v>OK</v>
      </c>
    </row>
    <row r="156" spans="1:4" x14ac:dyDescent="0.3">
      <c r="A156" s="24" t="str">
        <f>IF(ABS(Table4[[#This Row],[Public_FT_employees]] + Table4[[#This Row],[Public_PT_employees]] - Table4[[#This Row],[Public_Tot_employees]]) &lt; 1, "OK", "Mismatch")</f>
        <v>OK</v>
      </c>
      <c r="B156" s="24" t="str">
        <f>IF(ABS(Table4[[#This Row],[Private_FT_employees]] + Table4[[#This Row],[Private_PT_employees]] - Table4[[#This Row],[Private_Tot_employees]]) &lt; 1, "OK", "Mismatch")</f>
        <v>Mismatch</v>
      </c>
      <c r="C156" s="24" t="str">
        <f>IF(ABS(Table4[[#This Row],[Total_FT_Employees]] + Table4[[#This Row],[Total_PT_Employees]] - Table4[[#This Row],[Total_Tot_employees]]) &lt; 1, "OK", "Mismatch")</f>
        <v>OK</v>
      </c>
      <c r="D156" s="24" t="str">
        <f>IF(ABS(Table4[[#This Row],[Public_Tot_employment]] + Table4[[#This Row],[Private_Tot_employment]] - Table4[[#This Row],[Total_Employment]]) &lt; 1, "OK", "Mismatch")</f>
        <v>OK</v>
      </c>
    </row>
    <row r="157" spans="1:4" x14ac:dyDescent="0.3">
      <c r="A157" s="24" t="str">
        <f>IF(ABS(Table4[[#This Row],[Public_FT_employees]] + Table4[[#This Row],[Public_PT_employees]] - Table4[[#This Row],[Public_Tot_employees]]) &lt; 1, "OK", "Mismatch")</f>
        <v>OK</v>
      </c>
      <c r="B157" s="24" t="str">
        <f>IF(ABS(Table4[[#This Row],[Private_FT_employees]] + Table4[[#This Row],[Private_PT_employees]] - Table4[[#This Row],[Private_Tot_employees]]) &lt; 1, "OK", "Mismatch")</f>
        <v>OK</v>
      </c>
      <c r="C157" s="24" t="str">
        <f>IF(ABS(Table4[[#This Row],[Total_FT_Employees]] + Table4[[#This Row],[Total_PT_Employees]] - Table4[[#This Row],[Total_Tot_employees]]) &lt; 1, "OK", "Mismatch")</f>
        <v>Mismatch</v>
      </c>
      <c r="D157" s="24" t="str">
        <f>IF(ABS(Table4[[#This Row],[Public_Tot_employment]] + Table4[[#This Row],[Private_Tot_employment]] - Table4[[#This Row],[Total_Employment]]) &lt; 1, "OK", "Mismatch")</f>
        <v>OK</v>
      </c>
    </row>
    <row r="158" spans="1:4" x14ac:dyDescent="0.3">
      <c r="A158" s="24" t="str">
        <f>IF(ABS(Table4[[#This Row],[Public_FT_employees]] + Table4[[#This Row],[Public_PT_employees]] - Table4[[#This Row],[Public_Tot_employees]]) &lt; 1, "OK", "Mismatch")</f>
        <v>OK</v>
      </c>
      <c r="B158" s="24" t="str">
        <f>IF(ABS(Table4[[#This Row],[Private_FT_employees]] + Table4[[#This Row],[Private_PT_employees]] - Table4[[#This Row],[Private_Tot_employees]]) &lt; 1, "OK", "Mismatch")</f>
        <v>OK</v>
      </c>
      <c r="C158" s="24" t="str">
        <f>IF(ABS(Table4[[#This Row],[Total_FT_Employees]] + Table4[[#This Row],[Total_PT_Employees]] - Table4[[#This Row],[Total_Tot_employees]]) &lt; 1, "OK", "Mismatch")</f>
        <v>OK</v>
      </c>
      <c r="D158" s="24" t="str">
        <f>IF(ABS(Table4[[#This Row],[Public_Tot_employment]] + Table4[[#This Row],[Private_Tot_employment]] - Table4[[#This Row],[Total_Employment]]) &lt; 1, "OK", "Mismatch")</f>
        <v>OK</v>
      </c>
    </row>
    <row r="159" spans="1:4" x14ac:dyDescent="0.3">
      <c r="A159" s="24" t="str">
        <f>IF(ABS(Table4[[#This Row],[Public_FT_employees]] + Table4[[#This Row],[Public_PT_employees]] - Table4[[#This Row],[Public_Tot_employees]]) &lt; 1, "OK", "Mismatch")</f>
        <v>OK</v>
      </c>
      <c r="B159" s="24" t="str">
        <f>IF(ABS(Table4[[#This Row],[Private_FT_employees]] + Table4[[#This Row],[Private_PT_employees]] - Table4[[#This Row],[Private_Tot_employees]]) &lt; 1, "OK", "Mismatch")</f>
        <v>OK</v>
      </c>
      <c r="C159" s="24" t="str">
        <f>IF(ABS(Table4[[#This Row],[Total_FT_Employees]] + Table4[[#This Row],[Total_PT_Employees]] - Table4[[#This Row],[Total_Tot_employees]]) &lt; 1, "OK", "Mismatch")</f>
        <v>OK</v>
      </c>
      <c r="D159" s="24" t="str">
        <f>IF(ABS(Table4[[#This Row],[Public_Tot_employment]] + Table4[[#This Row],[Private_Tot_employment]] - Table4[[#This Row],[Total_Employment]]) &lt; 1, "OK", "Mismatch")</f>
        <v>OK</v>
      </c>
    </row>
    <row r="160" spans="1:4" x14ac:dyDescent="0.3">
      <c r="A160" s="24" t="str">
        <f>IF(ABS(Table4[[#This Row],[Public_FT_employees]] + Table4[[#This Row],[Public_PT_employees]] - Table4[[#This Row],[Public_Tot_employees]]) &lt; 1, "OK", "Mismatch")</f>
        <v>Mismatch</v>
      </c>
      <c r="B160" s="24" t="str">
        <f>IF(ABS(Table4[[#This Row],[Private_FT_employees]] + Table4[[#This Row],[Private_PT_employees]] - Table4[[#This Row],[Private_Tot_employees]]) &lt; 1, "OK", "Mismatch")</f>
        <v>OK</v>
      </c>
      <c r="C160" s="24" t="str">
        <f>IF(ABS(Table4[[#This Row],[Total_FT_Employees]] + Table4[[#This Row],[Total_PT_Employees]] - Table4[[#This Row],[Total_Tot_employees]]) &lt; 1, "OK", "Mismatch")</f>
        <v>Mismatch</v>
      </c>
      <c r="D160" s="24" t="str">
        <f>IF(ABS(Table4[[#This Row],[Public_Tot_employment]] + Table4[[#This Row],[Private_Tot_employment]] - Table4[[#This Row],[Total_Employment]]) &lt; 1, "OK", "Mismatch")</f>
        <v>Mismatch</v>
      </c>
    </row>
    <row r="161" spans="1:4" x14ac:dyDescent="0.3">
      <c r="A161" s="24" t="str">
        <f>IF(ABS(Table4[[#This Row],[Public_FT_employees]] + Table4[[#This Row],[Public_PT_employees]] - Table4[[#This Row],[Public_Tot_employees]]) &lt; 1, "OK", "Mismatch")</f>
        <v>OK</v>
      </c>
      <c r="B161" s="24" t="str">
        <f>IF(ABS(Table4[[#This Row],[Private_FT_employees]] + Table4[[#This Row],[Private_PT_employees]] - Table4[[#This Row],[Private_Tot_employees]]) &lt; 1, "OK", "Mismatch")</f>
        <v>Mismatch</v>
      </c>
      <c r="C161" s="24" t="str">
        <f>IF(ABS(Table4[[#This Row],[Total_FT_Employees]] + Table4[[#This Row],[Total_PT_Employees]] - Table4[[#This Row],[Total_Tot_employees]]) &lt; 1, "OK", "Mismatch")</f>
        <v>Mismatch</v>
      </c>
      <c r="D161" s="24" t="str">
        <f>IF(ABS(Table4[[#This Row],[Public_Tot_employment]] + Table4[[#This Row],[Private_Tot_employment]] - Table4[[#This Row],[Total_Employment]]) &lt; 1, "OK", "Mismatch")</f>
        <v>OK</v>
      </c>
    </row>
    <row r="162" spans="1:4" x14ac:dyDescent="0.3">
      <c r="A162" s="24" t="str">
        <f>IF(ABS(Table4[[#This Row],[Public_FT_employees]] + Table4[[#This Row],[Public_PT_employees]] - Table4[[#This Row],[Public_Tot_employees]]) &lt; 1, "OK", "Mismatch")</f>
        <v>OK</v>
      </c>
      <c r="B162" s="24" t="str">
        <f>IF(ABS(Table4[[#This Row],[Private_FT_employees]] + Table4[[#This Row],[Private_PT_employees]] - Table4[[#This Row],[Private_Tot_employees]]) &lt; 1, "OK", "Mismatch")</f>
        <v>OK</v>
      </c>
      <c r="C162" s="24" t="str">
        <f>IF(ABS(Table4[[#This Row],[Total_FT_Employees]] + Table4[[#This Row],[Total_PT_Employees]] - Table4[[#This Row],[Total_Tot_employees]]) &lt; 1, "OK", "Mismatch")</f>
        <v>OK</v>
      </c>
      <c r="D162" s="24" t="str">
        <f>IF(ABS(Table4[[#This Row],[Public_Tot_employment]] + Table4[[#This Row],[Private_Tot_employment]] - Table4[[#This Row],[Total_Employment]]) &lt; 1, "OK", "Mismatch")</f>
        <v>OK</v>
      </c>
    </row>
    <row r="163" spans="1:4" x14ac:dyDescent="0.3">
      <c r="A163" s="24" t="str">
        <f>IF(ABS(Table4[[#This Row],[Public_FT_employees]] + Table4[[#This Row],[Public_PT_employees]] - Table4[[#This Row],[Public_Tot_employees]]) &lt; 1, "OK", "Mismatch")</f>
        <v>Mismatch</v>
      </c>
      <c r="B163" s="24" t="str">
        <f>IF(ABS(Table4[[#This Row],[Private_FT_employees]] + Table4[[#This Row],[Private_PT_employees]] - Table4[[#This Row],[Private_Tot_employees]]) &lt; 1, "OK", "Mismatch")</f>
        <v>OK</v>
      </c>
      <c r="C163" s="24" t="str">
        <f>IF(ABS(Table4[[#This Row],[Total_FT_Employees]] + Table4[[#This Row],[Total_PT_Employees]] - Table4[[#This Row],[Total_Tot_employees]]) &lt; 1, "OK", "Mismatch")</f>
        <v>OK</v>
      </c>
      <c r="D163" s="24" t="str">
        <f>IF(ABS(Table4[[#This Row],[Public_Tot_employment]] + Table4[[#This Row],[Private_Tot_employment]] - Table4[[#This Row],[Total_Employment]]) &lt; 1, "OK", "Mismatch")</f>
        <v>Mismatch</v>
      </c>
    </row>
    <row r="164" spans="1:4" x14ac:dyDescent="0.3">
      <c r="A164" s="24" t="str">
        <f>IF(ABS(Table4[[#This Row],[Public_FT_employees]] + Table4[[#This Row],[Public_PT_employees]] - Table4[[#This Row],[Public_Tot_employees]]) &lt; 1, "OK", "Mismatch")</f>
        <v>OK</v>
      </c>
      <c r="B164" s="24" t="str">
        <f>IF(ABS(Table4[[#This Row],[Private_FT_employees]] + Table4[[#This Row],[Private_PT_employees]] - Table4[[#This Row],[Private_Tot_employees]]) &lt; 1, "OK", "Mismatch")</f>
        <v>OK</v>
      </c>
      <c r="C164" s="24" t="str">
        <f>IF(ABS(Table4[[#This Row],[Total_FT_Employees]] + Table4[[#This Row],[Total_PT_Employees]] - Table4[[#This Row],[Total_Tot_employees]]) &lt; 1, "OK", "Mismatch")</f>
        <v>Mismatch</v>
      </c>
      <c r="D164" s="24" t="str">
        <f>IF(ABS(Table4[[#This Row],[Public_Tot_employment]] + Table4[[#This Row],[Private_Tot_employment]] - Table4[[#This Row],[Total_Employment]]) &lt; 1, "OK", "Mismatch")</f>
        <v>OK</v>
      </c>
    </row>
    <row r="165" spans="1:4" x14ac:dyDescent="0.3">
      <c r="A165" s="24" t="str">
        <f>IF(ABS(Table4[[#This Row],[Public_FT_employees]] + Table4[[#This Row],[Public_PT_employees]] - Table4[[#This Row],[Public_Tot_employees]]) &lt; 1, "OK", "Mismatch")</f>
        <v>OK</v>
      </c>
      <c r="B165" s="24" t="str">
        <f>IF(ABS(Table4[[#This Row],[Private_FT_employees]] + Table4[[#This Row],[Private_PT_employees]] - Table4[[#This Row],[Private_Tot_employees]]) &lt; 1, "OK", "Mismatch")</f>
        <v>OK</v>
      </c>
      <c r="C165" s="24" t="str">
        <f>IF(ABS(Table4[[#This Row],[Total_FT_Employees]] + Table4[[#This Row],[Total_PT_Employees]] - Table4[[#This Row],[Total_Tot_employees]]) &lt; 1, "OK", "Mismatch")</f>
        <v>OK</v>
      </c>
      <c r="D165" s="24" t="str">
        <f>IF(ABS(Table4[[#This Row],[Public_Tot_employment]] + Table4[[#This Row],[Private_Tot_employment]] - Table4[[#This Row],[Total_Employment]]) &lt; 1, "OK", "Mismatch")</f>
        <v>OK</v>
      </c>
    </row>
    <row r="166" spans="1:4" x14ac:dyDescent="0.3">
      <c r="A166" s="24" t="str">
        <f>IF(ABS(Table4[[#This Row],[Public_FT_employees]] + Table4[[#This Row],[Public_PT_employees]] - Table4[[#This Row],[Public_Tot_employees]]) &lt; 1, "OK", "Mismatch")</f>
        <v>OK</v>
      </c>
      <c r="B166" s="24" t="str">
        <f>IF(ABS(Table4[[#This Row],[Private_FT_employees]] + Table4[[#This Row],[Private_PT_employees]] - Table4[[#This Row],[Private_Tot_employees]]) &lt; 1, "OK", "Mismatch")</f>
        <v>Mismatch</v>
      </c>
      <c r="C166" s="24" t="str">
        <f>IF(ABS(Table4[[#This Row],[Total_FT_Employees]] + Table4[[#This Row],[Total_PT_Employees]] - Table4[[#This Row],[Total_Tot_employees]]) &lt; 1, "OK", "Mismatch")</f>
        <v>OK</v>
      </c>
      <c r="D166" s="24" t="str">
        <f>IF(ABS(Table4[[#This Row],[Public_Tot_employment]] + Table4[[#This Row],[Private_Tot_employment]] - Table4[[#This Row],[Total_Employment]]) &lt; 1, "OK", "Mismatch")</f>
        <v>Mismatch</v>
      </c>
    </row>
    <row r="167" spans="1:4" x14ac:dyDescent="0.3">
      <c r="A167" s="24" t="str">
        <f>IF(ABS(Table4[[#This Row],[Public_FT_employees]] + Table4[[#This Row],[Public_PT_employees]] - Table4[[#This Row],[Public_Tot_employees]]) &lt; 1, "OK", "Mismatch")</f>
        <v>OK</v>
      </c>
      <c r="B167" s="24" t="str">
        <f>IF(ABS(Table4[[#This Row],[Private_FT_employees]] + Table4[[#This Row],[Private_PT_employees]] - Table4[[#This Row],[Private_Tot_employees]]) &lt; 1, "OK", "Mismatch")</f>
        <v>OK</v>
      </c>
      <c r="C167" s="24" t="str">
        <f>IF(ABS(Table4[[#This Row],[Total_FT_Employees]] + Table4[[#This Row],[Total_PT_Employees]] - Table4[[#This Row],[Total_Tot_employees]]) &lt; 1, "OK", "Mismatch")</f>
        <v>OK</v>
      </c>
      <c r="D167" s="24" t="str">
        <f>IF(ABS(Table4[[#This Row],[Public_Tot_employment]] + Table4[[#This Row],[Private_Tot_employment]] - Table4[[#This Row],[Total_Employment]]) &lt; 1, "OK", "Mismatch")</f>
        <v>OK</v>
      </c>
    </row>
    <row r="168" spans="1:4" x14ac:dyDescent="0.3">
      <c r="A168" s="24" t="str">
        <f>IF(ABS(Table4[[#This Row],[Public_FT_employees]] + Table4[[#This Row],[Public_PT_employees]] - Table4[[#This Row],[Public_Tot_employees]]) &lt; 1, "OK", "Mismatch")</f>
        <v>OK</v>
      </c>
      <c r="B168" s="24" t="str">
        <f>IF(ABS(Table4[[#This Row],[Private_FT_employees]] + Table4[[#This Row],[Private_PT_employees]] - Table4[[#This Row],[Private_Tot_employees]]) &lt; 1, "OK", "Mismatch")</f>
        <v>Mismatch</v>
      </c>
      <c r="C168" s="24" t="str">
        <f>IF(ABS(Table4[[#This Row],[Total_FT_Employees]] + Table4[[#This Row],[Total_PT_Employees]] - Table4[[#This Row],[Total_Tot_employees]]) &lt; 1, "OK", "Mismatch")</f>
        <v>Mismatch</v>
      </c>
      <c r="D168" s="24" t="str">
        <f>IF(ABS(Table4[[#This Row],[Public_Tot_employment]] + Table4[[#This Row],[Private_Tot_employment]] - Table4[[#This Row],[Total_Employment]]) &lt; 1, "OK", "Mismatch")</f>
        <v>OK</v>
      </c>
    </row>
    <row r="169" spans="1:4" x14ac:dyDescent="0.3">
      <c r="A169" s="24" t="str">
        <f>IF(ABS(Table4[[#This Row],[Public_FT_employees]] + Table4[[#This Row],[Public_PT_employees]] - Table4[[#This Row],[Public_Tot_employees]]) &lt; 1, "OK", "Mismatch")</f>
        <v>Mismatch</v>
      </c>
      <c r="B169" s="24" t="str">
        <f>IF(ABS(Table4[[#This Row],[Private_FT_employees]] + Table4[[#This Row],[Private_PT_employees]] - Table4[[#This Row],[Private_Tot_employees]]) &lt; 1, "OK", "Mismatch")</f>
        <v>OK</v>
      </c>
      <c r="C169" s="24" t="str">
        <f>IF(ABS(Table4[[#This Row],[Total_FT_Employees]] + Table4[[#This Row],[Total_PT_Employees]] - Table4[[#This Row],[Total_Tot_employees]]) &lt; 1, "OK", "Mismatch")</f>
        <v>OK</v>
      </c>
      <c r="D169" s="24" t="str">
        <f>IF(ABS(Table4[[#This Row],[Public_Tot_employment]] + Table4[[#This Row],[Private_Tot_employment]] - Table4[[#This Row],[Total_Employment]]) &lt; 1, "OK", "Mismatch")</f>
        <v>Mismatch</v>
      </c>
    </row>
    <row r="170" spans="1:4" x14ac:dyDescent="0.3">
      <c r="A170" s="24" t="str">
        <f>IF(ABS(Table4[[#This Row],[Public_FT_employees]] + Table4[[#This Row],[Public_PT_employees]] - Table4[[#This Row],[Public_Tot_employees]]) &lt; 1, "OK", "Mismatch")</f>
        <v>OK</v>
      </c>
      <c r="B170" s="24" t="str">
        <f>IF(ABS(Table4[[#This Row],[Private_FT_employees]] + Table4[[#This Row],[Private_PT_employees]] - Table4[[#This Row],[Private_Tot_employees]]) &lt; 1, "OK", "Mismatch")</f>
        <v>OK</v>
      </c>
      <c r="C170" s="24" t="str">
        <f>IF(ABS(Table4[[#This Row],[Total_FT_Employees]] + Table4[[#This Row],[Total_PT_Employees]] - Table4[[#This Row],[Total_Tot_employees]]) &lt; 1, "OK", "Mismatch")</f>
        <v>Mismatch</v>
      </c>
      <c r="D170" s="24" t="str">
        <f>IF(ABS(Table4[[#This Row],[Public_Tot_employment]] + Table4[[#This Row],[Private_Tot_employment]] - Table4[[#This Row],[Total_Employment]]) &lt; 1, "OK", "Mismatch")</f>
        <v>OK</v>
      </c>
    </row>
    <row r="171" spans="1:4" x14ac:dyDescent="0.3">
      <c r="A171" s="24" t="str">
        <f>IF(ABS(Table4[[#This Row],[Public_FT_employees]] + Table4[[#This Row],[Public_PT_employees]] - Table4[[#This Row],[Public_Tot_employees]]) &lt; 1, "OK", "Mismatch")</f>
        <v>OK</v>
      </c>
      <c r="B171" s="24" t="str">
        <f>IF(ABS(Table4[[#This Row],[Private_FT_employees]] + Table4[[#This Row],[Private_PT_employees]] - Table4[[#This Row],[Private_Tot_employees]]) &lt; 1, "OK", "Mismatch")</f>
        <v>OK</v>
      </c>
      <c r="C171" s="24" t="str">
        <f>IF(ABS(Table4[[#This Row],[Total_FT_Employees]] + Table4[[#This Row],[Total_PT_Employees]] - Table4[[#This Row],[Total_Tot_employees]]) &lt; 1, "OK", "Mismatch")</f>
        <v>Mismatch</v>
      </c>
      <c r="D171" s="24" t="str">
        <f>IF(ABS(Table4[[#This Row],[Public_Tot_employment]] + Table4[[#This Row],[Private_Tot_employment]] - Table4[[#This Row],[Total_Employment]]) &lt; 1, "OK", "Mismatch")</f>
        <v>OK</v>
      </c>
    </row>
    <row r="172" spans="1:4" x14ac:dyDescent="0.3">
      <c r="A172" s="24" t="str">
        <f>IF(ABS(Table4[[#This Row],[Public_FT_employees]] + Table4[[#This Row],[Public_PT_employees]] - Table4[[#This Row],[Public_Tot_employees]]) &lt; 1, "OK", "Mismatch")</f>
        <v>OK</v>
      </c>
      <c r="B172" s="24" t="str">
        <f>IF(ABS(Table4[[#This Row],[Private_FT_employees]] + Table4[[#This Row],[Private_PT_employees]] - Table4[[#This Row],[Private_Tot_employees]]) &lt; 1, "OK", "Mismatch")</f>
        <v>OK</v>
      </c>
      <c r="C172" s="24" t="str">
        <f>IF(ABS(Table4[[#This Row],[Total_FT_Employees]] + Table4[[#This Row],[Total_PT_Employees]] - Table4[[#This Row],[Total_Tot_employees]]) &lt; 1, "OK", "Mismatch")</f>
        <v>OK</v>
      </c>
      <c r="D172" s="24" t="str">
        <f>IF(ABS(Table4[[#This Row],[Public_Tot_employment]] + Table4[[#This Row],[Private_Tot_employment]] - Table4[[#This Row],[Total_Employment]]) &lt; 1, "OK", "Mismatch")</f>
        <v>OK</v>
      </c>
    </row>
    <row r="173" spans="1:4" x14ac:dyDescent="0.3">
      <c r="A173" s="24" t="str">
        <f>IF(ABS(Table4[[#This Row],[Public_FT_employees]] + Table4[[#This Row],[Public_PT_employees]] - Table4[[#This Row],[Public_Tot_employees]]) &lt; 1, "OK", "Mismatch")</f>
        <v>OK</v>
      </c>
      <c r="B173" s="24" t="str">
        <f>IF(ABS(Table4[[#This Row],[Private_FT_employees]] + Table4[[#This Row],[Private_PT_employees]] - Table4[[#This Row],[Private_Tot_employees]]) &lt; 1, "OK", "Mismatch")</f>
        <v>OK</v>
      </c>
      <c r="C173" s="24" t="str">
        <f>IF(ABS(Table4[[#This Row],[Total_FT_Employees]] + Table4[[#This Row],[Total_PT_Employees]] - Table4[[#This Row],[Total_Tot_employees]]) &lt; 1, "OK", "Mismatch")</f>
        <v>OK</v>
      </c>
      <c r="D173" s="24" t="str">
        <f>IF(ABS(Table4[[#This Row],[Public_Tot_employment]] + Table4[[#This Row],[Private_Tot_employment]] - Table4[[#This Row],[Total_Employment]]) &lt; 1, "OK", "Mismatch")</f>
        <v>OK</v>
      </c>
    </row>
    <row r="174" spans="1:4" x14ac:dyDescent="0.3">
      <c r="A174" s="24" t="str">
        <f>IF(ABS(Table4[[#This Row],[Public_FT_employees]] + Table4[[#This Row],[Public_PT_employees]] - Table4[[#This Row],[Public_Tot_employees]]) &lt; 1, "OK", "Mismatch")</f>
        <v>OK</v>
      </c>
      <c r="B174" s="24" t="str">
        <f>IF(ABS(Table4[[#This Row],[Private_FT_employees]] + Table4[[#This Row],[Private_PT_employees]] - Table4[[#This Row],[Private_Tot_employees]]) &lt; 1, "OK", "Mismatch")</f>
        <v>OK</v>
      </c>
      <c r="C174" s="24" t="str">
        <f>IF(ABS(Table4[[#This Row],[Total_FT_Employees]] + Table4[[#This Row],[Total_PT_Employees]] - Table4[[#This Row],[Total_Tot_employees]]) &lt; 1, "OK", "Mismatch")</f>
        <v>OK</v>
      </c>
      <c r="D174" s="24" t="str">
        <f>IF(ABS(Table4[[#This Row],[Public_Tot_employment]] + Table4[[#This Row],[Private_Tot_employment]] - Table4[[#This Row],[Total_Employment]]) &lt; 1, "OK", "Mismatch")</f>
        <v>OK</v>
      </c>
    </row>
    <row r="175" spans="1:4" x14ac:dyDescent="0.3">
      <c r="A175" s="24" t="str">
        <f>IF(ABS(Table4[[#This Row],[Public_FT_employees]] + Table4[[#This Row],[Public_PT_employees]] - Table4[[#This Row],[Public_Tot_employees]]) &lt; 1, "OK", "Mismatch")</f>
        <v>OK</v>
      </c>
      <c r="B175" s="24" t="str">
        <f>IF(ABS(Table4[[#This Row],[Private_FT_employees]] + Table4[[#This Row],[Private_PT_employees]] - Table4[[#This Row],[Private_Tot_employees]]) &lt; 1, "OK", "Mismatch")</f>
        <v>OK</v>
      </c>
      <c r="C175" s="24" t="str">
        <f>IF(ABS(Table4[[#This Row],[Total_FT_Employees]] + Table4[[#This Row],[Total_PT_Employees]] - Table4[[#This Row],[Total_Tot_employees]]) &lt; 1, "OK", "Mismatch")</f>
        <v>OK</v>
      </c>
      <c r="D175" s="24" t="str">
        <f>IF(ABS(Table4[[#This Row],[Public_Tot_employment]] + Table4[[#This Row],[Private_Tot_employment]] - Table4[[#This Row],[Total_Employment]]) &lt; 1, "OK", "Mismatch")</f>
        <v>Mismatch</v>
      </c>
    </row>
    <row r="176" spans="1:4" x14ac:dyDescent="0.3">
      <c r="A176" s="24" t="str">
        <f>IF(ABS(Table4[[#This Row],[Public_FT_employees]] + Table4[[#This Row],[Public_PT_employees]] - Table4[[#This Row],[Public_Tot_employees]]) &lt; 1, "OK", "Mismatch")</f>
        <v>OK</v>
      </c>
      <c r="B176" s="24" t="str">
        <f>IF(ABS(Table4[[#This Row],[Private_FT_employees]] + Table4[[#This Row],[Private_PT_employees]] - Table4[[#This Row],[Private_Tot_employees]]) &lt; 1, "OK", "Mismatch")</f>
        <v>OK</v>
      </c>
      <c r="C176" s="24" t="str">
        <f>IF(ABS(Table4[[#This Row],[Total_FT_Employees]] + Table4[[#This Row],[Total_PT_Employees]] - Table4[[#This Row],[Total_Tot_employees]]) &lt; 1, "OK", "Mismatch")</f>
        <v>OK</v>
      </c>
      <c r="D176" s="24" t="str">
        <f>IF(ABS(Table4[[#This Row],[Public_Tot_employment]] + Table4[[#This Row],[Private_Tot_employment]] - Table4[[#This Row],[Total_Employment]]) &lt; 1, "OK", "Mismatch")</f>
        <v>OK</v>
      </c>
    </row>
    <row r="177" spans="1:4" x14ac:dyDescent="0.3">
      <c r="A177" s="24" t="str">
        <f>IF(ABS(Table4[[#This Row],[Public_FT_employees]] + Table4[[#This Row],[Public_PT_employees]] - Table4[[#This Row],[Public_Tot_employees]]) &lt; 1, "OK", "Mismatch")</f>
        <v>OK</v>
      </c>
      <c r="B177" s="24" t="str">
        <f>IF(ABS(Table4[[#This Row],[Private_FT_employees]] + Table4[[#This Row],[Private_PT_employees]] - Table4[[#This Row],[Private_Tot_employees]]) &lt; 1, "OK", "Mismatch")</f>
        <v>OK</v>
      </c>
      <c r="C177" s="24" t="str">
        <f>IF(ABS(Table4[[#This Row],[Total_FT_Employees]] + Table4[[#This Row],[Total_PT_Employees]] - Table4[[#This Row],[Total_Tot_employees]]) &lt; 1, "OK", "Mismatch")</f>
        <v>OK</v>
      </c>
      <c r="D177" s="24" t="str">
        <f>IF(ABS(Table4[[#This Row],[Public_Tot_employment]] + Table4[[#This Row],[Private_Tot_employment]] - Table4[[#This Row],[Total_Employment]]) &lt; 1, "OK", "Mismatch")</f>
        <v>OK</v>
      </c>
    </row>
    <row r="178" spans="1:4" x14ac:dyDescent="0.3">
      <c r="A178" s="24" t="str">
        <f>IF(ABS(Table4[[#This Row],[Public_FT_employees]] + Table4[[#This Row],[Public_PT_employees]] - Table4[[#This Row],[Public_Tot_employees]]) &lt; 1, "OK", "Mismatch")</f>
        <v>Mismatch</v>
      </c>
      <c r="B178" s="24" t="str">
        <f>IF(ABS(Table4[[#This Row],[Private_FT_employees]] + Table4[[#This Row],[Private_PT_employees]] - Table4[[#This Row],[Private_Tot_employees]]) &lt; 1, "OK", "Mismatch")</f>
        <v>OK</v>
      </c>
      <c r="C178" s="24" t="str">
        <f>IF(ABS(Table4[[#This Row],[Total_FT_Employees]] + Table4[[#This Row],[Total_PT_Employees]] - Table4[[#This Row],[Total_Tot_employees]]) &lt; 1, "OK", "Mismatch")</f>
        <v>OK</v>
      </c>
      <c r="D178" s="24" t="str">
        <f>IF(ABS(Table4[[#This Row],[Public_Tot_employment]] + Table4[[#This Row],[Private_Tot_employment]] - Table4[[#This Row],[Total_Employment]]) &lt; 1, "OK", "Mismatch")</f>
        <v>OK</v>
      </c>
    </row>
    <row r="179" spans="1:4" x14ac:dyDescent="0.3">
      <c r="A179" s="24" t="str">
        <f>IF(ABS(Table4[[#This Row],[Public_FT_employees]] + Table4[[#This Row],[Public_PT_employees]] - Table4[[#This Row],[Public_Tot_employees]]) &lt; 1, "OK", "Mismatch")</f>
        <v>OK</v>
      </c>
      <c r="B179" s="24" t="str">
        <f>IF(ABS(Table4[[#This Row],[Private_FT_employees]] + Table4[[#This Row],[Private_PT_employees]] - Table4[[#This Row],[Private_Tot_employees]]) &lt; 1, "OK", "Mismatch")</f>
        <v>OK</v>
      </c>
      <c r="C179" s="24" t="str">
        <f>IF(ABS(Table4[[#This Row],[Total_FT_Employees]] + Table4[[#This Row],[Total_PT_Employees]] - Table4[[#This Row],[Total_Tot_employees]]) &lt; 1, "OK", "Mismatch")</f>
        <v>OK</v>
      </c>
      <c r="D179" s="24" t="str">
        <f>IF(ABS(Table4[[#This Row],[Public_Tot_employment]] + Table4[[#This Row],[Private_Tot_employment]] - Table4[[#This Row],[Total_Employment]]) &lt; 1, "OK", "Mismatch")</f>
        <v>OK</v>
      </c>
    </row>
    <row r="180" spans="1:4" x14ac:dyDescent="0.3">
      <c r="A180" s="24" t="str">
        <f>IF(ABS(Table4[[#This Row],[Public_FT_employees]] + Table4[[#This Row],[Public_PT_employees]] - Table4[[#This Row],[Public_Tot_employees]]) &lt; 1, "OK", "Mismatch")</f>
        <v>OK</v>
      </c>
      <c r="B180" s="24" t="str">
        <f>IF(ABS(Table4[[#This Row],[Private_FT_employees]] + Table4[[#This Row],[Private_PT_employees]] - Table4[[#This Row],[Private_Tot_employees]]) &lt; 1, "OK", "Mismatch")</f>
        <v>OK</v>
      </c>
      <c r="C180" s="24" t="str">
        <f>IF(ABS(Table4[[#This Row],[Total_FT_Employees]] + Table4[[#This Row],[Total_PT_Employees]] - Table4[[#This Row],[Total_Tot_employees]]) &lt; 1, "OK", "Mismatch")</f>
        <v>Mismatch</v>
      </c>
      <c r="D180" s="24" t="str">
        <f>IF(ABS(Table4[[#This Row],[Public_Tot_employment]] + Table4[[#This Row],[Private_Tot_employment]] - Table4[[#This Row],[Total_Employment]]) &lt; 1, "OK", "Mismatch")</f>
        <v>Mismatch</v>
      </c>
    </row>
    <row r="181" spans="1:4" x14ac:dyDescent="0.3">
      <c r="A181" s="24" t="str">
        <f>IF(ABS(Table4[[#This Row],[Public_FT_employees]] + Table4[[#This Row],[Public_PT_employees]] - Table4[[#This Row],[Public_Tot_employees]]) &lt; 1, "OK", "Mismatch")</f>
        <v>OK</v>
      </c>
      <c r="B181" s="24" t="str">
        <f>IF(ABS(Table4[[#This Row],[Private_FT_employees]] + Table4[[#This Row],[Private_PT_employees]] - Table4[[#This Row],[Private_Tot_employees]]) &lt; 1, "OK", "Mismatch")</f>
        <v>Mismatch</v>
      </c>
      <c r="C181" s="24" t="str">
        <f>IF(ABS(Table4[[#This Row],[Total_FT_Employees]] + Table4[[#This Row],[Total_PT_Employees]] - Table4[[#This Row],[Total_Tot_employees]]) &lt; 1, "OK", "Mismatch")</f>
        <v>Mismatch</v>
      </c>
      <c r="D181" s="24" t="str">
        <f>IF(ABS(Table4[[#This Row],[Public_Tot_employment]] + Table4[[#This Row],[Private_Tot_employment]] - Table4[[#This Row],[Total_Employment]]) &lt; 1, "OK", "Mismatch")</f>
        <v>OK</v>
      </c>
    </row>
    <row r="182" spans="1:4" x14ac:dyDescent="0.3">
      <c r="A182" s="24" t="str">
        <f>IF(ABS(Table4[[#This Row],[Public_FT_employees]] + Table4[[#This Row],[Public_PT_employees]] - Table4[[#This Row],[Public_Tot_employees]]) &lt; 1, "OK", "Mismatch")</f>
        <v>OK</v>
      </c>
      <c r="B182" s="24" t="str">
        <f>IF(ABS(Table4[[#This Row],[Private_FT_employees]] + Table4[[#This Row],[Private_PT_employees]] - Table4[[#This Row],[Private_Tot_employees]]) &lt; 1, "OK", "Mismatch")</f>
        <v>Mismatch</v>
      </c>
      <c r="C182" s="24" t="str">
        <f>IF(ABS(Table4[[#This Row],[Total_FT_Employees]] + Table4[[#This Row],[Total_PT_Employees]] - Table4[[#This Row],[Total_Tot_employees]]) &lt; 1, "OK", "Mismatch")</f>
        <v>Mismatch</v>
      </c>
      <c r="D182" s="24" t="str">
        <f>IF(ABS(Table4[[#This Row],[Public_Tot_employment]] + Table4[[#This Row],[Private_Tot_employment]] - Table4[[#This Row],[Total_Employment]]) &lt; 1, "OK", "Mismatch")</f>
        <v>Mismatch</v>
      </c>
    </row>
    <row r="183" spans="1:4" x14ac:dyDescent="0.3">
      <c r="A183" s="24" t="str">
        <f>IF(ABS(Table4[[#This Row],[Public_FT_employees]] + Table4[[#This Row],[Public_PT_employees]] - Table4[[#This Row],[Public_Tot_employees]]) &lt; 1, "OK", "Mismatch")</f>
        <v>OK</v>
      </c>
      <c r="B183" s="24" t="str">
        <f>IF(ABS(Table4[[#This Row],[Private_FT_employees]] + Table4[[#This Row],[Private_PT_employees]] - Table4[[#This Row],[Private_Tot_employees]]) &lt; 1, "OK", "Mismatch")</f>
        <v>OK</v>
      </c>
      <c r="C183" s="24" t="str">
        <f>IF(ABS(Table4[[#This Row],[Total_FT_Employees]] + Table4[[#This Row],[Total_PT_Employees]] - Table4[[#This Row],[Total_Tot_employees]]) &lt; 1, "OK", "Mismatch")</f>
        <v>OK</v>
      </c>
      <c r="D183" s="24" t="str">
        <f>IF(ABS(Table4[[#This Row],[Public_Tot_employment]] + Table4[[#This Row],[Private_Tot_employment]] - Table4[[#This Row],[Total_Employment]]) &lt; 1, "OK", "Mismatch")</f>
        <v>OK</v>
      </c>
    </row>
    <row r="184" spans="1:4" x14ac:dyDescent="0.3">
      <c r="A184" s="24" t="str">
        <f>IF(ABS(Table4[[#This Row],[Public_FT_employees]] + Table4[[#This Row],[Public_PT_employees]] - Table4[[#This Row],[Public_Tot_employees]]) &lt; 1, "OK", "Mismatch")</f>
        <v>OK</v>
      </c>
      <c r="B184" s="24" t="str">
        <f>IF(ABS(Table4[[#This Row],[Private_FT_employees]] + Table4[[#This Row],[Private_PT_employees]] - Table4[[#This Row],[Private_Tot_employees]]) &lt; 1, "OK", "Mismatch")</f>
        <v>Mismatch</v>
      </c>
      <c r="C184" s="24" t="str">
        <f>IF(ABS(Table4[[#This Row],[Total_FT_Employees]] + Table4[[#This Row],[Total_PT_Employees]] - Table4[[#This Row],[Total_Tot_employees]]) &lt; 1, "OK", "Mismatch")</f>
        <v>OK</v>
      </c>
      <c r="D184" s="24" t="str">
        <f>IF(ABS(Table4[[#This Row],[Public_Tot_employment]] + Table4[[#This Row],[Private_Tot_employment]] - Table4[[#This Row],[Total_Employment]]) &lt; 1, "OK", "Mismatch")</f>
        <v>OK</v>
      </c>
    </row>
    <row r="185" spans="1:4" x14ac:dyDescent="0.3">
      <c r="A185" s="24" t="str">
        <f>IF(ABS(Table4[[#This Row],[Public_FT_employees]] + Table4[[#This Row],[Public_PT_employees]] - Table4[[#This Row],[Public_Tot_employees]]) &lt; 1, "OK", "Mismatch")</f>
        <v>OK</v>
      </c>
      <c r="B185" s="24" t="str">
        <f>IF(ABS(Table4[[#This Row],[Private_FT_employees]] + Table4[[#This Row],[Private_PT_employees]] - Table4[[#This Row],[Private_Tot_employees]]) &lt; 1, "OK", "Mismatch")</f>
        <v>Mismatch</v>
      </c>
      <c r="C185" s="24" t="str">
        <f>IF(ABS(Table4[[#This Row],[Total_FT_Employees]] + Table4[[#This Row],[Total_PT_Employees]] - Table4[[#This Row],[Total_Tot_employees]]) &lt; 1, "OK", "Mismatch")</f>
        <v>OK</v>
      </c>
      <c r="D185" s="24" t="str">
        <f>IF(ABS(Table4[[#This Row],[Public_Tot_employment]] + Table4[[#This Row],[Private_Tot_employment]] - Table4[[#This Row],[Total_Employment]]) &lt; 1, "OK", "Mismatch")</f>
        <v>Mismatch</v>
      </c>
    </row>
    <row r="186" spans="1:4" x14ac:dyDescent="0.3">
      <c r="A186" s="24" t="str">
        <f>IF(ABS(Table4[[#This Row],[Public_FT_employees]] + Table4[[#This Row],[Public_PT_employees]] - Table4[[#This Row],[Public_Tot_employees]]) &lt; 1, "OK", "Mismatch")</f>
        <v>OK</v>
      </c>
      <c r="B186" s="24" t="str">
        <f>IF(ABS(Table4[[#This Row],[Private_FT_employees]] + Table4[[#This Row],[Private_PT_employees]] - Table4[[#This Row],[Private_Tot_employees]]) &lt; 1, "OK", "Mismatch")</f>
        <v>OK</v>
      </c>
      <c r="C186" s="24" t="str">
        <f>IF(ABS(Table4[[#This Row],[Total_FT_Employees]] + Table4[[#This Row],[Total_PT_Employees]] - Table4[[#This Row],[Total_Tot_employees]]) &lt; 1, "OK", "Mismatch")</f>
        <v>Mismatch</v>
      </c>
      <c r="D186" s="24" t="str">
        <f>IF(ABS(Table4[[#This Row],[Public_Tot_employment]] + Table4[[#This Row],[Private_Tot_employment]] - Table4[[#This Row],[Total_Employment]]) &lt; 1, "OK", "Mismatch")</f>
        <v>OK</v>
      </c>
    </row>
    <row r="187" spans="1:4" x14ac:dyDescent="0.3">
      <c r="A187" s="24" t="str">
        <f>IF(ABS(Table4[[#This Row],[Public_FT_employees]] + Table4[[#This Row],[Public_PT_employees]] - Table4[[#This Row],[Public_Tot_employees]]) &lt; 1, "OK", "Mismatch")</f>
        <v>OK</v>
      </c>
      <c r="B187" s="24" t="str">
        <f>IF(ABS(Table4[[#This Row],[Private_FT_employees]] + Table4[[#This Row],[Private_PT_employees]] - Table4[[#This Row],[Private_Tot_employees]]) &lt; 1, "OK", "Mismatch")</f>
        <v>Mismatch</v>
      </c>
      <c r="C187" s="24" t="str">
        <f>IF(ABS(Table4[[#This Row],[Total_FT_Employees]] + Table4[[#This Row],[Total_PT_Employees]] - Table4[[#This Row],[Total_Tot_employees]]) &lt; 1, "OK", "Mismatch")</f>
        <v>OK</v>
      </c>
      <c r="D187" s="24" t="str">
        <f>IF(ABS(Table4[[#This Row],[Public_Tot_employment]] + Table4[[#This Row],[Private_Tot_employment]] - Table4[[#This Row],[Total_Employment]]) &lt; 1, "OK", "Mismatch")</f>
        <v>OK</v>
      </c>
    </row>
    <row r="188" spans="1:4" x14ac:dyDescent="0.3">
      <c r="A188" s="24" t="str">
        <f>IF(ABS(Table4[[#This Row],[Public_FT_employees]] + Table4[[#This Row],[Public_PT_employees]] - Table4[[#This Row],[Public_Tot_employees]]) &lt; 1, "OK", "Mismatch")</f>
        <v>OK</v>
      </c>
      <c r="B188" s="24" t="str">
        <f>IF(ABS(Table4[[#This Row],[Private_FT_employees]] + Table4[[#This Row],[Private_PT_employees]] - Table4[[#This Row],[Private_Tot_employees]]) &lt; 1, "OK", "Mismatch")</f>
        <v>OK</v>
      </c>
      <c r="C188" s="24" t="str">
        <f>IF(ABS(Table4[[#This Row],[Total_FT_Employees]] + Table4[[#This Row],[Total_PT_Employees]] - Table4[[#This Row],[Total_Tot_employees]]) &lt; 1, "OK", "Mismatch")</f>
        <v>Mismatch</v>
      </c>
      <c r="D188" s="24" t="str">
        <f>IF(ABS(Table4[[#This Row],[Public_Tot_employment]] + Table4[[#This Row],[Private_Tot_employment]] - Table4[[#This Row],[Total_Employment]]) &lt; 1, "OK", "Mismatch")</f>
        <v>Mismatch</v>
      </c>
    </row>
    <row r="189" spans="1:4" x14ac:dyDescent="0.3">
      <c r="A189" s="24" t="str">
        <f>IF(ABS(Table4[[#This Row],[Public_FT_employees]] + Table4[[#This Row],[Public_PT_employees]] - Table4[[#This Row],[Public_Tot_employees]]) &lt; 1, "OK", "Mismatch")</f>
        <v>OK</v>
      </c>
      <c r="B189" s="24" t="str">
        <f>IF(ABS(Table4[[#This Row],[Private_FT_employees]] + Table4[[#This Row],[Private_PT_employees]] - Table4[[#This Row],[Private_Tot_employees]]) &lt; 1, "OK", "Mismatch")</f>
        <v>Mismatch</v>
      </c>
      <c r="C189" s="24" t="str">
        <f>IF(ABS(Table4[[#This Row],[Total_FT_Employees]] + Table4[[#This Row],[Total_PT_Employees]] - Table4[[#This Row],[Total_Tot_employees]]) &lt; 1, "OK", "Mismatch")</f>
        <v>Mismatch</v>
      </c>
      <c r="D189" s="24" t="str">
        <f>IF(ABS(Table4[[#This Row],[Public_Tot_employment]] + Table4[[#This Row],[Private_Tot_employment]] - Table4[[#This Row],[Total_Employment]]) &lt; 1, "OK", "Mismatch")</f>
        <v>OK</v>
      </c>
    </row>
    <row r="190" spans="1:4" x14ac:dyDescent="0.3">
      <c r="A190" s="24" t="str">
        <f>IF(ABS(Table4[[#This Row],[Public_FT_employees]] + Table4[[#This Row],[Public_PT_employees]] - Table4[[#This Row],[Public_Tot_employees]]) &lt; 1, "OK", "Mismatch")</f>
        <v>OK</v>
      </c>
      <c r="B190" s="24" t="str">
        <f>IF(ABS(Table4[[#This Row],[Private_FT_employees]] + Table4[[#This Row],[Private_PT_employees]] - Table4[[#This Row],[Private_Tot_employees]]) &lt; 1, "OK", "Mismatch")</f>
        <v>Mismatch</v>
      </c>
      <c r="C190" s="24" t="str">
        <f>IF(ABS(Table4[[#This Row],[Total_FT_Employees]] + Table4[[#This Row],[Total_PT_Employees]] - Table4[[#This Row],[Total_Tot_employees]]) &lt; 1, "OK", "Mismatch")</f>
        <v>Mismatch</v>
      </c>
      <c r="D190" s="24" t="str">
        <f>IF(ABS(Table4[[#This Row],[Public_Tot_employment]] + Table4[[#This Row],[Private_Tot_employment]] - Table4[[#This Row],[Total_Employment]]) &lt; 1, "OK", "Mismatch")</f>
        <v>Mismatch</v>
      </c>
    </row>
    <row r="191" spans="1:4" x14ac:dyDescent="0.3">
      <c r="A191" s="24" t="str">
        <f>IF(ABS(Table4[[#This Row],[Public_FT_employees]] + Table4[[#This Row],[Public_PT_employees]] - Table4[[#This Row],[Public_Tot_employees]]) &lt; 1, "OK", "Mismatch")</f>
        <v>OK</v>
      </c>
      <c r="B191" s="24" t="str">
        <f>IF(ABS(Table4[[#This Row],[Private_FT_employees]] + Table4[[#This Row],[Private_PT_employees]] - Table4[[#This Row],[Private_Tot_employees]]) &lt; 1, "OK", "Mismatch")</f>
        <v>Mismatch</v>
      </c>
      <c r="C191" s="24" t="str">
        <f>IF(ABS(Table4[[#This Row],[Total_FT_Employees]] + Table4[[#This Row],[Total_PT_Employees]] - Table4[[#This Row],[Total_Tot_employees]]) &lt; 1, "OK", "Mismatch")</f>
        <v>Mismatch</v>
      </c>
      <c r="D191" s="24" t="str">
        <f>IF(ABS(Table4[[#This Row],[Public_Tot_employment]] + Table4[[#This Row],[Private_Tot_employment]] - Table4[[#This Row],[Total_Employment]]) &lt; 1, "OK", "Mismatch")</f>
        <v>OK</v>
      </c>
    </row>
    <row r="192" spans="1:4" x14ac:dyDescent="0.3">
      <c r="A192" s="24" t="str">
        <f>IF(ABS(Table4[[#This Row],[Public_FT_employees]] + Table4[[#This Row],[Public_PT_employees]] - Table4[[#This Row],[Public_Tot_employees]]) &lt; 1, "OK", "Mismatch")</f>
        <v>OK</v>
      </c>
      <c r="B192" s="24" t="str">
        <f>IF(ABS(Table4[[#This Row],[Private_FT_employees]] + Table4[[#This Row],[Private_PT_employees]] - Table4[[#This Row],[Private_Tot_employees]]) &lt; 1, "OK", "Mismatch")</f>
        <v>Mismatch</v>
      </c>
      <c r="C192" s="24" t="str">
        <f>IF(ABS(Table4[[#This Row],[Total_FT_Employees]] + Table4[[#This Row],[Total_PT_Employees]] - Table4[[#This Row],[Total_Tot_employees]]) &lt; 1, "OK", "Mismatch")</f>
        <v>OK</v>
      </c>
      <c r="D192" s="24" t="str">
        <f>IF(ABS(Table4[[#This Row],[Public_Tot_employment]] + Table4[[#This Row],[Private_Tot_employment]] - Table4[[#This Row],[Total_Employment]]) &lt; 1, "OK", "Mismatch")</f>
        <v>OK</v>
      </c>
    </row>
    <row r="193" spans="1:4" x14ac:dyDescent="0.3">
      <c r="A193" s="24" t="str">
        <f>IF(ABS(Table4[[#This Row],[Public_FT_employees]] + Table4[[#This Row],[Public_PT_employees]] - Table4[[#This Row],[Public_Tot_employees]]) &lt; 1, "OK", "Mismatch")</f>
        <v>OK</v>
      </c>
      <c r="B193" s="24" t="str">
        <f>IF(ABS(Table4[[#This Row],[Private_FT_employees]] + Table4[[#This Row],[Private_PT_employees]] - Table4[[#This Row],[Private_Tot_employees]]) &lt; 1, "OK", "Mismatch")</f>
        <v>OK</v>
      </c>
      <c r="C193" s="24" t="str">
        <f>IF(ABS(Table4[[#This Row],[Total_FT_Employees]] + Table4[[#This Row],[Total_PT_Employees]] - Table4[[#This Row],[Total_Tot_employees]]) &lt; 1, "OK", "Mismatch")</f>
        <v>OK</v>
      </c>
      <c r="D193" s="24" t="str">
        <f>IF(ABS(Table4[[#This Row],[Public_Tot_employment]] + Table4[[#This Row],[Private_Tot_employment]] - Table4[[#This Row],[Total_Employment]]) &lt; 1, "OK", "Mismatch")</f>
        <v>OK</v>
      </c>
    </row>
    <row r="194" spans="1:4" x14ac:dyDescent="0.3">
      <c r="A194" s="24" t="str">
        <f>IF(ABS(Table4[[#This Row],[Public_FT_employees]] + Table4[[#This Row],[Public_PT_employees]] - Table4[[#This Row],[Public_Tot_employees]]) &lt; 1, "OK", "Mismatch")</f>
        <v>OK</v>
      </c>
      <c r="B194" s="24" t="str">
        <f>IF(ABS(Table4[[#This Row],[Private_FT_employees]] + Table4[[#This Row],[Private_PT_employees]] - Table4[[#This Row],[Private_Tot_employees]]) &lt; 1, "OK", "Mismatch")</f>
        <v>Mismatch</v>
      </c>
      <c r="C194" s="24" t="str">
        <f>IF(ABS(Table4[[#This Row],[Total_FT_Employees]] + Table4[[#This Row],[Total_PT_Employees]] - Table4[[#This Row],[Total_Tot_employees]]) &lt; 1, "OK", "Mismatch")</f>
        <v>Mismatch</v>
      </c>
      <c r="D194" s="24" t="str">
        <f>IF(ABS(Table4[[#This Row],[Public_Tot_employment]] + Table4[[#This Row],[Private_Tot_employment]] - Table4[[#This Row],[Total_Employment]]) &lt; 1, "OK", "Mismatch")</f>
        <v>OK</v>
      </c>
    </row>
    <row r="195" spans="1:4" x14ac:dyDescent="0.3">
      <c r="A195" s="24" t="str">
        <f>IF(ABS(Table4[[#This Row],[Public_FT_employees]] + Table4[[#This Row],[Public_PT_employees]] - Table4[[#This Row],[Public_Tot_employees]]) &lt; 1, "OK", "Mismatch")</f>
        <v>Mismatch</v>
      </c>
      <c r="B195" s="24" t="str">
        <f>IF(ABS(Table4[[#This Row],[Private_FT_employees]] + Table4[[#This Row],[Private_PT_employees]] - Table4[[#This Row],[Private_Tot_employees]]) &lt; 1, "OK", "Mismatch")</f>
        <v>Mismatch</v>
      </c>
      <c r="C195" s="24" t="str">
        <f>IF(ABS(Table4[[#This Row],[Total_FT_Employees]] + Table4[[#This Row],[Total_PT_Employees]] - Table4[[#This Row],[Total_Tot_employees]]) &lt; 1, "OK", "Mismatch")</f>
        <v>Mismatch</v>
      </c>
      <c r="D195" s="24" t="str">
        <f>IF(ABS(Table4[[#This Row],[Public_Tot_employment]] + Table4[[#This Row],[Private_Tot_employment]] - Table4[[#This Row],[Total_Employment]]) &lt; 1, "OK", "Mismatch")</f>
        <v>Mismatch</v>
      </c>
    </row>
    <row r="196" spans="1:4" x14ac:dyDescent="0.3">
      <c r="A196" s="24" t="str">
        <f>IF(ABS(Table4[[#This Row],[Public_FT_employees]] + Table4[[#This Row],[Public_PT_employees]] - Table4[[#This Row],[Public_Tot_employees]]) &lt; 1, "OK", "Mismatch")</f>
        <v>OK</v>
      </c>
      <c r="B196" s="24" t="str">
        <f>IF(ABS(Table4[[#This Row],[Private_FT_employees]] + Table4[[#This Row],[Private_PT_employees]] - Table4[[#This Row],[Private_Tot_employees]]) &lt; 1, "OK", "Mismatch")</f>
        <v>Mismatch</v>
      </c>
      <c r="C196" s="24" t="str">
        <f>IF(ABS(Table4[[#This Row],[Total_FT_Employees]] + Table4[[#This Row],[Total_PT_Employees]] - Table4[[#This Row],[Total_Tot_employees]]) &lt; 1, "OK", "Mismatch")</f>
        <v>Mismatch</v>
      </c>
      <c r="D196" s="24" t="str">
        <f>IF(ABS(Table4[[#This Row],[Public_Tot_employment]] + Table4[[#This Row],[Private_Tot_employment]] - Table4[[#This Row],[Total_Employment]]) &lt; 1, "OK", "Mismatch")</f>
        <v>OK</v>
      </c>
    </row>
    <row r="197" spans="1:4" x14ac:dyDescent="0.3">
      <c r="A197" s="24" t="str">
        <f>IF(ABS(Table4[[#This Row],[Public_FT_employees]] + Table4[[#This Row],[Public_PT_employees]] - Table4[[#This Row],[Public_Tot_employees]]) &lt; 1, "OK", "Mismatch")</f>
        <v>OK</v>
      </c>
      <c r="B197" s="24" t="str">
        <f>IF(ABS(Table4[[#This Row],[Private_FT_employees]] + Table4[[#This Row],[Private_PT_employees]] - Table4[[#This Row],[Private_Tot_employees]]) &lt; 1, "OK", "Mismatch")</f>
        <v>OK</v>
      </c>
      <c r="C197" s="24" t="str">
        <f>IF(ABS(Table4[[#This Row],[Total_FT_Employees]] + Table4[[#This Row],[Total_PT_Employees]] - Table4[[#This Row],[Total_Tot_employees]]) &lt; 1, "OK", "Mismatch")</f>
        <v>OK</v>
      </c>
      <c r="D197" s="24" t="str">
        <f>IF(ABS(Table4[[#This Row],[Public_Tot_employment]] + Table4[[#This Row],[Private_Tot_employment]] - Table4[[#This Row],[Total_Employment]]) &lt; 1, "OK", "Mismatch")</f>
        <v>OK</v>
      </c>
    </row>
    <row r="198" spans="1:4" x14ac:dyDescent="0.3">
      <c r="A198" s="24" t="str">
        <f>IF(ABS(Table4[[#This Row],[Public_FT_employees]] + Table4[[#This Row],[Public_PT_employees]] - Table4[[#This Row],[Public_Tot_employees]]) &lt; 1, "OK", "Mismatch")</f>
        <v>OK</v>
      </c>
      <c r="B198" s="24" t="str">
        <f>IF(ABS(Table4[[#This Row],[Private_FT_employees]] + Table4[[#This Row],[Private_PT_employees]] - Table4[[#This Row],[Private_Tot_employees]]) &lt; 1, "OK", "Mismatch")</f>
        <v>OK</v>
      </c>
      <c r="C198" s="24" t="str">
        <f>IF(ABS(Table4[[#This Row],[Total_FT_Employees]] + Table4[[#This Row],[Total_PT_Employees]] - Table4[[#This Row],[Total_Tot_employees]]) &lt; 1, "OK", "Mismatch")</f>
        <v>Mismatch</v>
      </c>
      <c r="D198" s="24" t="str">
        <f>IF(ABS(Table4[[#This Row],[Public_Tot_employment]] + Table4[[#This Row],[Private_Tot_employment]] - Table4[[#This Row],[Total_Employment]]) &lt; 1, "OK", "Mismatch")</f>
        <v>OK</v>
      </c>
    </row>
    <row r="199" spans="1:4" x14ac:dyDescent="0.3">
      <c r="A199" s="24" t="str">
        <f>IF(ABS(Table4[[#This Row],[Public_FT_employees]] + Table4[[#This Row],[Public_PT_employees]] - Table4[[#This Row],[Public_Tot_employees]]) &lt; 1, "OK", "Mismatch")</f>
        <v>OK</v>
      </c>
      <c r="B199" s="24" t="str">
        <f>IF(ABS(Table4[[#This Row],[Private_FT_employees]] + Table4[[#This Row],[Private_PT_employees]] - Table4[[#This Row],[Private_Tot_employees]]) &lt; 1, "OK", "Mismatch")</f>
        <v>Mismatch</v>
      </c>
      <c r="C199" s="24" t="str">
        <f>IF(ABS(Table4[[#This Row],[Total_FT_Employees]] + Table4[[#This Row],[Total_PT_Employees]] - Table4[[#This Row],[Total_Tot_employees]]) &lt; 1, "OK", "Mismatch")</f>
        <v>Mismatch</v>
      </c>
      <c r="D199" s="24" t="str">
        <f>IF(ABS(Table4[[#This Row],[Public_Tot_employment]] + Table4[[#This Row],[Private_Tot_employment]] - Table4[[#This Row],[Total_Employment]]) &lt; 1, "OK", "Mismatch")</f>
        <v>OK</v>
      </c>
    </row>
    <row r="200" spans="1:4" x14ac:dyDescent="0.3">
      <c r="A200" s="24" t="str">
        <f>IF(ABS(Table4[[#This Row],[Public_FT_employees]] + Table4[[#This Row],[Public_PT_employees]] - Table4[[#This Row],[Public_Tot_employees]]) &lt; 1, "OK", "Mismatch")</f>
        <v>OK</v>
      </c>
      <c r="B200" s="24" t="str">
        <f>IF(ABS(Table4[[#This Row],[Private_FT_employees]] + Table4[[#This Row],[Private_PT_employees]] - Table4[[#This Row],[Private_Tot_employees]]) &lt; 1, "OK", "Mismatch")</f>
        <v>OK</v>
      </c>
      <c r="C200" s="24" t="str">
        <f>IF(ABS(Table4[[#This Row],[Total_FT_Employees]] + Table4[[#This Row],[Total_PT_Employees]] - Table4[[#This Row],[Total_Tot_employees]]) &lt; 1, "OK", "Mismatch")</f>
        <v>OK</v>
      </c>
      <c r="D200" s="24" t="str">
        <f>IF(ABS(Table4[[#This Row],[Public_Tot_employment]] + Table4[[#This Row],[Private_Tot_employment]] - Table4[[#This Row],[Total_Employment]]) &lt; 1, "OK", "Mismatch")</f>
        <v>Mismatch</v>
      </c>
    </row>
    <row r="201" spans="1:4" x14ac:dyDescent="0.3">
      <c r="A201" s="24" t="str">
        <f>IF(ABS(Table4[[#This Row],[Public_FT_employees]] + Table4[[#This Row],[Public_PT_employees]] - Table4[[#This Row],[Public_Tot_employees]]) &lt; 1, "OK", "Mismatch")</f>
        <v>OK</v>
      </c>
      <c r="B201" s="24" t="str">
        <f>IF(ABS(Table4[[#This Row],[Private_FT_employees]] + Table4[[#This Row],[Private_PT_employees]] - Table4[[#This Row],[Private_Tot_employees]]) &lt; 1, "OK", "Mismatch")</f>
        <v>Mismatch</v>
      </c>
      <c r="C201" s="24" t="str">
        <f>IF(ABS(Table4[[#This Row],[Total_FT_Employees]] + Table4[[#This Row],[Total_PT_Employees]] - Table4[[#This Row],[Total_Tot_employees]]) &lt; 1, "OK", "Mismatch")</f>
        <v>OK</v>
      </c>
      <c r="D201" s="24" t="str">
        <f>IF(ABS(Table4[[#This Row],[Public_Tot_employment]] + Table4[[#This Row],[Private_Tot_employment]] - Table4[[#This Row],[Total_Employment]]) &lt; 1, "OK", "Mismatch")</f>
        <v>OK</v>
      </c>
    </row>
    <row r="202" spans="1:4" x14ac:dyDescent="0.3">
      <c r="A202" s="24" t="str">
        <f>IF(ABS(Table4[[#This Row],[Public_FT_employees]] + Table4[[#This Row],[Public_PT_employees]] - Table4[[#This Row],[Public_Tot_employees]]) &lt; 1, "OK", "Mismatch")</f>
        <v>OK</v>
      </c>
      <c r="B202" s="24" t="str">
        <f>IF(ABS(Table4[[#This Row],[Private_FT_employees]] + Table4[[#This Row],[Private_PT_employees]] - Table4[[#This Row],[Private_Tot_employees]]) &lt; 1, "OK", "Mismatch")</f>
        <v>Mismatch</v>
      </c>
      <c r="C202" s="24" t="str">
        <f>IF(ABS(Table4[[#This Row],[Total_FT_Employees]] + Table4[[#This Row],[Total_PT_Employees]] - Table4[[#This Row],[Total_Tot_employees]]) &lt; 1, "OK", "Mismatch")</f>
        <v>OK</v>
      </c>
      <c r="D202" s="24" t="str">
        <f>IF(ABS(Table4[[#This Row],[Public_Tot_employment]] + Table4[[#This Row],[Private_Tot_employment]] - Table4[[#This Row],[Total_Employment]]) &lt; 1, "OK", "Mismatch")</f>
        <v>OK</v>
      </c>
    </row>
    <row r="203" spans="1:4" x14ac:dyDescent="0.3">
      <c r="A203" s="24" t="str">
        <f>IF(ABS(Table4[[#This Row],[Public_FT_employees]] + Table4[[#This Row],[Public_PT_employees]] - Table4[[#This Row],[Public_Tot_employees]]) &lt; 1, "OK", "Mismatch")</f>
        <v>OK</v>
      </c>
      <c r="B203" s="24" t="str">
        <f>IF(ABS(Table4[[#This Row],[Private_FT_employees]] + Table4[[#This Row],[Private_PT_employees]] - Table4[[#This Row],[Private_Tot_employees]]) &lt; 1, "OK", "Mismatch")</f>
        <v>OK</v>
      </c>
      <c r="C203" s="24" t="str">
        <f>IF(ABS(Table4[[#This Row],[Total_FT_Employees]] + Table4[[#This Row],[Total_PT_Employees]] - Table4[[#This Row],[Total_Tot_employees]]) &lt; 1, "OK", "Mismatch")</f>
        <v>OK</v>
      </c>
      <c r="D203" s="24" t="str">
        <f>IF(ABS(Table4[[#This Row],[Public_Tot_employment]] + Table4[[#This Row],[Private_Tot_employment]] - Table4[[#This Row],[Total_Employment]]) &lt; 1, "OK", "Mismatch")</f>
        <v>Mismatch</v>
      </c>
    </row>
    <row r="204" spans="1:4" x14ac:dyDescent="0.3">
      <c r="A204" s="24" t="str">
        <f>IF(ABS(Table4[[#This Row],[Public_FT_employees]] + Table4[[#This Row],[Public_PT_employees]] - Table4[[#This Row],[Public_Tot_employees]]) &lt; 1, "OK", "Mismatch")</f>
        <v>OK</v>
      </c>
      <c r="B204" s="24" t="str">
        <f>IF(ABS(Table4[[#This Row],[Private_FT_employees]] + Table4[[#This Row],[Private_PT_employees]] - Table4[[#This Row],[Private_Tot_employees]]) &lt; 1, "OK", "Mismatch")</f>
        <v>Mismatch</v>
      </c>
      <c r="C204" s="24" t="str">
        <f>IF(ABS(Table4[[#This Row],[Total_FT_Employees]] + Table4[[#This Row],[Total_PT_Employees]] - Table4[[#This Row],[Total_Tot_employees]]) &lt; 1, "OK", "Mismatch")</f>
        <v>OK</v>
      </c>
      <c r="D204" s="24" t="str">
        <f>IF(ABS(Table4[[#This Row],[Public_Tot_employment]] + Table4[[#This Row],[Private_Tot_employment]] - Table4[[#This Row],[Total_Employment]]) &lt; 1, "OK", "Mismatch")</f>
        <v>Mismatch</v>
      </c>
    </row>
    <row r="205" spans="1:4" x14ac:dyDescent="0.3">
      <c r="A205" s="24" t="str">
        <f>IF(ABS(Table4[[#This Row],[Public_FT_employees]] + Table4[[#This Row],[Public_PT_employees]] - Table4[[#This Row],[Public_Tot_employees]]) &lt; 1, "OK", "Mismatch")</f>
        <v>OK</v>
      </c>
      <c r="B205" s="24" t="str">
        <f>IF(ABS(Table4[[#This Row],[Private_FT_employees]] + Table4[[#This Row],[Private_PT_employees]] - Table4[[#This Row],[Private_Tot_employees]]) &lt; 1, "OK", "Mismatch")</f>
        <v>Mismatch</v>
      </c>
      <c r="C205" s="24" t="str">
        <f>IF(ABS(Table4[[#This Row],[Total_FT_Employees]] + Table4[[#This Row],[Total_PT_Employees]] - Table4[[#This Row],[Total_Tot_employees]]) &lt; 1, "OK", "Mismatch")</f>
        <v>Mismatch</v>
      </c>
      <c r="D205" s="24" t="str">
        <f>IF(ABS(Table4[[#This Row],[Public_Tot_employment]] + Table4[[#This Row],[Private_Tot_employment]] - Table4[[#This Row],[Total_Employment]]) &lt; 1, "OK", "Mismatch")</f>
        <v>OK</v>
      </c>
    </row>
    <row r="206" spans="1:4" x14ac:dyDescent="0.3">
      <c r="A206" s="24" t="str">
        <f>IF(ABS(Table4[[#This Row],[Public_FT_employees]] + Table4[[#This Row],[Public_PT_employees]] - Table4[[#This Row],[Public_Tot_employees]]) &lt; 1, "OK", "Mismatch")</f>
        <v>OK</v>
      </c>
      <c r="B206" s="24" t="str">
        <f>IF(ABS(Table4[[#This Row],[Private_FT_employees]] + Table4[[#This Row],[Private_PT_employees]] - Table4[[#This Row],[Private_Tot_employees]]) &lt; 1, "OK", "Mismatch")</f>
        <v>Mismatch</v>
      </c>
      <c r="C206" s="24" t="str">
        <f>IF(ABS(Table4[[#This Row],[Total_FT_Employees]] + Table4[[#This Row],[Total_PT_Employees]] - Table4[[#This Row],[Total_Tot_employees]]) &lt; 1, "OK", "Mismatch")</f>
        <v>OK</v>
      </c>
      <c r="D206" s="24" t="str">
        <f>IF(ABS(Table4[[#This Row],[Public_Tot_employment]] + Table4[[#This Row],[Private_Tot_employment]] - Table4[[#This Row],[Total_Employment]]) &lt; 1, "OK", "Mismatch")</f>
        <v>OK</v>
      </c>
    </row>
    <row r="207" spans="1:4" x14ac:dyDescent="0.3">
      <c r="A207" s="24" t="str">
        <f>IF(ABS(Table4[[#This Row],[Public_FT_employees]] + Table4[[#This Row],[Public_PT_employees]] - Table4[[#This Row],[Public_Tot_employees]]) &lt; 1, "OK", "Mismatch")</f>
        <v>OK</v>
      </c>
      <c r="B207" s="24" t="str">
        <f>IF(ABS(Table4[[#This Row],[Private_FT_employees]] + Table4[[#This Row],[Private_PT_employees]] - Table4[[#This Row],[Private_Tot_employees]]) &lt; 1, "OK", "Mismatch")</f>
        <v>OK</v>
      </c>
      <c r="C207" s="24" t="str">
        <f>IF(ABS(Table4[[#This Row],[Total_FT_Employees]] + Table4[[#This Row],[Total_PT_Employees]] - Table4[[#This Row],[Total_Tot_employees]]) &lt; 1, "OK", "Mismatch")</f>
        <v>OK</v>
      </c>
      <c r="D207" s="24" t="str">
        <f>IF(ABS(Table4[[#This Row],[Public_Tot_employment]] + Table4[[#This Row],[Private_Tot_employment]] - Table4[[#This Row],[Total_Employment]]) &lt; 1, "OK", "Mismatch")</f>
        <v>OK</v>
      </c>
    </row>
    <row r="208" spans="1:4" x14ac:dyDescent="0.3">
      <c r="A208" s="24" t="str">
        <f>IF(ABS(Table4[[#This Row],[Public_FT_employees]] + Table4[[#This Row],[Public_PT_employees]] - Table4[[#This Row],[Public_Tot_employees]]) &lt; 1, "OK", "Mismatch")</f>
        <v>Mismatch</v>
      </c>
      <c r="B208" s="24" t="str">
        <f>IF(ABS(Table4[[#This Row],[Private_FT_employees]] + Table4[[#This Row],[Private_PT_employees]] - Table4[[#This Row],[Private_Tot_employees]]) &lt; 1, "OK", "Mismatch")</f>
        <v>OK</v>
      </c>
      <c r="C208" s="24" t="str">
        <f>IF(ABS(Table4[[#This Row],[Total_FT_Employees]] + Table4[[#This Row],[Total_PT_Employees]] - Table4[[#This Row],[Total_Tot_employees]]) &lt; 1, "OK", "Mismatch")</f>
        <v>OK</v>
      </c>
      <c r="D208" s="24" t="str">
        <f>IF(ABS(Table4[[#This Row],[Public_Tot_employment]] + Table4[[#This Row],[Private_Tot_employment]] - Table4[[#This Row],[Total_Employment]]) &lt; 1, "OK", "Mismatch")</f>
        <v>OK</v>
      </c>
    </row>
    <row r="209" spans="1:4" x14ac:dyDescent="0.3">
      <c r="A209" s="24" t="str">
        <f>IF(ABS(Table4[[#This Row],[Public_FT_employees]] + Table4[[#This Row],[Public_PT_employees]] - Table4[[#This Row],[Public_Tot_employees]]) &lt; 1, "OK", "Mismatch")</f>
        <v>OK</v>
      </c>
      <c r="B209" s="24" t="str">
        <f>IF(ABS(Table4[[#This Row],[Private_FT_employees]] + Table4[[#This Row],[Private_PT_employees]] - Table4[[#This Row],[Private_Tot_employees]]) &lt; 1, "OK", "Mismatch")</f>
        <v>OK</v>
      </c>
      <c r="C209" s="24" t="str">
        <f>IF(ABS(Table4[[#This Row],[Total_FT_Employees]] + Table4[[#This Row],[Total_PT_Employees]] - Table4[[#This Row],[Total_Tot_employees]]) &lt; 1, "OK", "Mismatch")</f>
        <v>OK</v>
      </c>
      <c r="D209" s="24" t="str">
        <f>IF(ABS(Table4[[#This Row],[Public_Tot_employment]] + Table4[[#This Row],[Private_Tot_employment]] - Table4[[#This Row],[Total_Employment]]) &lt; 1, "OK", "Mismatch")</f>
        <v>Mismatch</v>
      </c>
    </row>
    <row r="210" spans="1:4" x14ac:dyDescent="0.3">
      <c r="A210" s="24" t="str">
        <f>IF(ABS(Table4[[#This Row],[Public_FT_employees]] + Table4[[#This Row],[Public_PT_employees]] - Table4[[#This Row],[Public_Tot_employees]]) &lt; 1, "OK", "Mismatch")</f>
        <v>OK</v>
      </c>
      <c r="B210" s="24" t="str">
        <f>IF(ABS(Table4[[#This Row],[Private_FT_employees]] + Table4[[#This Row],[Private_PT_employees]] - Table4[[#This Row],[Private_Tot_employees]]) &lt; 1, "OK", "Mismatch")</f>
        <v>Mismatch</v>
      </c>
      <c r="C210" s="24" t="str">
        <f>IF(ABS(Table4[[#This Row],[Total_FT_Employees]] + Table4[[#This Row],[Total_PT_Employees]] - Table4[[#This Row],[Total_Tot_employees]]) &lt; 1, "OK", "Mismatch")</f>
        <v>Mismatch</v>
      </c>
      <c r="D210" s="24" t="str">
        <f>IF(ABS(Table4[[#This Row],[Public_Tot_employment]] + Table4[[#This Row],[Private_Tot_employment]] - Table4[[#This Row],[Total_Employment]]) &lt; 1, "OK", "Mismatch")</f>
        <v>OK</v>
      </c>
    </row>
    <row r="211" spans="1:4" x14ac:dyDescent="0.3">
      <c r="A211" s="24" t="str">
        <f>IF(ABS(Table4[[#This Row],[Public_FT_employees]] + Table4[[#This Row],[Public_PT_employees]] - Table4[[#This Row],[Public_Tot_employees]]) &lt; 1, "OK", "Mismatch")</f>
        <v>Mismatch</v>
      </c>
      <c r="B211" s="24" t="str">
        <f>IF(ABS(Table4[[#This Row],[Private_FT_employees]] + Table4[[#This Row],[Private_PT_employees]] - Table4[[#This Row],[Private_Tot_employees]]) &lt; 1, "OK", "Mismatch")</f>
        <v>Mismatch</v>
      </c>
      <c r="C211" s="24" t="str">
        <f>IF(ABS(Table4[[#This Row],[Total_FT_Employees]] + Table4[[#This Row],[Total_PT_Employees]] - Table4[[#This Row],[Total_Tot_employees]]) &lt; 1, "OK", "Mismatch")</f>
        <v>OK</v>
      </c>
      <c r="D211" s="24" t="str">
        <f>IF(ABS(Table4[[#This Row],[Public_Tot_employment]] + Table4[[#This Row],[Private_Tot_employment]] - Table4[[#This Row],[Total_Employment]]) &lt; 1, "OK", "Mismatch")</f>
        <v>Mismatch</v>
      </c>
    </row>
    <row r="212" spans="1:4" x14ac:dyDescent="0.3">
      <c r="A212" s="24" t="str">
        <f>IF(ABS(Table4[[#This Row],[Public_FT_employees]] + Table4[[#This Row],[Public_PT_employees]] - Table4[[#This Row],[Public_Tot_employees]]) &lt; 1, "OK", "Mismatch")</f>
        <v>OK</v>
      </c>
      <c r="B212" s="24" t="str">
        <f>IF(ABS(Table4[[#This Row],[Private_FT_employees]] + Table4[[#This Row],[Private_PT_employees]] - Table4[[#This Row],[Private_Tot_employees]]) &lt; 1, "OK", "Mismatch")</f>
        <v>OK</v>
      </c>
      <c r="C212" s="24" t="str">
        <f>IF(ABS(Table4[[#This Row],[Total_FT_Employees]] + Table4[[#This Row],[Total_PT_Employees]] - Table4[[#This Row],[Total_Tot_employees]]) &lt; 1, "OK", "Mismatch")</f>
        <v>Mismatch</v>
      </c>
      <c r="D212" s="24" t="str">
        <f>IF(ABS(Table4[[#This Row],[Public_Tot_employment]] + Table4[[#This Row],[Private_Tot_employment]] - Table4[[#This Row],[Total_Employment]]) &lt; 1, "OK", "Mismatch")</f>
        <v>OK</v>
      </c>
    </row>
    <row r="213" spans="1:4" x14ac:dyDescent="0.3">
      <c r="A213" s="24" t="str">
        <f>IF(ABS(Table4[[#This Row],[Public_FT_employees]] + Table4[[#This Row],[Public_PT_employees]] - Table4[[#This Row],[Public_Tot_employees]]) &lt; 1, "OK", "Mismatch")</f>
        <v>OK</v>
      </c>
      <c r="B213" s="24" t="str">
        <f>IF(ABS(Table4[[#This Row],[Private_FT_employees]] + Table4[[#This Row],[Private_PT_employees]] - Table4[[#This Row],[Private_Tot_employees]]) &lt; 1, "OK", "Mismatch")</f>
        <v>Mismatch</v>
      </c>
      <c r="C213" s="24" t="str">
        <f>IF(ABS(Table4[[#This Row],[Total_FT_Employees]] + Table4[[#This Row],[Total_PT_Employees]] - Table4[[#This Row],[Total_Tot_employees]]) &lt; 1, "OK", "Mismatch")</f>
        <v>OK</v>
      </c>
      <c r="D213" s="24" t="str">
        <f>IF(ABS(Table4[[#This Row],[Public_Tot_employment]] + Table4[[#This Row],[Private_Tot_employment]] - Table4[[#This Row],[Total_Employment]]) &lt; 1, "OK", "Mismatch")</f>
        <v>Mismatch</v>
      </c>
    </row>
    <row r="214" spans="1:4" x14ac:dyDescent="0.3">
      <c r="A214" s="24" t="str">
        <f>IF(ABS(Table4[[#This Row],[Public_FT_employees]] + Table4[[#This Row],[Public_PT_employees]] - Table4[[#This Row],[Public_Tot_employees]]) &lt; 1, "OK", "Mismatch")</f>
        <v>OK</v>
      </c>
      <c r="B214" s="24" t="str">
        <f>IF(ABS(Table4[[#This Row],[Private_FT_employees]] + Table4[[#This Row],[Private_PT_employees]] - Table4[[#This Row],[Private_Tot_employees]]) &lt; 1, "OK", "Mismatch")</f>
        <v>OK</v>
      </c>
      <c r="C214" s="24" t="str">
        <f>IF(ABS(Table4[[#This Row],[Total_FT_Employees]] + Table4[[#This Row],[Total_PT_Employees]] - Table4[[#This Row],[Total_Tot_employees]]) &lt; 1, "OK", "Mismatch")</f>
        <v>OK</v>
      </c>
      <c r="D214" s="24" t="str">
        <f>IF(ABS(Table4[[#This Row],[Public_Tot_employment]] + Table4[[#This Row],[Private_Tot_employment]] - Table4[[#This Row],[Total_Employment]]) &lt; 1, "OK", "Mismatch")</f>
        <v>Mismatch</v>
      </c>
    </row>
    <row r="215" spans="1:4" x14ac:dyDescent="0.3">
      <c r="A215" s="24" t="str">
        <f>IF(ABS(Table4[[#This Row],[Public_FT_employees]] + Table4[[#This Row],[Public_PT_employees]] - Table4[[#This Row],[Public_Tot_employees]]) &lt; 1, "OK", "Mismatch")</f>
        <v>Mismatch</v>
      </c>
      <c r="B215" s="24" t="str">
        <f>IF(ABS(Table4[[#This Row],[Private_FT_employees]] + Table4[[#This Row],[Private_PT_employees]] - Table4[[#This Row],[Private_Tot_employees]]) &lt; 1, "OK", "Mismatch")</f>
        <v>OK</v>
      </c>
      <c r="C215" s="24" t="str">
        <f>IF(ABS(Table4[[#This Row],[Total_FT_Employees]] + Table4[[#This Row],[Total_PT_Employees]] - Table4[[#This Row],[Total_Tot_employees]]) &lt; 1, "OK", "Mismatch")</f>
        <v>OK</v>
      </c>
      <c r="D215" s="24" t="str">
        <f>IF(ABS(Table4[[#This Row],[Public_Tot_employment]] + Table4[[#This Row],[Private_Tot_employment]] - Table4[[#This Row],[Total_Employment]]) &lt; 1, "OK", "Mismatch")</f>
        <v>OK</v>
      </c>
    </row>
    <row r="216" spans="1:4" x14ac:dyDescent="0.3">
      <c r="A216" s="24" t="str">
        <f>IF(ABS(Table4[[#This Row],[Public_FT_employees]] + Table4[[#This Row],[Public_PT_employees]] - Table4[[#This Row],[Public_Tot_employees]]) &lt; 1, "OK", "Mismatch")</f>
        <v>OK</v>
      </c>
      <c r="B216" s="24" t="str">
        <f>IF(ABS(Table4[[#This Row],[Private_FT_employees]] + Table4[[#This Row],[Private_PT_employees]] - Table4[[#This Row],[Private_Tot_employees]]) &lt; 1, "OK", "Mismatch")</f>
        <v>OK</v>
      </c>
      <c r="C216" s="24" t="str">
        <f>IF(ABS(Table4[[#This Row],[Total_FT_Employees]] + Table4[[#This Row],[Total_PT_Employees]] - Table4[[#This Row],[Total_Tot_employees]]) &lt; 1, "OK", "Mismatch")</f>
        <v>OK</v>
      </c>
      <c r="D216" s="24" t="str">
        <f>IF(ABS(Table4[[#This Row],[Public_Tot_employment]] + Table4[[#This Row],[Private_Tot_employment]] - Table4[[#This Row],[Total_Employment]]) &lt; 1, "OK", "Mismatch")</f>
        <v>OK</v>
      </c>
    </row>
    <row r="217" spans="1:4" x14ac:dyDescent="0.3">
      <c r="A217" s="24" t="str">
        <f>IF(ABS(Table4[[#This Row],[Public_FT_employees]] + Table4[[#This Row],[Public_PT_employees]] - Table4[[#This Row],[Public_Tot_employees]]) &lt; 1, "OK", "Mismatch")</f>
        <v>OK</v>
      </c>
      <c r="B217" s="24" t="str">
        <f>IF(ABS(Table4[[#This Row],[Private_FT_employees]] + Table4[[#This Row],[Private_PT_employees]] - Table4[[#This Row],[Private_Tot_employees]]) &lt; 1, "OK", "Mismatch")</f>
        <v>OK</v>
      </c>
      <c r="C217" s="24" t="str">
        <f>IF(ABS(Table4[[#This Row],[Total_FT_Employees]] + Table4[[#This Row],[Total_PT_Employees]] - Table4[[#This Row],[Total_Tot_employees]]) &lt; 1, "OK", "Mismatch")</f>
        <v>OK</v>
      </c>
      <c r="D217" s="24" t="str">
        <f>IF(ABS(Table4[[#This Row],[Public_Tot_employment]] + Table4[[#This Row],[Private_Tot_employment]] - Table4[[#This Row],[Total_Employment]]) &lt; 1, "OK", "Mismatch")</f>
        <v>OK</v>
      </c>
    </row>
    <row r="218" spans="1:4" x14ac:dyDescent="0.3">
      <c r="A218" s="24" t="str">
        <f>IF(ABS(Table4[[#This Row],[Public_FT_employees]] + Table4[[#This Row],[Public_PT_employees]] - Table4[[#This Row],[Public_Tot_employees]]) &lt; 1, "OK", "Mismatch")</f>
        <v>Mismatch</v>
      </c>
      <c r="B218" s="24" t="str">
        <f>IF(ABS(Table4[[#This Row],[Private_FT_employees]] + Table4[[#This Row],[Private_PT_employees]] - Table4[[#This Row],[Private_Tot_employees]]) &lt; 1, "OK", "Mismatch")</f>
        <v>OK</v>
      </c>
      <c r="C218" s="24" t="str">
        <f>IF(ABS(Table4[[#This Row],[Total_FT_Employees]] + Table4[[#This Row],[Total_PT_Employees]] - Table4[[#This Row],[Total_Tot_employees]]) &lt; 1, "OK", "Mismatch")</f>
        <v>OK</v>
      </c>
      <c r="D218" s="24" t="str">
        <f>IF(ABS(Table4[[#This Row],[Public_Tot_employment]] + Table4[[#This Row],[Private_Tot_employment]] - Table4[[#This Row],[Total_Employment]]) &lt; 1, "OK", "Mismatch")</f>
        <v>OK</v>
      </c>
    </row>
    <row r="219" spans="1:4" x14ac:dyDescent="0.3">
      <c r="A219" s="24" t="str">
        <f>IF(ABS(Table4[[#This Row],[Public_FT_employees]] + Table4[[#This Row],[Public_PT_employees]] - Table4[[#This Row],[Public_Tot_employees]]) &lt; 1, "OK", "Mismatch")</f>
        <v>OK</v>
      </c>
      <c r="B219" s="24" t="str">
        <f>IF(ABS(Table4[[#This Row],[Private_FT_employees]] + Table4[[#This Row],[Private_PT_employees]] - Table4[[#This Row],[Private_Tot_employees]]) &lt; 1, "OK", "Mismatch")</f>
        <v>OK</v>
      </c>
      <c r="C219" s="24" t="str">
        <f>IF(ABS(Table4[[#This Row],[Total_FT_Employees]] + Table4[[#This Row],[Total_PT_Employees]] - Table4[[#This Row],[Total_Tot_employees]]) &lt; 1, "OK", "Mismatch")</f>
        <v>OK</v>
      </c>
      <c r="D219" s="24" t="str">
        <f>IF(ABS(Table4[[#This Row],[Public_Tot_employment]] + Table4[[#This Row],[Private_Tot_employment]] - Table4[[#This Row],[Total_Employment]]) &lt; 1, "OK", "Mismatch")</f>
        <v>OK</v>
      </c>
    </row>
    <row r="220" spans="1:4" x14ac:dyDescent="0.3">
      <c r="A220" s="24" t="str">
        <f>IF(ABS(Table4[[#This Row],[Public_FT_employees]] + Table4[[#This Row],[Public_PT_employees]] - Table4[[#This Row],[Public_Tot_employees]]) &lt; 1, "OK", "Mismatch")</f>
        <v>OK</v>
      </c>
      <c r="B220" s="24" t="str">
        <f>IF(ABS(Table4[[#This Row],[Private_FT_employees]] + Table4[[#This Row],[Private_PT_employees]] - Table4[[#This Row],[Private_Tot_employees]]) &lt; 1, "OK", "Mismatch")</f>
        <v>OK</v>
      </c>
      <c r="C220" s="24" t="str">
        <f>IF(ABS(Table4[[#This Row],[Total_FT_Employees]] + Table4[[#This Row],[Total_PT_Employees]] - Table4[[#This Row],[Total_Tot_employees]]) &lt; 1, "OK", "Mismatch")</f>
        <v>Mismatch</v>
      </c>
      <c r="D220" s="24" t="str">
        <f>IF(ABS(Table4[[#This Row],[Public_Tot_employment]] + Table4[[#This Row],[Private_Tot_employment]] - Table4[[#This Row],[Total_Employment]]) &lt; 1, "OK", "Mismatch")</f>
        <v>OK</v>
      </c>
    </row>
    <row r="221" spans="1:4" x14ac:dyDescent="0.3">
      <c r="A221" s="24" t="str">
        <f>IF(ABS(Table4[[#This Row],[Public_FT_employees]] + Table4[[#This Row],[Public_PT_employees]] - Table4[[#This Row],[Public_Tot_employees]]) &lt; 1, "OK", "Mismatch")</f>
        <v>OK</v>
      </c>
      <c r="B221" s="24" t="str">
        <f>IF(ABS(Table4[[#This Row],[Private_FT_employees]] + Table4[[#This Row],[Private_PT_employees]] - Table4[[#This Row],[Private_Tot_employees]]) &lt; 1, "OK", "Mismatch")</f>
        <v>Mismatch</v>
      </c>
      <c r="C221" s="24" t="str">
        <f>IF(ABS(Table4[[#This Row],[Total_FT_Employees]] + Table4[[#This Row],[Total_PT_Employees]] - Table4[[#This Row],[Total_Tot_employees]]) &lt; 1, "OK", "Mismatch")</f>
        <v>OK</v>
      </c>
      <c r="D221" s="24" t="str">
        <f>IF(ABS(Table4[[#This Row],[Public_Tot_employment]] + Table4[[#This Row],[Private_Tot_employment]] - Table4[[#This Row],[Total_Employment]]) &lt; 1, "OK", "Mismatch")</f>
        <v>OK</v>
      </c>
    </row>
    <row r="222" spans="1:4" x14ac:dyDescent="0.3">
      <c r="A222" s="24" t="str">
        <f>IF(ABS(Table4[[#This Row],[Public_FT_employees]] + Table4[[#This Row],[Public_PT_employees]] - Table4[[#This Row],[Public_Tot_employees]]) &lt; 1, "OK", "Mismatch")</f>
        <v>OK</v>
      </c>
      <c r="B222" s="24" t="str">
        <f>IF(ABS(Table4[[#This Row],[Private_FT_employees]] + Table4[[#This Row],[Private_PT_employees]] - Table4[[#This Row],[Private_Tot_employees]]) &lt; 1, "OK", "Mismatch")</f>
        <v>OK</v>
      </c>
      <c r="C222" s="24" t="str">
        <f>IF(ABS(Table4[[#This Row],[Total_FT_Employees]] + Table4[[#This Row],[Total_PT_Employees]] - Table4[[#This Row],[Total_Tot_employees]]) &lt; 1, "OK", "Mismatch")</f>
        <v>OK</v>
      </c>
      <c r="D222" s="24" t="str">
        <f>IF(ABS(Table4[[#This Row],[Public_Tot_employment]] + Table4[[#This Row],[Private_Tot_employment]] - Table4[[#This Row],[Total_Employment]]) &lt; 1, "OK", "Mismatch")</f>
        <v>Mismatch</v>
      </c>
    </row>
    <row r="223" spans="1:4" x14ac:dyDescent="0.3">
      <c r="A223" s="24" t="str">
        <f>IF(ABS(Table4[[#This Row],[Public_FT_employees]] + Table4[[#This Row],[Public_PT_employees]] - Table4[[#This Row],[Public_Tot_employees]]) &lt; 1, "OK", "Mismatch")</f>
        <v>OK</v>
      </c>
      <c r="B223" s="24" t="str">
        <f>IF(ABS(Table4[[#This Row],[Private_FT_employees]] + Table4[[#This Row],[Private_PT_employees]] - Table4[[#This Row],[Private_Tot_employees]]) &lt; 1, "OK", "Mismatch")</f>
        <v>Mismatch</v>
      </c>
      <c r="C223" s="24" t="str">
        <f>IF(ABS(Table4[[#This Row],[Total_FT_Employees]] + Table4[[#This Row],[Total_PT_Employees]] - Table4[[#This Row],[Total_Tot_employees]]) &lt; 1, "OK", "Mismatch")</f>
        <v>OK</v>
      </c>
      <c r="D223" s="24" t="str">
        <f>IF(ABS(Table4[[#This Row],[Public_Tot_employment]] + Table4[[#This Row],[Private_Tot_employment]] - Table4[[#This Row],[Total_Employment]]) &lt; 1, "OK", "Mismatch")</f>
        <v>OK</v>
      </c>
    </row>
    <row r="224" spans="1:4" x14ac:dyDescent="0.3">
      <c r="A224" s="24" t="str">
        <f>IF(ABS(Table4[[#This Row],[Public_FT_employees]] + Table4[[#This Row],[Public_PT_employees]] - Table4[[#This Row],[Public_Tot_employees]]) &lt; 1, "OK", "Mismatch")</f>
        <v>OK</v>
      </c>
      <c r="B224" s="24" t="str">
        <f>IF(ABS(Table4[[#This Row],[Private_FT_employees]] + Table4[[#This Row],[Private_PT_employees]] - Table4[[#This Row],[Private_Tot_employees]]) &lt; 1, "OK", "Mismatch")</f>
        <v>OK</v>
      </c>
      <c r="C224" s="24" t="str">
        <f>IF(ABS(Table4[[#This Row],[Total_FT_Employees]] + Table4[[#This Row],[Total_PT_Employees]] - Table4[[#This Row],[Total_Tot_employees]]) &lt; 1, "OK", "Mismatch")</f>
        <v>OK</v>
      </c>
      <c r="D224" s="24" t="str">
        <f>IF(ABS(Table4[[#This Row],[Public_Tot_employment]] + Table4[[#This Row],[Private_Tot_employment]] - Table4[[#This Row],[Total_Employment]]) &lt; 1, "OK", "Mismatch")</f>
        <v>OK</v>
      </c>
    </row>
    <row r="225" spans="1:4" x14ac:dyDescent="0.3">
      <c r="A225" s="24" t="str">
        <f>IF(ABS(Table4[[#This Row],[Public_FT_employees]] + Table4[[#This Row],[Public_PT_employees]] - Table4[[#This Row],[Public_Tot_employees]]) &lt; 1, "OK", "Mismatch")</f>
        <v>OK</v>
      </c>
      <c r="B225" s="24" t="str">
        <f>IF(ABS(Table4[[#This Row],[Private_FT_employees]] + Table4[[#This Row],[Private_PT_employees]] - Table4[[#This Row],[Private_Tot_employees]]) &lt; 1, "OK", "Mismatch")</f>
        <v>OK</v>
      </c>
      <c r="C225" s="24" t="str">
        <f>IF(ABS(Table4[[#This Row],[Total_FT_Employees]] + Table4[[#This Row],[Total_PT_Employees]] - Table4[[#This Row],[Total_Tot_employees]]) &lt; 1, "OK", "Mismatch")</f>
        <v>OK</v>
      </c>
      <c r="D225" s="24" t="str">
        <f>IF(ABS(Table4[[#This Row],[Public_Tot_employment]] + Table4[[#This Row],[Private_Tot_employment]] - Table4[[#This Row],[Total_Employment]]) &lt; 1, "OK", "Mismatch")</f>
        <v>OK</v>
      </c>
    </row>
    <row r="226" spans="1:4" x14ac:dyDescent="0.3">
      <c r="A226" s="24" t="str">
        <f>IF(ABS(Table4[[#This Row],[Public_FT_employees]] + Table4[[#This Row],[Public_PT_employees]] - Table4[[#This Row],[Public_Tot_employees]]) &lt; 1, "OK", "Mismatch")</f>
        <v>OK</v>
      </c>
      <c r="B226" s="24" t="str">
        <f>IF(ABS(Table4[[#This Row],[Private_FT_employees]] + Table4[[#This Row],[Private_PT_employees]] - Table4[[#This Row],[Private_Tot_employees]]) &lt; 1, "OK", "Mismatch")</f>
        <v>OK</v>
      </c>
      <c r="C226" s="24" t="str">
        <f>IF(ABS(Table4[[#This Row],[Total_FT_Employees]] + Table4[[#This Row],[Total_PT_Employees]] - Table4[[#This Row],[Total_Tot_employees]]) &lt; 1, "OK", "Mismatch")</f>
        <v>OK</v>
      </c>
      <c r="D226" s="24" t="str">
        <f>IF(ABS(Table4[[#This Row],[Public_Tot_employment]] + Table4[[#This Row],[Private_Tot_employment]] - Table4[[#This Row],[Total_Employment]]) &lt; 1, "OK", "Mismatch")</f>
        <v>OK</v>
      </c>
    </row>
    <row r="227" spans="1:4" x14ac:dyDescent="0.3">
      <c r="A227" s="24" t="str">
        <f>IF(ABS(Table4[[#This Row],[Public_FT_employees]] + Table4[[#This Row],[Public_PT_employees]] - Table4[[#This Row],[Public_Tot_employees]]) &lt; 1, "OK", "Mismatch")</f>
        <v>Mismatch</v>
      </c>
      <c r="B227" s="24" t="str">
        <f>IF(ABS(Table4[[#This Row],[Private_FT_employees]] + Table4[[#This Row],[Private_PT_employees]] - Table4[[#This Row],[Private_Tot_employees]]) &lt; 1, "OK", "Mismatch")</f>
        <v>OK</v>
      </c>
      <c r="C227" s="24" t="str">
        <f>IF(ABS(Table4[[#This Row],[Total_FT_Employees]] + Table4[[#This Row],[Total_PT_Employees]] - Table4[[#This Row],[Total_Tot_employees]]) &lt; 1, "OK", "Mismatch")</f>
        <v>OK</v>
      </c>
      <c r="D227" s="24" t="str">
        <f>IF(ABS(Table4[[#This Row],[Public_Tot_employment]] + Table4[[#This Row],[Private_Tot_employment]] - Table4[[#This Row],[Total_Employment]]) &lt; 1, "OK", "Mismatch")</f>
        <v>OK</v>
      </c>
    </row>
    <row r="228" spans="1:4" x14ac:dyDescent="0.3">
      <c r="A228" s="24" t="str">
        <f>IF(ABS(Table4[[#This Row],[Public_FT_employees]] + Table4[[#This Row],[Public_PT_employees]] - Table4[[#This Row],[Public_Tot_employees]]) &lt; 1, "OK", "Mismatch")</f>
        <v>OK</v>
      </c>
      <c r="B228" s="24" t="str">
        <f>IF(ABS(Table4[[#This Row],[Private_FT_employees]] + Table4[[#This Row],[Private_PT_employees]] - Table4[[#This Row],[Private_Tot_employees]]) &lt; 1, "OK", "Mismatch")</f>
        <v>OK</v>
      </c>
      <c r="C228" s="24" t="str">
        <f>IF(ABS(Table4[[#This Row],[Total_FT_Employees]] + Table4[[#This Row],[Total_PT_Employees]] - Table4[[#This Row],[Total_Tot_employees]]) &lt; 1, "OK", "Mismatch")</f>
        <v>Mismatch</v>
      </c>
      <c r="D228" s="24" t="str">
        <f>IF(ABS(Table4[[#This Row],[Public_Tot_employment]] + Table4[[#This Row],[Private_Tot_employment]] - Table4[[#This Row],[Total_Employment]]) &lt; 1, "OK", "Mismatch")</f>
        <v>OK</v>
      </c>
    </row>
    <row r="229" spans="1:4" x14ac:dyDescent="0.3">
      <c r="A229" s="24" t="str">
        <f>IF(ABS(Table4[[#This Row],[Public_FT_employees]] + Table4[[#This Row],[Public_PT_employees]] - Table4[[#This Row],[Public_Tot_employees]]) &lt; 1, "OK", "Mismatch")</f>
        <v>OK</v>
      </c>
      <c r="B229" s="24" t="str">
        <f>IF(ABS(Table4[[#This Row],[Private_FT_employees]] + Table4[[#This Row],[Private_PT_employees]] - Table4[[#This Row],[Private_Tot_employees]]) &lt; 1, "OK", "Mismatch")</f>
        <v>Mismatch</v>
      </c>
      <c r="C229" s="24" t="str">
        <f>IF(ABS(Table4[[#This Row],[Total_FT_Employees]] + Table4[[#This Row],[Total_PT_Employees]] - Table4[[#This Row],[Total_Tot_employees]]) &lt; 1, "OK", "Mismatch")</f>
        <v>Mismatch</v>
      </c>
      <c r="D229" s="24" t="str">
        <f>IF(ABS(Table4[[#This Row],[Public_Tot_employment]] + Table4[[#This Row],[Private_Tot_employment]] - Table4[[#This Row],[Total_Employment]]) &lt; 1, "OK", "Mismatch")</f>
        <v>Mismatch</v>
      </c>
    </row>
    <row r="230" spans="1:4" x14ac:dyDescent="0.3">
      <c r="A230" s="24" t="str">
        <f>IF(ABS(Table4[[#This Row],[Public_FT_employees]] + Table4[[#This Row],[Public_PT_employees]] - Table4[[#This Row],[Public_Tot_employees]]) &lt; 1, "OK", "Mismatch")</f>
        <v>OK</v>
      </c>
      <c r="B230" s="24" t="str">
        <f>IF(ABS(Table4[[#This Row],[Private_FT_employees]] + Table4[[#This Row],[Private_PT_employees]] - Table4[[#This Row],[Private_Tot_employees]]) &lt; 1, "OK", "Mismatch")</f>
        <v>Mismatch</v>
      </c>
      <c r="C230" s="24" t="str">
        <f>IF(ABS(Table4[[#This Row],[Total_FT_Employees]] + Table4[[#This Row],[Total_PT_Employees]] - Table4[[#This Row],[Total_Tot_employees]]) &lt; 1, "OK", "Mismatch")</f>
        <v>Mismatch</v>
      </c>
      <c r="D230" s="24" t="str">
        <f>IF(ABS(Table4[[#This Row],[Public_Tot_employment]] + Table4[[#This Row],[Private_Tot_employment]] - Table4[[#This Row],[Total_Employment]]) &lt; 1, "OK", "Mismatch")</f>
        <v>OK</v>
      </c>
    </row>
    <row r="231" spans="1:4" x14ac:dyDescent="0.3">
      <c r="A231" s="24" t="str">
        <f>IF(ABS(Table4[[#This Row],[Public_FT_employees]] + Table4[[#This Row],[Public_PT_employees]] - Table4[[#This Row],[Public_Tot_employees]]) &lt; 1, "OK", "Mismatch")</f>
        <v>Mismatch</v>
      </c>
      <c r="B231" s="24" t="str">
        <f>IF(ABS(Table4[[#This Row],[Private_FT_employees]] + Table4[[#This Row],[Private_PT_employees]] - Table4[[#This Row],[Private_Tot_employees]]) &lt; 1, "OK", "Mismatch")</f>
        <v>Mismatch</v>
      </c>
      <c r="C231" s="24" t="str">
        <f>IF(ABS(Table4[[#This Row],[Total_FT_Employees]] + Table4[[#This Row],[Total_PT_Employees]] - Table4[[#This Row],[Total_Tot_employees]]) &lt; 1, "OK", "Mismatch")</f>
        <v>OK</v>
      </c>
      <c r="D231" s="24" t="str">
        <f>IF(ABS(Table4[[#This Row],[Public_Tot_employment]] + Table4[[#This Row],[Private_Tot_employment]] - Table4[[#This Row],[Total_Employment]]) &lt; 1, "OK", "Mismatch")</f>
        <v>OK</v>
      </c>
    </row>
    <row r="232" spans="1:4" x14ac:dyDescent="0.3">
      <c r="A232" s="24" t="str">
        <f>IF(ABS(Table4[[#This Row],[Public_FT_employees]] + Table4[[#This Row],[Public_PT_employees]] - Table4[[#This Row],[Public_Tot_employees]]) &lt; 1, "OK", "Mismatch")</f>
        <v>Mismatch</v>
      </c>
      <c r="B232" s="24" t="str">
        <f>IF(ABS(Table4[[#This Row],[Private_FT_employees]] + Table4[[#This Row],[Private_PT_employees]] - Table4[[#This Row],[Private_Tot_employees]]) &lt; 1, "OK", "Mismatch")</f>
        <v>Mismatch</v>
      </c>
      <c r="C232" s="24" t="str">
        <f>IF(ABS(Table4[[#This Row],[Total_FT_Employees]] + Table4[[#This Row],[Total_PT_Employees]] - Table4[[#This Row],[Total_Tot_employees]]) &lt; 1, "OK", "Mismatch")</f>
        <v>OK</v>
      </c>
      <c r="D232" s="24" t="str">
        <f>IF(ABS(Table4[[#This Row],[Public_Tot_employment]] + Table4[[#This Row],[Private_Tot_employment]] - Table4[[#This Row],[Total_Employment]]) &lt; 1, "OK", "Mismatch")</f>
        <v>OK</v>
      </c>
    </row>
    <row r="233" spans="1:4" x14ac:dyDescent="0.3">
      <c r="A233" s="24" t="str">
        <f>IF(ABS(Table4[[#This Row],[Public_FT_employees]] + Table4[[#This Row],[Public_PT_employees]] - Table4[[#This Row],[Public_Tot_employees]]) &lt; 1, "OK", "Mismatch")</f>
        <v>OK</v>
      </c>
      <c r="B233" s="24" t="str">
        <f>IF(ABS(Table4[[#This Row],[Private_FT_employees]] + Table4[[#This Row],[Private_PT_employees]] - Table4[[#This Row],[Private_Tot_employees]]) &lt; 1, "OK", "Mismatch")</f>
        <v>Mismatch</v>
      </c>
      <c r="C233" s="24" t="str">
        <f>IF(ABS(Table4[[#This Row],[Total_FT_Employees]] + Table4[[#This Row],[Total_PT_Employees]] - Table4[[#This Row],[Total_Tot_employees]]) &lt; 1, "OK", "Mismatch")</f>
        <v>OK</v>
      </c>
      <c r="D233" s="24" t="str">
        <f>IF(ABS(Table4[[#This Row],[Public_Tot_employment]] + Table4[[#This Row],[Private_Tot_employment]] - Table4[[#This Row],[Total_Employment]]) &lt; 1, "OK", "Mismatch")</f>
        <v>OK</v>
      </c>
    </row>
    <row r="234" spans="1:4" x14ac:dyDescent="0.3">
      <c r="A234" s="24" t="str">
        <f>IF(ABS(Table4[[#This Row],[Public_FT_employees]] + Table4[[#This Row],[Public_PT_employees]] - Table4[[#This Row],[Public_Tot_employees]]) &lt; 1, "OK", "Mismatch")</f>
        <v>Mismatch</v>
      </c>
      <c r="B234" s="24" t="str">
        <f>IF(ABS(Table4[[#This Row],[Private_FT_employees]] + Table4[[#This Row],[Private_PT_employees]] - Table4[[#This Row],[Private_Tot_employees]]) &lt; 1, "OK", "Mismatch")</f>
        <v>Mismatch</v>
      </c>
      <c r="C234" s="24" t="str">
        <f>IF(ABS(Table4[[#This Row],[Total_FT_Employees]] + Table4[[#This Row],[Total_PT_Employees]] - Table4[[#This Row],[Total_Tot_employees]]) &lt; 1, "OK", "Mismatch")</f>
        <v>Mismatch</v>
      </c>
      <c r="D234" s="24" t="str">
        <f>IF(ABS(Table4[[#This Row],[Public_Tot_employment]] + Table4[[#This Row],[Private_Tot_employment]] - Table4[[#This Row],[Total_Employment]]) &lt; 1, "OK", "Mismatch")</f>
        <v>Mismatch</v>
      </c>
    </row>
    <row r="235" spans="1:4" x14ac:dyDescent="0.3">
      <c r="A235" s="24" t="str">
        <f>IF(ABS(Table4[[#This Row],[Public_FT_employees]] + Table4[[#This Row],[Public_PT_employees]] - Table4[[#This Row],[Public_Tot_employees]]) &lt; 1, "OK", "Mismatch")</f>
        <v>OK</v>
      </c>
      <c r="B235" s="24" t="str">
        <f>IF(ABS(Table4[[#This Row],[Private_FT_employees]] + Table4[[#This Row],[Private_PT_employees]] - Table4[[#This Row],[Private_Tot_employees]]) &lt; 1, "OK", "Mismatch")</f>
        <v>OK</v>
      </c>
      <c r="C235" s="24" t="str">
        <f>IF(ABS(Table4[[#This Row],[Total_FT_Employees]] + Table4[[#This Row],[Total_PT_Employees]] - Table4[[#This Row],[Total_Tot_employees]]) &lt; 1, "OK", "Mismatch")</f>
        <v>OK</v>
      </c>
      <c r="D235" s="24" t="str">
        <f>IF(ABS(Table4[[#This Row],[Public_Tot_employment]] + Table4[[#This Row],[Private_Tot_employment]] - Table4[[#This Row],[Total_Employment]]) &lt; 1, "OK", "Mismatch")</f>
        <v>OK</v>
      </c>
    </row>
    <row r="236" spans="1:4" x14ac:dyDescent="0.3">
      <c r="A236" s="24" t="str">
        <f>IF(ABS(Table4[[#This Row],[Public_FT_employees]] + Table4[[#This Row],[Public_PT_employees]] - Table4[[#This Row],[Public_Tot_employees]]) &lt; 1, "OK", "Mismatch")</f>
        <v>OK</v>
      </c>
      <c r="B236" s="24" t="str">
        <f>IF(ABS(Table4[[#This Row],[Private_FT_employees]] + Table4[[#This Row],[Private_PT_employees]] - Table4[[#This Row],[Private_Tot_employees]]) &lt; 1, "OK", "Mismatch")</f>
        <v>Mismatch</v>
      </c>
      <c r="C236" s="24" t="str">
        <f>IF(ABS(Table4[[#This Row],[Total_FT_Employees]] + Table4[[#This Row],[Total_PT_Employees]] - Table4[[#This Row],[Total_Tot_employees]]) &lt; 1, "OK", "Mismatch")</f>
        <v>Mismatch</v>
      </c>
      <c r="D236" s="24" t="str">
        <f>IF(ABS(Table4[[#This Row],[Public_Tot_employment]] + Table4[[#This Row],[Private_Tot_employment]] - Table4[[#This Row],[Total_Employment]]) &lt; 1, "OK", "Mismatch")</f>
        <v>OK</v>
      </c>
    </row>
    <row r="237" spans="1:4" x14ac:dyDescent="0.3">
      <c r="A237" s="24" t="str">
        <f>IF(ABS(Table4[[#This Row],[Public_FT_employees]] + Table4[[#This Row],[Public_PT_employees]] - Table4[[#This Row],[Public_Tot_employees]]) &lt; 1, "OK", "Mismatch")</f>
        <v>Mismatch</v>
      </c>
      <c r="B237" s="24" t="str">
        <f>IF(ABS(Table4[[#This Row],[Private_FT_employees]] + Table4[[#This Row],[Private_PT_employees]] - Table4[[#This Row],[Private_Tot_employees]]) &lt; 1, "OK", "Mismatch")</f>
        <v>Mismatch</v>
      </c>
      <c r="C237" s="24" t="str">
        <f>IF(ABS(Table4[[#This Row],[Total_FT_Employees]] + Table4[[#This Row],[Total_PT_Employees]] - Table4[[#This Row],[Total_Tot_employees]]) &lt; 1, "OK", "Mismatch")</f>
        <v>Mismatch</v>
      </c>
      <c r="D237" s="24" t="str">
        <f>IF(ABS(Table4[[#This Row],[Public_Tot_employment]] + Table4[[#This Row],[Private_Tot_employment]] - Table4[[#This Row],[Total_Employment]]) &lt; 1, "OK", "Mismatch")</f>
        <v>Mismatch</v>
      </c>
    </row>
    <row r="238" spans="1:4" x14ac:dyDescent="0.3">
      <c r="A238" s="24" t="str">
        <f>IF(ABS(Table4[[#This Row],[Public_FT_employees]] + Table4[[#This Row],[Public_PT_employees]] - Table4[[#This Row],[Public_Tot_employees]]) &lt; 1, "OK", "Mismatch")</f>
        <v>OK</v>
      </c>
      <c r="B238" s="24" t="str">
        <f>IF(ABS(Table4[[#This Row],[Private_FT_employees]] + Table4[[#This Row],[Private_PT_employees]] - Table4[[#This Row],[Private_Tot_employees]]) &lt; 1, "OK", "Mismatch")</f>
        <v>Mismatch</v>
      </c>
      <c r="C238" s="24" t="str">
        <f>IF(ABS(Table4[[#This Row],[Total_FT_Employees]] + Table4[[#This Row],[Total_PT_Employees]] - Table4[[#This Row],[Total_Tot_employees]]) &lt; 1, "OK", "Mismatch")</f>
        <v>Mismatch</v>
      </c>
      <c r="D238" s="24" t="str">
        <f>IF(ABS(Table4[[#This Row],[Public_Tot_employment]] + Table4[[#This Row],[Private_Tot_employment]] - Table4[[#This Row],[Total_Employment]]) &lt; 1, "OK", "Mismatch")</f>
        <v>OK</v>
      </c>
    </row>
    <row r="239" spans="1:4" x14ac:dyDescent="0.3">
      <c r="A239" s="24" t="str">
        <f>IF(ABS(Table4[[#This Row],[Public_FT_employees]] + Table4[[#This Row],[Public_PT_employees]] - Table4[[#This Row],[Public_Tot_employees]]) &lt; 1, "OK", "Mismatch")</f>
        <v>OK</v>
      </c>
      <c r="B239" s="24" t="str">
        <f>IF(ABS(Table4[[#This Row],[Private_FT_employees]] + Table4[[#This Row],[Private_PT_employees]] - Table4[[#This Row],[Private_Tot_employees]]) &lt; 1, "OK", "Mismatch")</f>
        <v>OK</v>
      </c>
      <c r="C239" s="24" t="str">
        <f>IF(ABS(Table4[[#This Row],[Total_FT_Employees]] + Table4[[#This Row],[Total_PT_Employees]] - Table4[[#This Row],[Total_Tot_employees]]) &lt; 1, "OK", "Mismatch")</f>
        <v>Mismatch</v>
      </c>
      <c r="D239" s="24" t="str">
        <f>IF(ABS(Table4[[#This Row],[Public_Tot_employment]] + Table4[[#This Row],[Private_Tot_employment]] - Table4[[#This Row],[Total_Employment]]) &lt; 1, "OK", "Mismatch")</f>
        <v>OK</v>
      </c>
    </row>
    <row r="240" spans="1:4" x14ac:dyDescent="0.3">
      <c r="A240" s="24" t="str">
        <f>IF(ABS(Table4[[#This Row],[Public_FT_employees]] + Table4[[#This Row],[Public_PT_employees]] - Table4[[#This Row],[Public_Tot_employees]]) &lt; 1, "OK", "Mismatch")</f>
        <v>OK</v>
      </c>
      <c r="B240" s="24" t="str">
        <f>IF(ABS(Table4[[#This Row],[Private_FT_employees]] + Table4[[#This Row],[Private_PT_employees]] - Table4[[#This Row],[Private_Tot_employees]]) &lt; 1, "OK", "Mismatch")</f>
        <v>Mismatch</v>
      </c>
      <c r="C240" s="24" t="str">
        <f>IF(ABS(Table4[[#This Row],[Total_FT_Employees]] + Table4[[#This Row],[Total_PT_Employees]] - Table4[[#This Row],[Total_Tot_employees]]) &lt; 1, "OK", "Mismatch")</f>
        <v>Mismatch</v>
      </c>
      <c r="D240" s="24" t="str">
        <f>IF(ABS(Table4[[#This Row],[Public_Tot_employment]] + Table4[[#This Row],[Private_Tot_employment]] - Table4[[#This Row],[Total_Employment]]) &lt; 1, "OK", "Mismatch")</f>
        <v>Mismatch</v>
      </c>
    </row>
    <row r="241" spans="1:4" x14ac:dyDescent="0.3">
      <c r="A241" s="24" t="str">
        <f>IF(ABS(Table4[[#This Row],[Public_FT_employees]] + Table4[[#This Row],[Public_PT_employees]] - Table4[[#This Row],[Public_Tot_employees]]) &lt; 1, "OK", "Mismatch")</f>
        <v>OK</v>
      </c>
      <c r="B241" s="24" t="str">
        <f>IF(ABS(Table4[[#This Row],[Private_FT_employees]] + Table4[[#This Row],[Private_PT_employees]] - Table4[[#This Row],[Private_Tot_employees]]) &lt; 1, "OK", "Mismatch")</f>
        <v>Mismatch</v>
      </c>
      <c r="C241" s="24" t="str">
        <f>IF(ABS(Table4[[#This Row],[Total_FT_Employees]] + Table4[[#This Row],[Total_PT_Employees]] - Table4[[#This Row],[Total_Tot_employees]]) &lt; 1, "OK", "Mismatch")</f>
        <v>Mismatch</v>
      </c>
      <c r="D241" s="24" t="str">
        <f>IF(ABS(Table4[[#This Row],[Public_Tot_employment]] + Table4[[#This Row],[Private_Tot_employment]] - Table4[[#This Row],[Total_Employment]]) &lt; 1, "OK", "Mismatch")</f>
        <v>OK</v>
      </c>
    </row>
    <row r="242" spans="1:4" x14ac:dyDescent="0.3">
      <c r="A242" s="24" t="str">
        <f>IF(ABS(Table4[[#This Row],[Public_FT_employees]] + Table4[[#This Row],[Public_PT_employees]] - Table4[[#This Row],[Public_Tot_employees]]) &lt; 1, "OK", "Mismatch")</f>
        <v>Mismatch</v>
      </c>
      <c r="B242" s="24" t="str">
        <f>IF(ABS(Table4[[#This Row],[Private_FT_employees]] + Table4[[#This Row],[Private_PT_employees]] - Table4[[#This Row],[Private_Tot_employees]]) &lt; 1, "OK", "Mismatch")</f>
        <v>Mismatch</v>
      </c>
      <c r="C242" s="24" t="str">
        <f>IF(ABS(Table4[[#This Row],[Total_FT_Employees]] + Table4[[#This Row],[Total_PT_Employees]] - Table4[[#This Row],[Total_Tot_employees]]) &lt; 1, "OK", "Mismatch")</f>
        <v>Mismatch</v>
      </c>
      <c r="D242" s="24" t="str">
        <f>IF(ABS(Table4[[#This Row],[Public_Tot_employment]] + Table4[[#This Row],[Private_Tot_employment]] - Table4[[#This Row],[Total_Employment]]) &lt; 1, "OK", "Mismatch")</f>
        <v>Mismatch</v>
      </c>
    </row>
    <row r="243" spans="1:4" x14ac:dyDescent="0.3">
      <c r="A243" s="24" t="str">
        <f>IF(ABS(Table4[[#This Row],[Public_FT_employees]] + Table4[[#This Row],[Public_PT_employees]] - Table4[[#This Row],[Public_Tot_employees]]) &lt; 1, "OK", "Mismatch")</f>
        <v>Mismatch</v>
      </c>
      <c r="B243" s="24" t="str">
        <f>IF(ABS(Table4[[#This Row],[Private_FT_employees]] + Table4[[#This Row],[Private_PT_employees]] - Table4[[#This Row],[Private_Tot_employees]]) &lt; 1, "OK", "Mismatch")</f>
        <v>Mismatch</v>
      </c>
      <c r="C243" s="24" t="str">
        <f>IF(ABS(Table4[[#This Row],[Total_FT_Employees]] + Table4[[#This Row],[Total_PT_Employees]] - Table4[[#This Row],[Total_Tot_employees]]) &lt; 1, "OK", "Mismatch")</f>
        <v>Mismatch</v>
      </c>
      <c r="D243" s="24" t="str">
        <f>IF(ABS(Table4[[#This Row],[Public_Tot_employment]] + Table4[[#This Row],[Private_Tot_employment]] - Table4[[#This Row],[Total_Employment]]) &lt; 1, "OK", "Mismatch")</f>
        <v>Mismatch</v>
      </c>
    </row>
    <row r="244" spans="1:4" x14ac:dyDescent="0.3">
      <c r="A244" s="24" t="str">
        <f>IF(ABS(Table4[[#This Row],[Public_FT_employees]] + Table4[[#This Row],[Public_PT_employees]] - Table4[[#This Row],[Public_Tot_employees]]) &lt; 1, "OK", "Mismatch")</f>
        <v>OK</v>
      </c>
      <c r="B244" s="24" t="str">
        <f>IF(ABS(Table4[[#This Row],[Private_FT_employees]] + Table4[[#This Row],[Private_PT_employees]] - Table4[[#This Row],[Private_Tot_employees]]) &lt; 1, "OK", "Mismatch")</f>
        <v>OK</v>
      </c>
      <c r="C244" s="24" t="str">
        <f>IF(ABS(Table4[[#This Row],[Total_FT_Employees]] + Table4[[#This Row],[Total_PT_Employees]] - Table4[[#This Row],[Total_Tot_employees]]) &lt; 1, "OK", "Mismatch")</f>
        <v>OK</v>
      </c>
      <c r="D244" s="24" t="str">
        <f>IF(ABS(Table4[[#This Row],[Public_Tot_employment]] + Table4[[#This Row],[Private_Tot_employment]] - Table4[[#This Row],[Total_Employment]]) &lt; 1, "OK", "Mismatch")</f>
        <v>OK</v>
      </c>
    </row>
    <row r="245" spans="1:4" x14ac:dyDescent="0.3">
      <c r="A245" s="24" t="str">
        <f>IF(ABS(Table4[[#This Row],[Public_FT_employees]] + Table4[[#This Row],[Public_PT_employees]] - Table4[[#This Row],[Public_Tot_employees]]) &lt; 1, "OK", "Mismatch")</f>
        <v>OK</v>
      </c>
      <c r="B245" s="24" t="str">
        <f>IF(ABS(Table4[[#This Row],[Private_FT_employees]] + Table4[[#This Row],[Private_PT_employees]] - Table4[[#This Row],[Private_Tot_employees]]) &lt; 1, "OK", "Mismatch")</f>
        <v>OK</v>
      </c>
      <c r="C245" s="24" t="str">
        <f>IF(ABS(Table4[[#This Row],[Total_FT_Employees]] + Table4[[#This Row],[Total_PT_Employees]] - Table4[[#This Row],[Total_Tot_employees]]) &lt; 1, "OK", "Mismatch")</f>
        <v>OK</v>
      </c>
      <c r="D245" s="24" t="str">
        <f>IF(ABS(Table4[[#This Row],[Public_Tot_employment]] + Table4[[#This Row],[Private_Tot_employment]] - Table4[[#This Row],[Total_Employment]]) &lt; 1, "OK", "Mismatch")</f>
        <v>Mismatch</v>
      </c>
    </row>
    <row r="246" spans="1:4" x14ac:dyDescent="0.3">
      <c r="A246" s="24" t="str">
        <f>IF(ABS(Table4[[#This Row],[Public_FT_employees]] + Table4[[#This Row],[Public_PT_employees]] - Table4[[#This Row],[Public_Tot_employees]]) &lt; 1, "OK", "Mismatch")</f>
        <v>OK</v>
      </c>
      <c r="B246" s="24" t="str">
        <f>IF(ABS(Table4[[#This Row],[Private_FT_employees]] + Table4[[#This Row],[Private_PT_employees]] - Table4[[#This Row],[Private_Tot_employees]]) &lt; 1, "OK", "Mismatch")</f>
        <v>OK</v>
      </c>
      <c r="C246" s="24" t="str">
        <f>IF(ABS(Table4[[#This Row],[Total_FT_Employees]] + Table4[[#This Row],[Total_PT_Employees]] - Table4[[#This Row],[Total_Tot_employees]]) &lt; 1, "OK", "Mismatch")</f>
        <v>Mismatch</v>
      </c>
      <c r="D246" s="24" t="str">
        <f>IF(ABS(Table4[[#This Row],[Public_Tot_employment]] + Table4[[#This Row],[Private_Tot_employment]] - Table4[[#This Row],[Total_Employment]]) &lt; 1, "OK", "Mismatch")</f>
        <v>OK</v>
      </c>
    </row>
    <row r="247" spans="1:4" x14ac:dyDescent="0.3">
      <c r="A247" s="24" t="str">
        <f>IF(ABS(Table4[[#This Row],[Public_FT_employees]] + Table4[[#This Row],[Public_PT_employees]] - Table4[[#This Row],[Public_Tot_employees]]) &lt; 1, "OK", "Mismatch")</f>
        <v>OK</v>
      </c>
      <c r="B247" s="24" t="str">
        <f>IF(ABS(Table4[[#This Row],[Private_FT_employees]] + Table4[[#This Row],[Private_PT_employees]] - Table4[[#This Row],[Private_Tot_employees]]) &lt; 1, "OK", "Mismatch")</f>
        <v>OK</v>
      </c>
      <c r="C247" s="24" t="str">
        <f>IF(ABS(Table4[[#This Row],[Total_FT_Employees]] + Table4[[#This Row],[Total_PT_Employees]] - Table4[[#This Row],[Total_Tot_employees]]) &lt; 1, "OK", "Mismatch")</f>
        <v>OK</v>
      </c>
      <c r="D247" s="24" t="str">
        <f>IF(ABS(Table4[[#This Row],[Public_Tot_employment]] + Table4[[#This Row],[Private_Tot_employment]] - Table4[[#This Row],[Total_Employment]]) &lt; 1, "OK", "Mismatch")</f>
        <v>OK</v>
      </c>
    </row>
    <row r="248" spans="1:4" x14ac:dyDescent="0.3">
      <c r="A248" s="24" t="str">
        <f>IF(ABS(Table4[[#This Row],[Public_FT_employees]] + Table4[[#This Row],[Public_PT_employees]] - Table4[[#This Row],[Public_Tot_employees]]) &lt; 1, "OK", "Mismatch")</f>
        <v>OK</v>
      </c>
      <c r="B248" s="24" t="str">
        <f>IF(ABS(Table4[[#This Row],[Private_FT_employees]] + Table4[[#This Row],[Private_PT_employees]] - Table4[[#This Row],[Private_Tot_employees]]) &lt; 1, "OK", "Mismatch")</f>
        <v>OK</v>
      </c>
      <c r="C248" s="24" t="str">
        <f>IF(ABS(Table4[[#This Row],[Total_FT_Employees]] + Table4[[#This Row],[Total_PT_Employees]] - Table4[[#This Row],[Total_Tot_employees]]) &lt; 1, "OK", "Mismatch")</f>
        <v>OK</v>
      </c>
      <c r="D248" s="24" t="str">
        <f>IF(ABS(Table4[[#This Row],[Public_Tot_employment]] + Table4[[#This Row],[Private_Tot_employment]] - Table4[[#This Row],[Total_Employment]]) &lt; 1, "OK", "Mismatch")</f>
        <v>OK</v>
      </c>
    </row>
    <row r="249" spans="1:4" x14ac:dyDescent="0.3">
      <c r="A249" s="24" t="str">
        <f>IF(ABS(Table4[[#This Row],[Public_FT_employees]] + Table4[[#This Row],[Public_PT_employees]] - Table4[[#This Row],[Public_Tot_employees]]) &lt; 1, "OK", "Mismatch")</f>
        <v>Mismatch</v>
      </c>
      <c r="B249" s="24" t="str">
        <f>IF(ABS(Table4[[#This Row],[Private_FT_employees]] + Table4[[#This Row],[Private_PT_employees]] - Table4[[#This Row],[Private_Tot_employees]]) &lt; 1, "OK", "Mismatch")</f>
        <v>OK</v>
      </c>
      <c r="C249" s="24" t="str">
        <f>IF(ABS(Table4[[#This Row],[Total_FT_Employees]] + Table4[[#This Row],[Total_PT_Employees]] - Table4[[#This Row],[Total_Tot_employees]]) &lt; 1, "OK", "Mismatch")</f>
        <v>OK</v>
      </c>
      <c r="D249" s="24" t="str">
        <f>IF(ABS(Table4[[#This Row],[Public_Tot_employment]] + Table4[[#This Row],[Private_Tot_employment]] - Table4[[#This Row],[Total_Employment]]) &lt; 1, "OK", "Mismatch")</f>
        <v>OK</v>
      </c>
    </row>
    <row r="250" spans="1:4" x14ac:dyDescent="0.3">
      <c r="A250" s="24" t="str">
        <f>IF(ABS(Table4[[#This Row],[Public_FT_employees]] + Table4[[#This Row],[Public_PT_employees]] - Table4[[#This Row],[Public_Tot_employees]]) &lt; 1, "OK", "Mismatch")</f>
        <v>OK</v>
      </c>
      <c r="B250" s="24" t="str">
        <f>IF(ABS(Table4[[#This Row],[Private_FT_employees]] + Table4[[#This Row],[Private_PT_employees]] - Table4[[#This Row],[Private_Tot_employees]]) &lt; 1, "OK", "Mismatch")</f>
        <v>OK</v>
      </c>
      <c r="C250" s="24" t="str">
        <f>IF(ABS(Table4[[#This Row],[Total_FT_Employees]] + Table4[[#This Row],[Total_PT_Employees]] - Table4[[#This Row],[Total_Tot_employees]]) &lt; 1, "OK", "Mismatch")</f>
        <v>OK</v>
      </c>
      <c r="D250" s="24" t="str">
        <f>IF(ABS(Table4[[#This Row],[Public_Tot_employment]] + Table4[[#This Row],[Private_Tot_employment]] - Table4[[#This Row],[Total_Employment]]) &lt; 1, "OK", "Mismatch")</f>
        <v>OK</v>
      </c>
    </row>
    <row r="251" spans="1:4" x14ac:dyDescent="0.3">
      <c r="A251" s="24" t="str">
        <f>IF(ABS(Table4[[#This Row],[Public_FT_employees]] + Table4[[#This Row],[Public_PT_employees]] - Table4[[#This Row],[Public_Tot_employees]]) &lt; 1, "OK", "Mismatch")</f>
        <v>OK</v>
      </c>
      <c r="B251" s="24" t="str">
        <f>IF(ABS(Table4[[#This Row],[Private_FT_employees]] + Table4[[#This Row],[Private_PT_employees]] - Table4[[#This Row],[Private_Tot_employees]]) &lt; 1, "OK", "Mismatch")</f>
        <v>OK</v>
      </c>
      <c r="C251" s="24" t="str">
        <f>IF(ABS(Table4[[#This Row],[Total_FT_Employees]] + Table4[[#This Row],[Total_PT_Employees]] - Table4[[#This Row],[Total_Tot_employees]]) &lt; 1, "OK", "Mismatch")</f>
        <v>Mismatch</v>
      </c>
      <c r="D251" s="24" t="str">
        <f>IF(ABS(Table4[[#This Row],[Public_Tot_employment]] + Table4[[#This Row],[Private_Tot_employment]] - Table4[[#This Row],[Total_Employment]]) &lt; 1, "OK", "Mismatch")</f>
        <v>OK</v>
      </c>
    </row>
    <row r="252" spans="1:4" x14ac:dyDescent="0.3">
      <c r="A252" s="24" t="str">
        <f>IF(ABS(Table4[[#This Row],[Public_FT_employees]] + Table4[[#This Row],[Public_PT_employees]] - Table4[[#This Row],[Public_Tot_employees]]) &lt; 1, "OK", "Mismatch")</f>
        <v>Mismatch</v>
      </c>
      <c r="B252" s="24" t="str">
        <f>IF(ABS(Table4[[#This Row],[Private_FT_employees]] + Table4[[#This Row],[Private_PT_employees]] - Table4[[#This Row],[Private_Tot_employees]]) &lt; 1, "OK", "Mismatch")</f>
        <v>OK</v>
      </c>
      <c r="C252" s="24" t="str">
        <f>IF(ABS(Table4[[#This Row],[Total_FT_Employees]] + Table4[[#This Row],[Total_PT_Employees]] - Table4[[#This Row],[Total_Tot_employees]]) &lt; 1, "OK", "Mismatch")</f>
        <v>Mismatch</v>
      </c>
      <c r="D252" s="24" t="str">
        <f>IF(ABS(Table4[[#This Row],[Public_Tot_employment]] + Table4[[#This Row],[Private_Tot_employment]] - Table4[[#This Row],[Total_Employment]]) &lt; 1, "OK", "Mismatch")</f>
        <v>OK</v>
      </c>
    </row>
    <row r="253" spans="1:4" x14ac:dyDescent="0.3">
      <c r="A253" s="24" t="str">
        <f>IF(ABS(Table4[[#This Row],[Public_FT_employees]] + Table4[[#This Row],[Public_PT_employees]] - Table4[[#This Row],[Public_Tot_employees]]) &lt; 1, "OK", "Mismatch")</f>
        <v>OK</v>
      </c>
      <c r="B253" s="24" t="str">
        <f>IF(ABS(Table4[[#This Row],[Private_FT_employees]] + Table4[[#This Row],[Private_PT_employees]] - Table4[[#This Row],[Private_Tot_employees]]) &lt; 1, "OK", "Mismatch")</f>
        <v>Mismatch</v>
      </c>
      <c r="C253" s="24" t="str">
        <f>IF(ABS(Table4[[#This Row],[Total_FT_Employees]] + Table4[[#This Row],[Total_PT_Employees]] - Table4[[#This Row],[Total_Tot_employees]]) &lt; 1, "OK", "Mismatch")</f>
        <v>OK</v>
      </c>
      <c r="D253" s="24" t="str">
        <f>IF(ABS(Table4[[#This Row],[Public_Tot_employment]] + Table4[[#This Row],[Private_Tot_employment]] - Table4[[#This Row],[Total_Employment]]) &lt; 1, "OK", "Mismatch")</f>
        <v>OK</v>
      </c>
    </row>
    <row r="254" spans="1:4" x14ac:dyDescent="0.3">
      <c r="A254" s="24" t="str">
        <f>IF(ABS(Table4[[#This Row],[Public_FT_employees]] + Table4[[#This Row],[Public_PT_employees]] - Table4[[#This Row],[Public_Tot_employees]]) &lt; 1, "OK", "Mismatch")</f>
        <v>OK</v>
      </c>
      <c r="B254" s="24" t="str">
        <f>IF(ABS(Table4[[#This Row],[Private_FT_employees]] + Table4[[#This Row],[Private_PT_employees]] - Table4[[#This Row],[Private_Tot_employees]]) &lt; 1, "OK", "Mismatch")</f>
        <v>OK</v>
      </c>
      <c r="C254" s="24" t="str">
        <f>IF(ABS(Table4[[#This Row],[Total_FT_Employees]] + Table4[[#This Row],[Total_PT_Employees]] - Table4[[#This Row],[Total_Tot_employees]]) &lt; 1, "OK", "Mismatch")</f>
        <v>OK</v>
      </c>
      <c r="D254" s="24" t="str">
        <f>IF(ABS(Table4[[#This Row],[Public_Tot_employment]] + Table4[[#This Row],[Private_Tot_employment]] - Table4[[#This Row],[Total_Employment]]) &lt; 1, "OK", "Mismatch")</f>
        <v>OK</v>
      </c>
    </row>
    <row r="255" spans="1:4" x14ac:dyDescent="0.3">
      <c r="A255" s="24" t="str">
        <f>IF(ABS(Table4[[#This Row],[Public_FT_employees]] + Table4[[#This Row],[Public_PT_employees]] - Table4[[#This Row],[Public_Tot_employees]]) &lt; 1, "OK", "Mismatch")</f>
        <v>OK</v>
      </c>
      <c r="B255" s="24" t="str">
        <f>IF(ABS(Table4[[#This Row],[Private_FT_employees]] + Table4[[#This Row],[Private_PT_employees]] - Table4[[#This Row],[Private_Tot_employees]]) &lt; 1, "OK", "Mismatch")</f>
        <v>OK</v>
      </c>
      <c r="C255" s="24" t="str">
        <f>IF(ABS(Table4[[#This Row],[Total_FT_Employees]] + Table4[[#This Row],[Total_PT_Employees]] - Table4[[#This Row],[Total_Tot_employees]]) &lt; 1, "OK", "Mismatch")</f>
        <v>OK</v>
      </c>
      <c r="D255" s="24" t="str">
        <f>IF(ABS(Table4[[#This Row],[Public_Tot_employment]] + Table4[[#This Row],[Private_Tot_employment]] - Table4[[#This Row],[Total_Employment]]) &lt; 1, "OK", "Mismatch")</f>
        <v>OK</v>
      </c>
    </row>
    <row r="256" spans="1:4" x14ac:dyDescent="0.3">
      <c r="A256" s="24" t="str">
        <f>IF(ABS(Table4[[#This Row],[Public_FT_employees]] + Table4[[#This Row],[Public_PT_employees]] - Table4[[#This Row],[Public_Tot_employees]]) &lt; 1, "OK", "Mismatch")</f>
        <v>OK</v>
      </c>
      <c r="B256" s="24" t="str">
        <f>IF(ABS(Table4[[#This Row],[Private_FT_employees]] + Table4[[#This Row],[Private_PT_employees]] - Table4[[#This Row],[Private_Tot_employees]]) &lt; 1, "OK", "Mismatch")</f>
        <v>OK</v>
      </c>
      <c r="C256" s="24" t="str">
        <f>IF(ABS(Table4[[#This Row],[Total_FT_Employees]] + Table4[[#This Row],[Total_PT_Employees]] - Table4[[#This Row],[Total_Tot_employees]]) &lt; 1, "OK", "Mismatch")</f>
        <v>OK</v>
      </c>
      <c r="D256" s="24" t="str">
        <f>IF(ABS(Table4[[#This Row],[Public_Tot_employment]] + Table4[[#This Row],[Private_Tot_employment]] - Table4[[#This Row],[Total_Employment]]) &lt; 1, "OK", "Mismatch")</f>
        <v>OK</v>
      </c>
    </row>
    <row r="257" spans="1:4" x14ac:dyDescent="0.3">
      <c r="A257" s="24" t="str">
        <f>IF(ABS(Table4[[#This Row],[Public_FT_employees]] + Table4[[#This Row],[Public_PT_employees]] - Table4[[#This Row],[Public_Tot_employees]]) &lt; 1, "OK", "Mismatch")</f>
        <v>OK</v>
      </c>
      <c r="B257" s="24" t="str">
        <f>IF(ABS(Table4[[#This Row],[Private_FT_employees]] + Table4[[#This Row],[Private_PT_employees]] - Table4[[#This Row],[Private_Tot_employees]]) &lt; 1, "OK", "Mismatch")</f>
        <v>OK</v>
      </c>
      <c r="C257" s="24" t="str">
        <f>IF(ABS(Table4[[#This Row],[Total_FT_Employees]] + Table4[[#This Row],[Total_PT_Employees]] - Table4[[#This Row],[Total_Tot_employees]]) &lt; 1, "OK", "Mismatch")</f>
        <v>OK</v>
      </c>
      <c r="D257" s="24" t="str">
        <f>IF(ABS(Table4[[#This Row],[Public_Tot_employment]] + Table4[[#This Row],[Private_Tot_employment]] - Table4[[#This Row],[Total_Employment]]) &lt; 1, "OK", "Mismatch")</f>
        <v>OK</v>
      </c>
    </row>
    <row r="258" spans="1:4" x14ac:dyDescent="0.3">
      <c r="A258" s="24" t="str">
        <f>IF(ABS(Table4[[#This Row],[Public_FT_employees]] + Table4[[#This Row],[Public_PT_employees]] - Table4[[#This Row],[Public_Tot_employees]]) &lt; 1, "OK", "Mismatch")</f>
        <v>OK</v>
      </c>
      <c r="B258" s="24" t="str">
        <f>IF(ABS(Table4[[#This Row],[Private_FT_employees]] + Table4[[#This Row],[Private_PT_employees]] - Table4[[#This Row],[Private_Tot_employees]]) &lt; 1, "OK", "Mismatch")</f>
        <v>OK</v>
      </c>
      <c r="C258" s="24" t="str">
        <f>IF(ABS(Table4[[#This Row],[Total_FT_Employees]] + Table4[[#This Row],[Total_PT_Employees]] - Table4[[#This Row],[Total_Tot_employees]]) &lt; 1, "OK", "Mismatch")</f>
        <v>OK</v>
      </c>
      <c r="D258" s="24" t="str">
        <f>IF(ABS(Table4[[#This Row],[Public_Tot_employment]] + Table4[[#This Row],[Private_Tot_employment]] - Table4[[#This Row],[Total_Employment]]) &lt; 1, "OK", "Mismatch")</f>
        <v>OK</v>
      </c>
    </row>
    <row r="259" spans="1:4" x14ac:dyDescent="0.3">
      <c r="A259" s="24" t="str">
        <f>IF(ABS(Table4[[#This Row],[Public_FT_employees]] + Table4[[#This Row],[Public_PT_employees]] - Table4[[#This Row],[Public_Tot_employees]]) &lt; 1, "OK", "Mismatch")</f>
        <v>OK</v>
      </c>
      <c r="B259" s="24" t="str">
        <f>IF(ABS(Table4[[#This Row],[Private_FT_employees]] + Table4[[#This Row],[Private_PT_employees]] - Table4[[#This Row],[Private_Tot_employees]]) &lt; 1, "OK", "Mismatch")</f>
        <v>OK</v>
      </c>
      <c r="C259" s="24" t="str">
        <f>IF(ABS(Table4[[#This Row],[Total_FT_Employees]] + Table4[[#This Row],[Total_PT_Employees]] - Table4[[#This Row],[Total_Tot_employees]]) &lt; 1, "OK", "Mismatch")</f>
        <v>OK</v>
      </c>
      <c r="D259" s="24" t="str">
        <f>IF(ABS(Table4[[#This Row],[Public_Tot_employment]] + Table4[[#This Row],[Private_Tot_employment]] - Table4[[#This Row],[Total_Employment]]) &lt; 1, "OK", "Mismatch")</f>
        <v>Mismatch</v>
      </c>
    </row>
    <row r="260" spans="1:4" x14ac:dyDescent="0.3">
      <c r="A260" s="24" t="str">
        <f>IF(ABS(Table4[[#This Row],[Public_FT_employees]] + Table4[[#This Row],[Public_PT_employees]] - Table4[[#This Row],[Public_Tot_employees]]) &lt; 1, "OK", "Mismatch")</f>
        <v>OK</v>
      </c>
      <c r="B260" s="24" t="str">
        <f>IF(ABS(Table4[[#This Row],[Private_FT_employees]] + Table4[[#This Row],[Private_PT_employees]] - Table4[[#This Row],[Private_Tot_employees]]) &lt; 1, "OK", "Mismatch")</f>
        <v>OK</v>
      </c>
      <c r="C260" s="24" t="str">
        <f>IF(ABS(Table4[[#This Row],[Total_FT_Employees]] + Table4[[#This Row],[Total_PT_Employees]] - Table4[[#This Row],[Total_Tot_employees]]) &lt; 1, "OK", "Mismatch")</f>
        <v>OK</v>
      </c>
      <c r="D260" s="24" t="str">
        <f>IF(ABS(Table4[[#This Row],[Public_Tot_employment]] + Table4[[#This Row],[Private_Tot_employment]] - Table4[[#This Row],[Total_Employment]]) &lt; 1, "OK", "Mismatch")</f>
        <v>OK</v>
      </c>
    </row>
    <row r="261" spans="1:4" x14ac:dyDescent="0.3">
      <c r="A261" s="24" t="str">
        <f>IF(ABS(Table4[[#This Row],[Public_FT_employees]] + Table4[[#This Row],[Public_PT_employees]] - Table4[[#This Row],[Public_Tot_employees]]) &lt; 1, "OK", "Mismatch")</f>
        <v>Mismatch</v>
      </c>
      <c r="B261" s="24" t="str">
        <f>IF(ABS(Table4[[#This Row],[Private_FT_employees]] + Table4[[#This Row],[Private_PT_employees]] - Table4[[#This Row],[Private_Tot_employees]]) &lt; 1, "OK", "Mismatch")</f>
        <v>Mismatch</v>
      </c>
      <c r="C261" s="24" t="str">
        <f>IF(ABS(Table4[[#This Row],[Total_FT_Employees]] + Table4[[#This Row],[Total_PT_Employees]] - Table4[[#This Row],[Total_Tot_employees]]) &lt; 1, "OK", "Mismatch")</f>
        <v>OK</v>
      </c>
      <c r="D261" s="24" t="str">
        <f>IF(ABS(Table4[[#This Row],[Public_Tot_employment]] + Table4[[#This Row],[Private_Tot_employment]] - Table4[[#This Row],[Total_Employment]]) &lt; 1, "OK", "Mismatch")</f>
        <v>OK</v>
      </c>
    </row>
    <row r="262" spans="1:4" x14ac:dyDescent="0.3">
      <c r="A262" s="24" t="str">
        <f>IF(ABS(Table4[[#This Row],[Public_FT_employees]] + Table4[[#This Row],[Public_PT_employees]] - Table4[[#This Row],[Public_Tot_employees]]) &lt; 1, "OK", "Mismatch")</f>
        <v>OK</v>
      </c>
      <c r="B262" s="24" t="str">
        <f>IF(ABS(Table4[[#This Row],[Private_FT_employees]] + Table4[[#This Row],[Private_PT_employees]] - Table4[[#This Row],[Private_Tot_employees]]) &lt; 1, "OK", "Mismatch")</f>
        <v>OK</v>
      </c>
      <c r="C262" s="24" t="str">
        <f>IF(ABS(Table4[[#This Row],[Total_FT_Employees]] + Table4[[#This Row],[Total_PT_Employees]] - Table4[[#This Row],[Total_Tot_employees]]) &lt; 1, "OK", "Mismatch")</f>
        <v>Mismatch</v>
      </c>
      <c r="D262" s="24" t="str">
        <f>IF(ABS(Table4[[#This Row],[Public_Tot_employment]] + Table4[[#This Row],[Private_Tot_employment]] - Table4[[#This Row],[Total_Employment]]) &lt; 1, "OK", "Mismatch")</f>
        <v>OK</v>
      </c>
    </row>
    <row r="263" spans="1:4" x14ac:dyDescent="0.3">
      <c r="A263" s="24" t="str">
        <f>IF(ABS(Table4[[#This Row],[Public_FT_employees]] + Table4[[#This Row],[Public_PT_employees]] - Table4[[#This Row],[Public_Tot_employees]]) &lt; 1, "OK", "Mismatch")</f>
        <v>OK</v>
      </c>
      <c r="B263" s="24" t="str">
        <f>IF(ABS(Table4[[#This Row],[Private_FT_employees]] + Table4[[#This Row],[Private_PT_employees]] - Table4[[#This Row],[Private_Tot_employees]]) &lt; 1, "OK", "Mismatch")</f>
        <v>OK</v>
      </c>
      <c r="C263" s="24" t="str">
        <f>IF(ABS(Table4[[#This Row],[Total_FT_Employees]] + Table4[[#This Row],[Total_PT_Employees]] - Table4[[#This Row],[Total_Tot_employees]]) &lt; 1, "OK", "Mismatch")</f>
        <v>OK</v>
      </c>
      <c r="D263" s="24" t="str">
        <f>IF(ABS(Table4[[#This Row],[Public_Tot_employment]] + Table4[[#This Row],[Private_Tot_employment]] - Table4[[#This Row],[Total_Employment]]) &lt; 1, "OK", "Mismatch")</f>
        <v>OK</v>
      </c>
    </row>
    <row r="264" spans="1:4" x14ac:dyDescent="0.3">
      <c r="A264" s="24" t="str">
        <f>IF(ABS(Table4[[#This Row],[Public_FT_employees]] + Table4[[#This Row],[Public_PT_employees]] - Table4[[#This Row],[Public_Tot_employees]]) &lt; 1, "OK", "Mismatch")</f>
        <v>Mismatch</v>
      </c>
      <c r="B264" s="24" t="str">
        <f>IF(ABS(Table4[[#This Row],[Private_FT_employees]] + Table4[[#This Row],[Private_PT_employees]] - Table4[[#This Row],[Private_Tot_employees]]) &lt; 1, "OK", "Mismatch")</f>
        <v>OK</v>
      </c>
      <c r="C264" s="24" t="str">
        <f>IF(ABS(Table4[[#This Row],[Total_FT_Employees]] + Table4[[#This Row],[Total_PT_Employees]] - Table4[[#This Row],[Total_Tot_employees]]) &lt; 1, "OK", "Mismatch")</f>
        <v>OK</v>
      </c>
      <c r="D264" s="24" t="str">
        <f>IF(ABS(Table4[[#This Row],[Public_Tot_employment]] + Table4[[#This Row],[Private_Tot_employment]] - Table4[[#This Row],[Total_Employment]]) &lt; 1, "OK", "Mismatch")</f>
        <v>Mismatch</v>
      </c>
    </row>
    <row r="265" spans="1:4" x14ac:dyDescent="0.3">
      <c r="A265" s="24" t="str">
        <f>IF(ABS(Table4[[#This Row],[Public_FT_employees]] + Table4[[#This Row],[Public_PT_employees]] - Table4[[#This Row],[Public_Tot_employees]]) &lt; 1, "OK", "Mismatch")</f>
        <v>Mismatch</v>
      </c>
      <c r="B265" s="24" t="str">
        <f>IF(ABS(Table4[[#This Row],[Private_FT_employees]] + Table4[[#This Row],[Private_PT_employees]] - Table4[[#This Row],[Private_Tot_employees]]) &lt; 1, "OK", "Mismatch")</f>
        <v>Mismatch</v>
      </c>
      <c r="C265" s="24" t="str">
        <f>IF(ABS(Table4[[#This Row],[Total_FT_Employees]] + Table4[[#This Row],[Total_PT_Employees]] - Table4[[#This Row],[Total_Tot_employees]]) &lt; 1, "OK", "Mismatch")</f>
        <v>OK</v>
      </c>
      <c r="D265" s="24" t="str">
        <f>IF(ABS(Table4[[#This Row],[Public_Tot_employment]] + Table4[[#This Row],[Private_Tot_employment]] - Table4[[#This Row],[Total_Employment]]) &lt; 1, "OK", "Mismatch")</f>
        <v>OK</v>
      </c>
    </row>
    <row r="266" spans="1:4" x14ac:dyDescent="0.3">
      <c r="A266" s="24" t="str">
        <f>IF(ABS(Table4[[#This Row],[Public_FT_employees]] + Table4[[#This Row],[Public_PT_employees]] - Table4[[#This Row],[Public_Tot_employees]]) &lt; 1, "OK", "Mismatch")</f>
        <v>OK</v>
      </c>
      <c r="B266" s="24" t="str">
        <f>IF(ABS(Table4[[#This Row],[Private_FT_employees]] + Table4[[#This Row],[Private_PT_employees]] - Table4[[#This Row],[Private_Tot_employees]]) &lt; 1, "OK", "Mismatch")</f>
        <v>OK</v>
      </c>
      <c r="C266" s="24" t="str">
        <f>IF(ABS(Table4[[#This Row],[Total_FT_Employees]] + Table4[[#This Row],[Total_PT_Employees]] - Table4[[#This Row],[Total_Tot_employees]]) &lt; 1, "OK", "Mismatch")</f>
        <v>OK</v>
      </c>
      <c r="D266" s="24" t="str">
        <f>IF(ABS(Table4[[#This Row],[Public_Tot_employment]] + Table4[[#This Row],[Private_Tot_employment]] - Table4[[#This Row],[Total_Employment]]) &lt; 1, "OK", "Mismatch")</f>
        <v>OK</v>
      </c>
    </row>
    <row r="267" spans="1:4" x14ac:dyDescent="0.3">
      <c r="A267" s="24" t="str">
        <f>IF(ABS(Table4[[#This Row],[Public_FT_employees]] + Table4[[#This Row],[Public_PT_employees]] - Table4[[#This Row],[Public_Tot_employees]]) &lt; 1, "OK", "Mismatch")</f>
        <v>Mismatch</v>
      </c>
      <c r="B267" s="24" t="str">
        <f>IF(ABS(Table4[[#This Row],[Private_FT_employees]] + Table4[[#This Row],[Private_PT_employees]] - Table4[[#This Row],[Private_Tot_employees]]) &lt; 1, "OK", "Mismatch")</f>
        <v>OK</v>
      </c>
      <c r="C267" s="24" t="str">
        <f>IF(ABS(Table4[[#This Row],[Total_FT_Employees]] + Table4[[#This Row],[Total_PT_Employees]] - Table4[[#This Row],[Total_Tot_employees]]) &lt; 1, "OK", "Mismatch")</f>
        <v>Mismatch</v>
      </c>
      <c r="D267" s="24" t="str">
        <f>IF(ABS(Table4[[#This Row],[Public_Tot_employment]] + Table4[[#This Row],[Private_Tot_employment]] - Table4[[#This Row],[Total_Employment]]) &lt; 1, "OK", "Mismatch")</f>
        <v>Mismatch</v>
      </c>
    </row>
    <row r="268" spans="1:4" x14ac:dyDescent="0.3">
      <c r="A268" s="24" t="str">
        <f>IF(ABS(Table4[[#This Row],[Public_FT_employees]] + Table4[[#This Row],[Public_PT_employees]] - Table4[[#This Row],[Public_Tot_employees]]) &lt; 1, "OK", "Mismatch")</f>
        <v>OK</v>
      </c>
      <c r="B268" s="24" t="str">
        <f>IF(ABS(Table4[[#This Row],[Private_FT_employees]] + Table4[[#This Row],[Private_PT_employees]] - Table4[[#This Row],[Private_Tot_employees]]) &lt; 1, "OK", "Mismatch")</f>
        <v>OK</v>
      </c>
      <c r="C268" s="24" t="str">
        <f>IF(ABS(Table4[[#This Row],[Total_FT_Employees]] + Table4[[#This Row],[Total_PT_Employees]] - Table4[[#This Row],[Total_Tot_employees]]) &lt; 1, "OK", "Mismatch")</f>
        <v>Mismatch</v>
      </c>
      <c r="D268" s="24" t="str">
        <f>IF(ABS(Table4[[#This Row],[Public_Tot_employment]] + Table4[[#This Row],[Private_Tot_employment]] - Table4[[#This Row],[Total_Employment]]) &lt; 1, "OK", "Mismatch")</f>
        <v>OK</v>
      </c>
    </row>
    <row r="269" spans="1:4" x14ac:dyDescent="0.3">
      <c r="A269" s="24" t="str">
        <f>IF(ABS(Table4[[#This Row],[Public_FT_employees]] + Table4[[#This Row],[Public_PT_employees]] - Table4[[#This Row],[Public_Tot_employees]]) &lt; 1, "OK", "Mismatch")</f>
        <v>OK</v>
      </c>
      <c r="B269" s="24" t="str">
        <f>IF(ABS(Table4[[#This Row],[Private_FT_employees]] + Table4[[#This Row],[Private_PT_employees]] - Table4[[#This Row],[Private_Tot_employees]]) &lt; 1, "OK", "Mismatch")</f>
        <v>OK</v>
      </c>
      <c r="C269" s="24" t="str">
        <f>IF(ABS(Table4[[#This Row],[Total_FT_Employees]] + Table4[[#This Row],[Total_PT_Employees]] - Table4[[#This Row],[Total_Tot_employees]]) &lt; 1, "OK", "Mismatch")</f>
        <v>OK</v>
      </c>
      <c r="D269" s="24" t="str">
        <f>IF(ABS(Table4[[#This Row],[Public_Tot_employment]] + Table4[[#This Row],[Private_Tot_employment]] - Table4[[#This Row],[Total_Employment]]) &lt; 1, "OK", "Mismatch")</f>
        <v>OK</v>
      </c>
    </row>
    <row r="270" spans="1:4" x14ac:dyDescent="0.3">
      <c r="A270" s="24" t="str">
        <f>IF(ABS(Table4[[#This Row],[Public_FT_employees]] + Table4[[#This Row],[Public_PT_employees]] - Table4[[#This Row],[Public_Tot_employees]]) &lt; 1, "OK", "Mismatch")</f>
        <v>Mismatch</v>
      </c>
      <c r="B270" s="24" t="str">
        <f>IF(ABS(Table4[[#This Row],[Private_FT_employees]] + Table4[[#This Row],[Private_PT_employees]] - Table4[[#This Row],[Private_Tot_employees]]) &lt; 1, "OK", "Mismatch")</f>
        <v>OK</v>
      </c>
      <c r="C270" s="24" t="str">
        <f>IF(ABS(Table4[[#This Row],[Total_FT_Employees]] + Table4[[#This Row],[Total_PT_Employees]] - Table4[[#This Row],[Total_Tot_employees]]) &lt; 1, "OK", "Mismatch")</f>
        <v>OK</v>
      </c>
      <c r="D270" s="24" t="str">
        <f>IF(ABS(Table4[[#This Row],[Public_Tot_employment]] + Table4[[#This Row],[Private_Tot_employment]] - Table4[[#This Row],[Total_Employment]]) &lt; 1, "OK", "Mismatch")</f>
        <v>OK</v>
      </c>
    </row>
    <row r="271" spans="1:4" x14ac:dyDescent="0.3">
      <c r="A271" s="24" t="str">
        <f>IF(ABS(Table4[[#This Row],[Public_FT_employees]] + Table4[[#This Row],[Public_PT_employees]] - Table4[[#This Row],[Public_Tot_employees]]) &lt; 1, "OK", "Mismatch")</f>
        <v>OK</v>
      </c>
      <c r="B271" s="24" t="str">
        <f>IF(ABS(Table4[[#This Row],[Private_FT_employees]] + Table4[[#This Row],[Private_PT_employees]] - Table4[[#This Row],[Private_Tot_employees]]) &lt; 1, "OK", "Mismatch")</f>
        <v>OK</v>
      </c>
      <c r="C271" s="24" t="str">
        <f>IF(ABS(Table4[[#This Row],[Total_FT_Employees]] + Table4[[#This Row],[Total_PT_Employees]] - Table4[[#This Row],[Total_Tot_employees]]) &lt; 1, "OK", "Mismatch")</f>
        <v>Mismatch</v>
      </c>
      <c r="D271" s="24" t="str">
        <f>IF(ABS(Table4[[#This Row],[Public_Tot_employment]] + Table4[[#This Row],[Private_Tot_employment]] - Table4[[#This Row],[Total_Employment]]) &lt; 1, "OK", "Mismatch")</f>
        <v>Mismatch</v>
      </c>
    </row>
    <row r="272" spans="1:4" x14ac:dyDescent="0.3">
      <c r="A272" s="24" t="str">
        <f>IF(ABS(Table4[[#This Row],[Public_FT_employees]] + Table4[[#This Row],[Public_PT_employees]] - Table4[[#This Row],[Public_Tot_employees]]) &lt; 1, "OK", "Mismatch")</f>
        <v>OK</v>
      </c>
      <c r="B272" s="24" t="str">
        <f>IF(ABS(Table4[[#This Row],[Private_FT_employees]] + Table4[[#This Row],[Private_PT_employees]] - Table4[[#This Row],[Private_Tot_employees]]) &lt; 1, "OK", "Mismatch")</f>
        <v>OK</v>
      </c>
      <c r="C272" s="24" t="str">
        <f>IF(ABS(Table4[[#This Row],[Total_FT_Employees]] + Table4[[#This Row],[Total_PT_Employees]] - Table4[[#This Row],[Total_Tot_employees]]) &lt; 1, "OK", "Mismatch")</f>
        <v>OK</v>
      </c>
      <c r="D272" s="24" t="str">
        <f>IF(ABS(Table4[[#This Row],[Public_Tot_employment]] + Table4[[#This Row],[Private_Tot_employment]] - Table4[[#This Row],[Total_Employment]]) &lt; 1, "OK", "Mismatch")</f>
        <v>OK</v>
      </c>
    </row>
    <row r="273" spans="1:4" x14ac:dyDescent="0.3">
      <c r="A273" s="24" t="str">
        <f>IF(ABS(Table4[[#This Row],[Public_FT_employees]] + Table4[[#This Row],[Public_PT_employees]] - Table4[[#This Row],[Public_Tot_employees]]) &lt; 1, "OK", "Mismatch")</f>
        <v>OK</v>
      </c>
      <c r="B273" s="24" t="str">
        <f>IF(ABS(Table4[[#This Row],[Private_FT_employees]] + Table4[[#This Row],[Private_PT_employees]] - Table4[[#This Row],[Private_Tot_employees]]) &lt; 1, "OK", "Mismatch")</f>
        <v>OK</v>
      </c>
      <c r="C273" s="24" t="str">
        <f>IF(ABS(Table4[[#This Row],[Total_FT_Employees]] + Table4[[#This Row],[Total_PT_Employees]] - Table4[[#This Row],[Total_Tot_employees]]) &lt; 1, "OK", "Mismatch")</f>
        <v>OK</v>
      </c>
      <c r="D273" s="24" t="str">
        <f>IF(ABS(Table4[[#This Row],[Public_Tot_employment]] + Table4[[#This Row],[Private_Tot_employment]] - Table4[[#This Row],[Total_Employment]]) &lt; 1, "OK", "Mismatch")</f>
        <v>OK</v>
      </c>
    </row>
    <row r="274" spans="1:4" x14ac:dyDescent="0.3">
      <c r="A274" s="24" t="str">
        <f>IF(ABS(Table4[[#This Row],[Public_FT_employees]] + Table4[[#This Row],[Public_PT_employees]] - Table4[[#This Row],[Public_Tot_employees]]) &lt; 1, "OK", "Mismatch")</f>
        <v>OK</v>
      </c>
      <c r="B274" s="24" t="str">
        <f>IF(ABS(Table4[[#This Row],[Private_FT_employees]] + Table4[[#This Row],[Private_PT_employees]] - Table4[[#This Row],[Private_Tot_employees]]) &lt; 1, "OK", "Mismatch")</f>
        <v>Mismatch</v>
      </c>
      <c r="C274" s="24" t="str">
        <f>IF(ABS(Table4[[#This Row],[Total_FT_Employees]] + Table4[[#This Row],[Total_PT_Employees]] - Table4[[#This Row],[Total_Tot_employees]]) &lt; 1, "OK", "Mismatch")</f>
        <v>OK</v>
      </c>
      <c r="D274" s="24" t="str">
        <f>IF(ABS(Table4[[#This Row],[Public_Tot_employment]] + Table4[[#This Row],[Private_Tot_employment]] - Table4[[#This Row],[Total_Employment]]) &lt; 1, "OK", "Mismatch")</f>
        <v>OK</v>
      </c>
    </row>
    <row r="275" spans="1:4" x14ac:dyDescent="0.3">
      <c r="A275" s="24" t="str">
        <f>IF(ABS(Table4[[#This Row],[Public_FT_employees]] + Table4[[#This Row],[Public_PT_employees]] - Table4[[#This Row],[Public_Tot_employees]]) &lt; 1, "OK", "Mismatch")</f>
        <v>Mismatch</v>
      </c>
      <c r="B275" s="24" t="str">
        <f>IF(ABS(Table4[[#This Row],[Private_FT_employees]] + Table4[[#This Row],[Private_PT_employees]] - Table4[[#This Row],[Private_Tot_employees]]) &lt; 1, "OK", "Mismatch")</f>
        <v>OK</v>
      </c>
      <c r="C275" s="24" t="str">
        <f>IF(ABS(Table4[[#This Row],[Total_FT_Employees]] + Table4[[#This Row],[Total_PT_Employees]] - Table4[[#This Row],[Total_Tot_employees]]) &lt; 1, "OK", "Mismatch")</f>
        <v>OK</v>
      </c>
      <c r="D275" s="24" t="str">
        <f>IF(ABS(Table4[[#This Row],[Public_Tot_employment]] + Table4[[#This Row],[Private_Tot_employment]] - Table4[[#This Row],[Total_Employment]]) &lt; 1, "OK", "Mismatch")</f>
        <v>Mismatch</v>
      </c>
    </row>
    <row r="276" spans="1:4" x14ac:dyDescent="0.3">
      <c r="A276" s="24" t="str">
        <f>IF(ABS(Table4[[#This Row],[Public_FT_employees]] + Table4[[#This Row],[Public_PT_employees]] - Table4[[#This Row],[Public_Tot_employees]]) &lt; 1, "OK", "Mismatch")</f>
        <v>OK</v>
      </c>
      <c r="B276" s="24" t="str">
        <f>IF(ABS(Table4[[#This Row],[Private_FT_employees]] + Table4[[#This Row],[Private_PT_employees]] - Table4[[#This Row],[Private_Tot_employees]]) &lt; 1, "OK", "Mismatch")</f>
        <v>OK</v>
      </c>
      <c r="C276" s="24" t="str">
        <f>IF(ABS(Table4[[#This Row],[Total_FT_Employees]] + Table4[[#This Row],[Total_PT_Employees]] - Table4[[#This Row],[Total_Tot_employees]]) &lt; 1, "OK", "Mismatch")</f>
        <v>Mismatch</v>
      </c>
      <c r="D276" s="24" t="str">
        <f>IF(ABS(Table4[[#This Row],[Public_Tot_employment]] + Table4[[#This Row],[Private_Tot_employment]] - Table4[[#This Row],[Total_Employment]]) &lt; 1, "OK", "Mismatch")</f>
        <v>OK</v>
      </c>
    </row>
    <row r="277" spans="1:4" x14ac:dyDescent="0.3">
      <c r="A277" s="24" t="str">
        <f>IF(ABS(Table4[[#This Row],[Public_FT_employees]] + Table4[[#This Row],[Public_PT_employees]] - Table4[[#This Row],[Public_Tot_employees]]) &lt; 1, "OK", "Mismatch")</f>
        <v>Mismatch</v>
      </c>
      <c r="B277" s="24" t="str">
        <f>IF(ABS(Table4[[#This Row],[Private_FT_employees]] + Table4[[#This Row],[Private_PT_employees]] - Table4[[#This Row],[Private_Tot_employees]]) &lt; 1, "OK", "Mismatch")</f>
        <v>Mismatch</v>
      </c>
      <c r="C277" s="24" t="str">
        <f>IF(ABS(Table4[[#This Row],[Total_FT_Employees]] + Table4[[#This Row],[Total_PT_Employees]] - Table4[[#This Row],[Total_Tot_employees]]) &lt; 1, "OK", "Mismatch")</f>
        <v>Mismatch</v>
      </c>
      <c r="D277" s="24" t="str">
        <f>IF(ABS(Table4[[#This Row],[Public_Tot_employment]] + Table4[[#This Row],[Private_Tot_employment]] - Table4[[#This Row],[Total_Employment]]) &lt; 1, "OK", "Mismatch")</f>
        <v>Mismatch</v>
      </c>
    </row>
    <row r="278" spans="1:4" x14ac:dyDescent="0.3">
      <c r="A278" s="24" t="str">
        <f>IF(ABS(Table4[[#This Row],[Public_FT_employees]] + Table4[[#This Row],[Public_PT_employees]] - Table4[[#This Row],[Public_Tot_employees]]) &lt; 1, "OK", "Mismatch")</f>
        <v>OK</v>
      </c>
      <c r="B278" s="24" t="str">
        <f>IF(ABS(Table4[[#This Row],[Private_FT_employees]] + Table4[[#This Row],[Private_PT_employees]] - Table4[[#This Row],[Private_Tot_employees]]) &lt; 1, "OK", "Mismatch")</f>
        <v>Mismatch</v>
      </c>
      <c r="C278" s="24" t="str">
        <f>IF(ABS(Table4[[#This Row],[Total_FT_Employees]] + Table4[[#This Row],[Total_PT_Employees]] - Table4[[#This Row],[Total_Tot_employees]]) &lt; 1, "OK", "Mismatch")</f>
        <v>Mismatch</v>
      </c>
      <c r="D278" s="24" t="str">
        <f>IF(ABS(Table4[[#This Row],[Public_Tot_employment]] + Table4[[#This Row],[Private_Tot_employment]] - Table4[[#This Row],[Total_Employment]]) &lt; 1, "OK", "Mismatch")</f>
        <v>OK</v>
      </c>
    </row>
    <row r="279" spans="1:4" x14ac:dyDescent="0.3">
      <c r="A279" s="24" t="str">
        <f>IF(ABS(Table4[[#This Row],[Public_FT_employees]] + Table4[[#This Row],[Public_PT_employees]] - Table4[[#This Row],[Public_Tot_employees]]) &lt; 1, "OK", "Mismatch")</f>
        <v>OK</v>
      </c>
      <c r="B279" s="24" t="str">
        <f>IF(ABS(Table4[[#This Row],[Private_FT_employees]] + Table4[[#This Row],[Private_PT_employees]] - Table4[[#This Row],[Private_Tot_employees]]) &lt; 1, "OK", "Mismatch")</f>
        <v>Mismatch</v>
      </c>
      <c r="C279" s="24" t="str">
        <f>IF(ABS(Table4[[#This Row],[Total_FT_Employees]] + Table4[[#This Row],[Total_PT_Employees]] - Table4[[#This Row],[Total_Tot_employees]]) &lt; 1, "OK", "Mismatch")</f>
        <v>OK</v>
      </c>
      <c r="D279" s="24" t="str">
        <f>IF(ABS(Table4[[#This Row],[Public_Tot_employment]] + Table4[[#This Row],[Private_Tot_employment]] - Table4[[#This Row],[Total_Employment]]) &lt; 1, "OK", "Mismatch")</f>
        <v>OK</v>
      </c>
    </row>
    <row r="280" spans="1:4" x14ac:dyDescent="0.3">
      <c r="A280" s="24" t="str">
        <f>IF(ABS(Table4[[#This Row],[Public_FT_employees]] + Table4[[#This Row],[Public_PT_employees]] - Table4[[#This Row],[Public_Tot_employees]]) &lt; 1, "OK", "Mismatch")</f>
        <v>OK</v>
      </c>
      <c r="B280" s="24" t="str">
        <f>IF(ABS(Table4[[#This Row],[Private_FT_employees]] + Table4[[#This Row],[Private_PT_employees]] - Table4[[#This Row],[Private_Tot_employees]]) &lt; 1, "OK", "Mismatch")</f>
        <v>OK</v>
      </c>
      <c r="C280" s="24" t="str">
        <f>IF(ABS(Table4[[#This Row],[Total_FT_Employees]] + Table4[[#This Row],[Total_PT_Employees]] - Table4[[#This Row],[Total_Tot_employees]]) &lt; 1, "OK", "Mismatch")</f>
        <v>OK</v>
      </c>
      <c r="D280" s="24" t="str">
        <f>IF(ABS(Table4[[#This Row],[Public_Tot_employment]] + Table4[[#This Row],[Private_Tot_employment]] - Table4[[#This Row],[Total_Employment]]) &lt; 1, "OK", "Mismatch")</f>
        <v>OK</v>
      </c>
    </row>
    <row r="281" spans="1:4" x14ac:dyDescent="0.3">
      <c r="A281" s="24" t="str">
        <f>IF(ABS(Table4[[#This Row],[Public_FT_employees]] + Table4[[#This Row],[Public_PT_employees]] - Table4[[#This Row],[Public_Tot_employees]]) &lt; 1, "OK", "Mismatch")</f>
        <v>Mismatch</v>
      </c>
      <c r="B281" s="24" t="str">
        <f>IF(ABS(Table4[[#This Row],[Private_FT_employees]] + Table4[[#This Row],[Private_PT_employees]] - Table4[[#This Row],[Private_Tot_employees]]) &lt; 1, "OK", "Mismatch")</f>
        <v>OK</v>
      </c>
      <c r="C281" s="24" t="str">
        <f>IF(ABS(Table4[[#This Row],[Total_FT_Employees]] + Table4[[#This Row],[Total_PT_Employees]] - Table4[[#This Row],[Total_Tot_employees]]) &lt; 1, "OK", "Mismatch")</f>
        <v>Mismatch</v>
      </c>
      <c r="D281" s="24" t="str">
        <f>IF(ABS(Table4[[#This Row],[Public_Tot_employment]] + Table4[[#This Row],[Private_Tot_employment]] - Table4[[#This Row],[Total_Employment]]) &lt; 1, "OK", "Mismatch")</f>
        <v>Mismatch</v>
      </c>
    </row>
    <row r="282" spans="1:4" x14ac:dyDescent="0.3">
      <c r="A282" s="24" t="str">
        <f>IF(ABS(Table4[[#This Row],[Public_FT_employees]] + Table4[[#This Row],[Public_PT_employees]] - Table4[[#This Row],[Public_Tot_employees]]) &lt; 1, "OK", "Mismatch")</f>
        <v>OK</v>
      </c>
      <c r="B282" s="24" t="str">
        <f>IF(ABS(Table4[[#This Row],[Private_FT_employees]] + Table4[[#This Row],[Private_PT_employees]] - Table4[[#This Row],[Private_Tot_employees]]) &lt; 1, "OK", "Mismatch")</f>
        <v>Mismatch</v>
      </c>
      <c r="C282" s="24" t="str">
        <f>IF(ABS(Table4[[#This Row],[Total_FT_Employees]] + Table4[[#This Row],[Total_PT_Employees]] - Table4[[#This Row],[Total_Tot_employees]]) &lt; 1, "OK", "Mismatch")</f>
        <v>Mismatch</v>
      </c>
      <c r="D282" s="24" t="str">
        <f>IF(ABS(Table4[[#This Row],[Public_Tot_employment]] + Table4[[#This Row],[Private_Tot_employment]] - Table4[[#This Row],[Total_Employment]]) &lt; 1, "OK", "Mismatch")</f>
        <v>Mismatch</v>
      </c>
    </row>
    <row r="283" spans="1:4" x14ac:dyDescent="0.3">
      <c r="A283" s="24" t="str">
        <f>IF(ABS(Table4[[#This Row],[Public_FT_employees]] + Table4[[#This Row],[Public_PT_employees]] - Table4[[#This Row],[Public_Tot_employees]]) &lt; 1, "OK", "Mismatch")</f>
        <v>OK</v>
      </c>
      <c r="B283" s="24" t="str">
        <f>IF(ABS(Table4[[#This Row],[Private_FT_employees]] + Table4[[#This Row],[Private_PT_employees]] - Table4[[#This Row],[Private_Tot_employees]]) &lt; 1, "OK", "Mismatch")</f>
        <v>OK</v>
      </c>
      <c r="C283" s="24" t="str">
        <f>IF(ABS(Table4[[#This Row],[Total_FT_Employees]] + Table4[[#This Row],[Total_PT_Employees]] - Table4[[#This Row],[Total_Tot_employees]]) &lt; 1, "OK", "Mismatch")</f>
        <v>Mismatch</v>
      </c>
      <c r="D283" s="24" t="str">
        <f>IF(ABS(Table4[[#This Row],[Public_Tot_employment]] + Table4[[#This Row],[Private_Tot_employment]] - Table4[[#This Row],[Total_Employment]]) &lt; 1, "OK", "Mismatch")</f>
        <v>OK</v>
      </c>
    </row>
    <row r="284" spans="1:4" x14ac:dyDescent="0.3">
      <c r="A284" s="24" t="str">
        <f>IF(ABS(Table4[[#This Row],[Public_FT_employees]] + Table4[[#This Row],[Public_PT_employees]] - Table4[[#This Row],[Public_Tot_employees]]) &lt; 1, "OK", "Mismatch")</f>
        <v>OK</v>
      </c>
      <c r="B284" s="24" t="str">
        <f>IF(ABS(Table4[[#This Row],[Private_FT_employees]] + Table4[[#This Row],[Private_PT_employees]] - Table4[[#This Row],[Private_Tot_employees]]) &lt; 1, "OK", "Mismatch")</f>
        <v>Mismatch</v>
      </c>
      <c r="C284" s="24" t="str">
        <f>IF(ABS(Table4[[#This Row],[Total_FT_Employees]] + Table4[[#This Row],[Total_PT_Employees]] - Table4[[#This Row],[Total_Tot_employees]]) &lt; 1, "OK", "Mismatch")</f>
        <v>Mismatch</v>
      </c>
      <c r="D284" s="24" t="str">
        <f>IF(ABS(Table4[[#This Row],[Public_Tot_employment]] + Table4[[#This Row],[Private_Tot_employment]] - Table4[[#This Row],[Total_Employment]]) &lt; 1, "OK", "Mismatch")</f>
        <v>OK</v>
      </c>
    </row>
    <row r="285" spans="1:4" x14ac:dyDescent="0.3">
      <c r="A285" s="24" t="str">
        <f>IF(ABS(Table4[[#This Row],[Public_FT_employees]] + Table4[[#This Row],[Public_PT_employees]] - Table4[[#This Row],[Public_Tot_employees]]) &lt; 1, "OK", "Mismatch")</f>
        <v>OK</v>
      </c>
      <c r="B285" s="24" t="str">
        <f>IF(ABS(Table4[[#This Row],[Private_FT_employees]] + Table4[[#This Row],[Private_PT_employees]] - Table4[[#This Row],[Private_Tot_employees]]) &lt; 1, "OK", "Mismatch")</f>
        <v>Mismatch</v>
      </c>
      <c r="C285" s="24" t="str">
        <f>IF(ABS(Table4[[#This Row],[Total_FT_Employees]] + Table4[[#This Row],[Total_PT_Employees]] - Table4[[#This Row],[Total_Tot_employees]]) &lt; 1, "OK", "Mismatch")</f>
        <v>Mismatch</v>
      </c>
      <c r="D285" s="24" t="str">
        <f>IF(ABS(Table4[[#This Row],[Public_Tot_employment]] + Table4[[#This Row],[Private_Tot_employment]] - Table4[[#This Row],[Total_Employment]]) &lt; 1, "OK", "Mismatch")</f>
        <v>Mismatch</v>
      </c>
    </row>
    <row r="286" spans="1:4" x14ac:dyDescent="0.3">
      <c r="A286" s="24" t="str">
        <f>IF(ABS(Table4[[#This Row],[Public_FT_employees]] + Table4[[#This Row],[Public_PT_employees]] - Table4[[#This Row],[Public_Tot_employees]]) &lt; 1, "OK", "Mismatch")</f>
        <v>OK</v>
      </c>
      <c r="B286" s="24" t="str">
        <f>IF(ABS(Table4[[#This Row],[Private_FT_employees]] + Table4[[#This Row],[Private_PT_employees]] - Table4[[#This Row],[Private_Tot_employees]]) &lt; 1, "OK", "Mismatch")</f>
        <v>OK</v>
      </c>
      <c r="C286" s="24" t="str">
        <f>IF(ABS(Table4[[#This Row],[Total_FT_Employees]] + Table4[[#This Row],[Total_PT_Employees]] - Table4[[#This Row],[Total_Tot_employees]]) &lt; 1, "OK", "Mismatch")</f>
        <v>OK</v>
      </c>
      <c r="D286" s="24" t="str">
        <f>IF(ABS(Table4[[#This Row],[Public_Tot_employment]] + Table4[[#This Row],[Private_Tot_employment]] - Table4[[#This Row],[Total_Employment]]) &lt; 1, "OK", "Mismatch")</f>
        <v>OK</v>
      </c>
    </row>
    <row r="287" spans="1:4" x14ac:dyDescent="0.3">
      <c r="A287" s="24" t="str">
        <f>IF(ABS(Table4[[#This Row],[Public_FT_employees]] + Table4[[#This Row],[Public_PT_employees]] - Table4[[#This Row],[Public_Tot_employees]]) &lt; 1, "OK", "Mismatch")</f>
        <v>Mismatch</v>
      </c>
      <c r="B287" s="24" t="str">
        <f>IF(ABS(Table4[[#This Row],[Private_FT_employees]] + Table4[[#This Row],[Private_PT_employees]] - Table4[[#This Row],[Private_Tot_employees]]) &lt; 1, "OK", "Mismatch")</f>
        <v>OK</v>
      </c>
      <c r="C287" s="24" t="str">
        <f>IF(ABS(Table4[[#This Row],[Total_FT_Employees]] + Table4[[#This Row],[Total_PT_Employees]] - Table4[[#This Row],[Total_Tot_employees]]) &lt; 1, "OK", "Mismatch")</f>
        <v>Mismatch</v>
      </c>
      <c r="D287" s="24" t="str">
        <f>IF(ABS(Table4[[#This Row],[Public_Tot_employment]] + Table4[[#This Row],[Private_Tot_employment]] - Table4[[#This Row],[Total_Employment]]) &lt; 1, "OK", "Mismatch")</f>
        <v>OK</v>
      </c>
    </row>
    <row r="288" spans="1:4" x14ac:dyDescent="0.3">
      <c r="A288" s="24" t="str">
        <f>IF(ABS(Table4[[#This Row],[Public_FT_employees]] + Table4[[#This Row],[Public_PT_employees]] - Table4[[#This Row],[Public_Tot_employees]]) &lt; 1, "OK", "Mismatch")</f>
        <v>OK</v>
      </c>
      <c r="B288" s="24" t="str">
        <f>IF(ABS(Table4[[#This Row],[Private_FT_employees]] + Table4[[#This Row],[Private_PT_employees]] - Table4[[#This Row],[Private_Tot_employees]]) &lt; 1, "OK", "Mismatch")</f>
        <v>Mismatch</v>
      </c>
      <c r="C288" s="24" t="str">
        <f>IF(ABS(Table4[[#This Row],[Total_FT_Employees]] + Table4[[#This Row],[Total_PT_Employees]] - Table4[[#This Row],[Total_Tot_employees]]) &lt; 1, "OK", "Mismatch")</f>
        <v>Mismatch</v>
      </c>
      <c r="D288" s="24" t="str">
        <f>IF(ABS(Table4[[#This Row],[Public_Tot_employment]] + Table4[[#This Row],[Private_Tot_employment]] - Table4[[#This Row],[Total_Employment]]) &lt; 1, "OK", "Mismatch")</f>
        <v>OK</v>
      </c>
    </row>
    <row r="289" spans="1:4" x14ac:dyDescent="0.3">
      <c r="A289" s="24" t="str">
        <f>IF(ABS(Table4[[#This Row],[Public_FT_employees]] + Table4[[#This Row],[Public_PT_employees]] - Table4[[#This Row],[Public_Tot_employees]]) &lt; 1, "OK", "Mismatch")</f>
        <v>OK</v>
      </c>
      <c r="B289" s="24" t="str">
        <f>IF(ABS(Table4[[#This Row],[Private_FT_employees]] + Table4[[#This Row],[Private_PT_employees]] - Table4[[#This Row],[Private_Tot_employees]]) &lt; 1, "OK", "Mismatch")</f>
        <v>OK</v>
      </c>
      <c r="C289" s="24" t="str">
        <f>IF(ABS(Table4[[#This Row],[Total_FT_Employees]] + Table4[[#This Row],[Total_PT_Employees]] - Table4[[#This Row],[Total_Tot_employees]]) &lt; 1, "OK", "Mismatch")</f>
        <v>Mismatch</v>
      </c>
      <c r="D289" s="24" t="str">
        <f>IF(ABS(Table4[[#This Row],[Public_Tot_employment]] + Table4[[#This Row],[Private_Tot_employment]] - Table4[[#This Row],[Total_Employment]]) &lt; 1, "OK", "Mismatch")</f>
        <v>OK</v>
      </c>
    </row>
    <row r="290" spans="1:4" x14ac:dyDescent="0.3">
      <c r="A290" s="24" t="str">
        <f>IF(ABS(Table4[[#This Row],[Public_FT_employees]] + Table4[[#This Row],[Public_PT_employees]] - Table4[[#This Row],[Public_Tot_employees]]) &lt; 1, "OK", "Mismatch")</f>
        <v>Mismatch</v>
      </c>
      <c r="B290" s="24" t="str">
        <f>IF(ABS(Table4[[#This Row],[Private_FT_employees]] + Table4[[#This Row],[Private_PT_employees]] - Table4[[#This Row],[Private_Tot_employees]]) &lt; 1, "OK", "Mismatch")</f>
        <v>Mismatch</v>
      </c>
      <c r="C290" s="24" t="str">
        <f>IF(ABS(Table4[[#This Row],[Total_FT_Employees]] + Table4[[#This Row],[Total_PT_Employees]] - Table4[[#This Row],[Total_Tot_employees]]) &lt; 1, "OK", "Mismatch")</f>
        <v>Mismatch</v>
      </c>
      <c r="D290" s="24" t="str">
        <f>IF(ABS(Table4[[#This Row],[Public_Tot_employment]] + Table4[[#This Row],[Private_Tot_employment]] - Table4[[#This Row],[Total_Employment]]) &lt; 1, "OK", "Mismatch")</f>
        <v>OK</v>
      </c>
    </row>
    <row r="291" spans="1:4" x14ac:dyDescent="0.3">
      <c r="A291" s="24" t="str">
        <f>IF(ABS(Table4[[#This Row],[Public_FT_employees]] + Table4[[#This Row],[Public_PT_employees]] - Table4[[#This Row],[Public_Tot_employees]]) &lt; 1, "OK", "Mismatch")</f>
        <v>Mismatch</v>
      </c>
      <c r="B291" s="24" t="str">
        <f>IF(ABS(Table4[[#This Row],[Private_FT_employees]] + Table4[[#This Row],[Private_PT_employees]] - Table4[[#This Row],[Private_Tot_employees]]) &lt; 1, "OK", "Mismatch")</f>
        <v>Mismatch</v>
      </c>
      <c r="C291" s="24" t="str">
        <f>IF(ABS(Table4[[#This Row],[Total_FT_Employees]] + Table4[[#This Row],[Total_PT_Employees]] - Table4[[#This Row],[Total_Tot_employees]]) &lt; 1, "OK", "Mismatch")</f>
        <v>Mismatch</v>
      </c>
      <c r="D291" s="24" t="str">
        <f>IF(ABS(Table4[[#This Row],[Public_Tot_employment]] + Table4[[#This Row],[Private_Tot_employment]] - Table4[[#This Row],[Total_Employment]]) &lt; 1, "OK", "Mismatch")</f>
        <v>Mismatch</v>
      </c>
    </row>
    <row r="292" spans="1:4" x14ac:dyDescent="0.3">
      <c r="A292" s="24" t="str">
        <f>IF(ABS(Table4[[#This Row],[Public_FT_employees]] + Table4[[#This Row],[Public_PT_employees]] - Table4[[#This Row],[Public_Tot_employees]]) &lt; 1, "OK", "Mismatch")</f>
        <v>OK</v>
      </c>
      <c r="B292" s="24" t="str">
        <f>IF(ABS(Table4[[#This Row],[Private_FT_employees]] + Table4[[#This Row],[Private_PT_employees]] - Table4[[#This Row],[Private_Tot_employees]]) &lt; 1, "OK", "Mismatch")</f>
        <v>Mismatch</v>
      </c>
      <c r="C292" s="24" t="str">
        <f>IF(ABS(Table4[[#This Row],[Total_FT_Employees]] + Table4[[#This Row],[Total_PT_Employees]] - Table4[[#This Row],[Total_Tot_employees]]) &lt; 1, "OK", "Mismatch")</f>
        <v>OK</v>
      </c>
      <c r="D292" s="24" t="str">
        <f>IF(ABS(Table4[[#This Row],[Public_Tot_employment]] + Table4[[#This Row],[Private_Tot_employment]] - Table4[[#This Row],[Total_Employment]]) &lt; 1, "OK", "Mismatch")</f>
        <v>OK</v>
      </c>
    </row>
    <row r="293" spans="1:4" x14ac:dyDescent="0.3">
      <c r="A293" s="24" t="str">
        <f>IF(ABS(Table4[[#This Row],[Public_FT_employees]] + Table4[[#This Row],[Public_PT_employees]] - Table4[[#This Row],[Public_Tot_employees]]) &lt; 1, "OK", "Mismatch")</f>
        <v>OK</v>
      </c>
      <c r="B293" s="24" t="str">
        <f>IF(ABS(Table4[[#This Row],[Private_FT_employees]] + Table4[[#This Row],[Private_PT_employees]] - Table4[[#This Row],[Private_Tot_employees]]) &lt; 1, "OK", "Mismatch")</f>
        <v>OK</v>
      </c>
      <c r="C293" s="24" t="str">
        <f>IF(ABS(Table4[[#This Row],[Total_FT_Employees]] + Table4[[#This Row],[Total_PT_Employees]] - Table4[[#This Row],[Total_Tot_employees]]) &lt; 1, "OK", "Mismatch")</f>
        <v>OK</v>
      </c>
      <c r="D293" s="24" t="str">
        <f>IF(ABS(Table4[[#This Row],[Public_Tot_employment]] + Table4[[#This Row],[Private_Tot_employment]] - Table4[[#This Row],[Total_Employment]]) &lt; 1, "OK", "Mismatch")</f>
        <v>OK</v>
      </c>
    </row>
    <row r="294" spans="1:4" x14ac:dyDescent="0.3">
      <c r="A294" s="24" t="str">
        <f>IF(ABS(Table4[[#This Row],[Public_FT_employees]] + Table4[[#This Row],[Public_PT_employees]] - Table4[[#This Row],[Public_Tot_employees]]) &lt; 1, "OK", "Mismatch")</f>
        <v>Mismatch</v>
      </c>
      <c r="B294" s="24" t="str">
        <f>IF(ABS(Table4[[#This Row],[Private_FT_employees]] + Table4[[#This Row],[Private_PT_employees]] - Table4[[#This Row],[Private_Tot_employees]]) &lt; 1, "OK", "Mismatch")</f>
        <v>Mismatch</v>
      </c>
      <c r="C294" s="24" t="str">
        <f>IF(ABS(Table4[[#This Row],[Total_FT_Employees]] + Table4[[#This Row],[Total_PT_Employees]] - Table4[[#This Row],[Total_Tot_employees]]) &lt; 1, "OK", "Mismatch")</f>
        <v>Mismatch</v>
      </c>
      <c r="D294" s="24" t="str">
        <f>IF(ABS(Table4[[#This Row],[Public_Tot_employment]] + Table4[[#This Row],[Private_Tot_employment]] - Table4[[#This Row],[Total_Employment]]) &lt; 1, "OK", "Mismatch")</f>
        <v>OK</v>
      </c>
    </row>
    <row r="295" spans="1:4" x14ac:dyDescent="0.3">
      <c r="A295" s="24" t="str">
        <f>IF(ABS(Table4[[#This Row],[Public_FT_employees]] + Table4[[#This Row],[Public_PT_employees]] - Table4[[#This Row],[Public_Tot_employees]]) &lt; 1, "OK", "Mismatch")</f>
        <v>OK</v>
      </c>
      <c r="B295" s="24" t="str">
        <f>IF(ABS(Table4[[#This Row],[Private_FT_employees]] + Table4[[#This Row],[Private_PT_employees]] - Table4[[#This Row],[Private_Tot_employees]]) &lt; 1, "OK", "Mismatch")</f>
        <v>Mismatch</v>
      </c>
      <c r="C295" s="24" t="str">
        <f>IF(ABS(Table4[[#This Row],[Total_FT_Employees]] + Table4[[#This Row],[Total_PT_Employees]] - Table4[[#This Row],[Total_Tot_employees]]) &lt; 1, "OK", "Mismatch")</f>
        <v>Mismatch</v>
      </c>
      <c r="D295" s="24" t="str">
        <f>IF(ABS(Table4[[#This Row],[Public_Tot_employment]] + Table4[[#This Row],[Private_Tot_employment]] - Table4[[#This Row],[Total_Employment]]) &lt; 1, "OK", "Mismatch")</f>
        <v>OK</v>
      </c>
    </row>
    <row r="296" spans="1:4" x14ac:dyDescent="0.3">
      <c r="A296" s="24" t="str">
        <f>IF(ABS(Table4[[#This Row],[Public_FT_employees]] + Table4[[#This Row],[Public_PT_employees]] - Table4[[#This Row],[Public_Tot_employees]]) &lt; 1, "OK", "Mismatch")</f>
        <v>Mismatch</v>
      </c>
      <c r="B296" s="24" t="str">
        <f>IF(ABS(Table4[[#This Row],[Private_FT_employees]] + Table4[[#This Row],[Private_PT_employees]] - Table4[[#This Row],[Private_Tot_employees]]) &lt; 1, "OK", "Mismatch")</f>
        <v>OK</v>
      </c>
      <c r="C296" s="24" t="str">
        <f>IF(ABS(Table4[[#This Row],[Total_FT_Employees]] + Table4[[#This Row],[Total_PT_Employees]] - Table4[[#This Row],[Total_Tot_employees]]) &lt; 1, "OK", "Mismatch")</f>
        <v>OK</v>
      </c>
      <c r="D296" s="24" t="str">
        <f>IF(ABS(Table4[[#This Row],[Public_Tot_employment]] + Table4[[#This Row],[Private_Tot_employment]] - Table4[[#This Row],[Total_Employment]]) &lt; 1, "OK", "Mismatch")</f>
        <v>OK</v>
      </c>
    </row>
    <row r="297" spans="1:4" x14ac:dyDescent="0.3">
      <c r="A297" s="24" t="str">
        <f>IF(ABS(Table4[[#This Row],[Public_FT_employees]] + Table4[[#This Row],[Public_PT_employees]] - Table4[[#This Row],[Public_Tot_employees]]) &lt; 1, "OK", "Mismatch")</f>
        <v>OK</v>
      </c>
      <c r="B297" s="24" t="str">
        <f>IF(ABS(Table4[[#This Row],[Private_FT_employees]] + Table4[[#This Row],[Private_PT_employees]] - Table4[[#This Row],[Private_Tot_employees]]) &lt; 1, "OK", "Mismatch")</f>
        <v>Mismatch</v>
      </c>
      <c r="C297" s="24" t="str">
        <f>IF(ABS(Table4[[#This Row],[Total_FT_Employees]] + Table4[[#This Row],[Total_PT_Employees]] - Table4[[#This Row],[Total_Tot_employees]]) &lt; 1, "OK", "Mismatch")</f>
        <v>OK</v>
      </c>
      <c r="D297" s="24" t="str">
        <f>IF(ABS(Table4[[#This Row],[Public_Tot_employment]] + Table4[[#This Row],[Private_Tot_employment]] - Table4[[#This Row],[Total_Employment]]) &lt; 1, "OK", "Mismatch")</f>
        <v>Mismatch</v>
      </c>
    </row>
    <row r="298" spans="1:4" x14ac:dyDescent="0.3">
      <c r="A298" s="24" t="str">
        <f>IF(ABS(Table4[[#This Row],[Public_FT_employees]] + Table4[[#This Row],[Public_PT_employees]] - Table4[[#This Row],[Public_Tot_employees]]) &lt; 1, "OK", "Mismatch")</f>
        <v>OK</v>
      </c>
      <c r="B298" s="24" t="str">
        <f>IF(ABS(Table4[[#This Row],[Private_FT_employees]] + Table4[[#This Row],[Private_PT_employees]] - Table4[[#This Row],[Private_Tot_employees]]) &lt; 1, "OK", "Mismatch")</f>
        <v>OK</v>
      </c>
      <c r="C298" s="24" t="str">
        <f>IF(ABS(Table4[[#This Row],[Total_FT_Employees]] + Table4[[#This Row],[Total_PT_Employees]] - Table4[[#This Row],[Total_Tot_employees]]) &lt; 1, "OK", "Mismatch")</f>
        <v>OK</v>
      </c>
      <c r="D298" s="24" t="str">
        <f>IF(ABS(Table4[[#This Row],[Public_Tot_employment]] + Table4[[#This Row],[Private_Tot_employment]] - Table4[[#This Row],[Total_Employment]]) &lt; 1, "OK", "Mismatch")</f>
        <v>OK</v>
      </c>
    </row>
    <row r="299" spans="1:4" x14ac:dyDescent="0.3">
      <c r="A299" s="24" t="str">
        <f>IF(ABS(Table4[[#This Row],[Public_FT_employees]] + Table4[[#This Row],[Public_PT_employees]] - Table4[[#This Row],[Public_Tot_employees]]) &lt; 1, "OK", "Mismatch")</f>
        <v>OK</v>
      </c>
      <c r="B299" s="24" t="str">
        <f>IF(ABS(Table4[[#This Row],[Private_FT_employees]] + Table4[[#This Row],[Private_PT_employees]] - Table4[[#This Row],[Private_Tot_employees]]) &lt; 1, "OK", "Mismatch")</f>
        <v>OK</v>
      </c>
      <c r="C299" s="24" t="str">
        <f>IF(ABS(Table4[[#This Row],[Total_FT_Employees]] + Table4[[#This Row],[Total_PT_Employees]] - Table4[[#This Row],[Total_Tot_employees]]) &lt; 1, "OK", "Mismatch")</f>
        <v>Mismatch</v>
      </c>
      <c r="D299" s="24" t="str">
        <f>IF(ABS(Table4[[#This Row],[Public_Tot_employment]] + Table4[[#This Row],[Private_Tot_employment]] - Table4[[#This Row],[Total_Employment]]) &lt; 1, "OK", "Mismatch")</f>
        <v>OK</v>
      </c>
    </row>
    <row r="300" spans="1:4" x14ac:dyDescent="0.3">
      <c r="A300" s="24" t="str">
        <f>IF(ABS(Table4[[#This Row],[Public_FT_employees]] + Table4[[#This Row],[Public_PT_employees]] - Table4[[#This Row],[Public_Tot_employees]]) &lt; 1, "OK", "Mismatch")</f>
        <v>OK</v>
      </c>
      <c r="B300" s="24" t="str">
        <f>IF(ABS(Table4[[#This Row],[Private_FT_employees]] + Table4[[#This Row],[Private_PT_employees]] - Table4[[#This Row],[Private_Tot_employees]]) &lt; 1, "OK", "Mismatch")</f>
        <v>OK</v>
      </c>
      <c r="C300" s="24" t="str">
        <f>IF(ABS(Table4[[#This Row],[Total_FT_Employees]] + Table4[[#This Row],[Total_PT_Employees]] - Table4[[#This Row],[Total_Tot_employees]]) &lt; 1, "OK", "Mismatch")</f>
        <v>OK</v>
      </c>
      <c r="D300" s="24" t="str">
        <f>IF(ABS(Table4[[#This Row],[Public_Tot_employment]] + Table4[[#This Row],[Private_Tot_employment]] - Table4[[#This Row],[Total_Employment]]) &lt; 1, "OK", "Mismatch")</f>
        <v>OK</v>
      </c>
    </row>
    <row r="301" spans="1:4" x14ac:dyDescent="0.3">
      <c r="A301" s="24" t="str">
        <f>IF(ABS(Table4[[#This Row],[Public_FT_employees]] + Table4[[#This Row],[Public_PT_employees]] - Table4[[#This Row],[Public_Tot_employees]]) &lt; 1, "OK", "Mismatch")</f>
        <v>Mismatch</v>
      </c>
      <c r="B301" s="24" t="str">
        <f>IF(ABS(Table4[[#This Row],[Private_FT_employees]] + Table4[[#This Row],[Private_PT_employees]] - Table4[[#This Row],[Private_Tot_employees]]) &lt; 1, "OK", "Mismatch")</f>
        <v>Mismatch</v>
      </c>
      <c r="C301" s="24" t="str">
        <f>IF(ABS(Table4[[#This Row],[Total_FT_Employees]] + Table4[[#This Row],[Total_PT_Employees]] - Table4[[#This Row],[Total_Tot_employees]]) &lt; 1, "OK", "Mismatch")</f>
        <v>OK</v>
      </c>
      <c r="D301" s="24" t="str">
        <f>IF(ABS(Table4[[#This Row],[Public_Tot_employment]] + Table4[[#This Row],[Private_Tot_employment]] - Table4[[#This Row],[Total_Employment]]) &lt; 1, "OK", "Mismatch")</f>
        <v>OK</v>
      </c>
    </row>
    <row r="302" spans="1:4" x14ac:dyDescent="0.3">
      <c r="A302" s="24" t="str">
        <f>IF(ABS(Table4[[#This Row],[Public_FT_employees]] + Table4[[#This Row],[Public_PT_employees]] - Table4[[#This Row],[Public_Tot_employees]]) &lt; 1, "OK", "Mismatch")</f>
        <v>OK</v>
      </c>
      <c r="B302" s="24" t="str">
        <f>IF(ABS(Table4[[#This Row],[Private_FT_employees]] + Table4[[#This Row],[Private_PT_employees]] - Table4[[#This Row],[Private_Tot_employees]]) &lt; 1, "OK", "Mismatch")</f>
        <v>OK</v>
      </c>
      <c r="C302" s="24" t="str">
        <f>IF(ABS(Table4[[#This Row],[Total_FT_Employees]] + Table4[[#This Row],[Total_PT_Employees]] - Table4[[#This Row],[Total_Tot_employees]]) &lt; 1, "OK", "Mismatch")</f>
        <v>OK</v>
      </c>
      <c r="D302" s="24" t="str">
        <f>IF(ABS(Table4[[#This Row],[Public_Tot_employment]] + Table4[[#This Row],[Private_Tot_employment]] - Table4[[#This Row],[Total_Employment]]) &lt; 1, "OK", "Mismatch")</f>
        <v>OK</v>
      </c>
    </row>
    <row r="303" spans="1:4" x14ac:dyDescent="0.3">
      <c r="A303" s="24" t="str">
        <f>IF(ABS(Table4[[#This Row],[Public_FT_employees]] + Table4[[#This Row],[Public_PT_employees]] - Table4[[#This Row],[Public_Tot_employees]]) &lt; 1, "OK", "Mismatch")</f>
        <v>OK</v>
      </c>
      <c r="B303" s="24" t="str">
        <f>IF(ABS(Table4[[#This Row],[Private_FT_employees]] + Table4[[#This Row],[Private_PT_employees]] - Table4[[#This Row],[Private_Tot_employees]]) &lt; 1, "OK", "Mismatch")</f>
        <v>OK</v>
      </c>
      <c r="C303" s="24" t="str">
        <f>IF(ABS(Table4[[#This Row],[Total_FT_Employees]] + Table4[[#This Row],[Total_PT_Employees]] - Table4[[#This Row],[Total_Tot_employees]]) &lt; 1, "OK", "Mismatch")</f>
        <v>Mismatch</v>
      </c>
      <c r="D303" s="24" t="str">
        <f>IF(ABS(Table4[[#This Row],[Public_Tot_employment]] + Table4[[#This Row],[Private_Tot_employment]] - Table4[[#This Row],[Total_Employment]]) &lt; 1, "OK", "Mismatch")</f>
        <v>OK</v>
      </c>
    </row>
    <row r="304" spans="1:4" x14ac:dyDescent="0.3">
      <c r="A304" s="24" t="str">
        <f>IF(ABS(Table4[[#This Row],[Public_FT_employees]] + Table4[[#This Row],[Public_PT_employees]] - Table4[[#This Row],[Public_Tot_employees]]) &lt; 1, "OK", "Mismatch")</f>
        <v>OK</v>
      </c>
      <c r="B304" s="24" t="str">
        <f>IF(ABS(Table4[[#This Row],[Private_FT_employees]] + Table4[[#This Row],[Private_PT_employees]] - Table4[[#This Row],[Private_Tot_employees]]) &lt; 1, "OK", "Mismatch")</f>
        <v>OK</v>
      </c>
      <c r="C304" s="24" t="str">
        <f>IF(ABS(Table4[[#This Row],[Total_FT_Employees]] + Table4[[#This Row],[Total_PT_Employees]] - Table4[[#This Row],[Total_Tot_employees]]) &lt; 1, "OK", "Mismatch")</f>
        <v>OK</v>
      </c>
      <c r="D304" s="24" t="str">
        <f>IF(ABS(Table4[[#This Row],[Public_Tot_employment]] + Table4[[#This Row],[Private_Tot_employment]] - Table4[[#This Row],[Total_Employment]]) &lt; 1, "OK", "Mismatch")</f>
        <v>OK</v>
      </c>
    </row>
    <row r="305" spans="1:4" x14ac:dyDescent="0.3">
      <c r="A305" s="24" t="str">
        <f>IF(ABS(Table4[[#This Row],[Public_FT_employees]] + Table4[[#This Row],[Public_PT_employees]] - Table4[[#This Row],[Public_Tot_employees]]) &lt; 1, "OK", "Mismatch")</f>
        <v>Mismatch</v>
      </c>
      <c r="B305" s="24" t="str">
        <f>IF(ABS(Table4[[#This Row],[Private_FT_employees]] + Table4[[#This Row],[Private_PT_employees]] - Table4[[#This Row],[Private_Tot_employees]]) &lt; 1, "OK", "Mismatch")</f>
        <v>Mismatch</v>
      </c>
      <c r="C305" s="24" t="str">
        <f>IF(ABS(Table4[[#This Row],[Total_FT_Employees]] + Table4[[#This Row],[Total_PT_Employees]] - Table4[[#This Row],[Total_Tot_employees]]) &lt; 1, "OK", "Mismatch")</f>
        <v>OK</v>
      </c>
      <c r="D305" s="24" t="str">
        <f>IF(ABS(Table4[[#This Row],[Public_Tot_employment]] + Table4[[#This Row],[Private_Tot_employment]] - Table4[[#This Row],[Total_Employment]]) &lt; 1, "OK", "Mismatch")</f>
        <v>OK</v>
      </c>
    </row>
    <row r="306" spans="1:4" x14ac:dyDescent="0.3">
      <c r="A306" s="24" t="str">
        <f>IF(ABS(Table4[[#This Row],[Public_FT_employees]] + Table4[[#This Row],[Public_PT_employees]] - Table4[[#This Row],[Public_Tot_employees]]) &lt; 1, "OK", "Mismatch")</f>
        <v>OK</v>
      </c>
      <c r="B306" s="24" t="str">
        <f>IF(ABS(Table4[[#This Row],[Private_FT_employees]] + Table4[[#This Row],[Private_PT_employees]] - Table4[[#This Row],[Private_Tot_employees]]) &lt; 1, "OK", "Mismatch")</f>
        <v>OK</v>
      </c>
      <c r="C306" s="24" t="str">
        <f>IF(ABS(Table4[[#This Row],[Total_FT_Employees]] + Table4[[#This Row],[Total_PT_Employees]] - Table4[[#This Row],[Total_Tot_employees]]) &lt; 1, "OK", "Mismatch")</f>
        <v>OK</v>
      </c>
      <c r="D306" s="24" t="str">
        <f>IF(ABS(Table4[[#This Row],[Public_Tot_employment]] + Table4[[#This Row],[Private_Tot_employment]] - Table4[[#This Row],[Total_Employment]]) &lt; 1, "OK", "Mismatch")</f>
        <v>OK</v>
      </c>
    </row>
    <row r="307" spans="1:4" x14ac:dyDescent="0.3">
      <c r="A307" s="24" t="str">
        <f>IF(ABS(Table4[[#This Row],[Public_FT_employees]] + Table4[[#This Row],[Public_PT_employees]] - Table4[[#This Row],[Public_Tot_employees]]) &lt; 1, "OK", "Mismatch")</f>
        <v>OK</v>
      </c>
      <c r="B307" s="24" t="str">
        <f>IF(ABS(Table4[[#This Row],[Private_FT_employees]] + Table4[[#This Row],[Private_PT_employees]] - Table4[[#This Row],[Private_Tot_employees]]) &lt; 1, "OK", "Mismatch")</f>
        <v>Mismatch</v>
      </c>
      <c r="C307" s="24" t="str">
        <f>IF(ABS(Table4[[#This Row],[Total_FT_Employees]] + Table4[[#This Row],[Total_PT_Employees]] - Table4[[#This Row],[Total_Tot_employees]]) &lt; 1, "OK", "Mismatch")</f>
        <v>Mismatch</v>
      </c>
      <c r="D307" s="24" t="str">
        <f>IF(ABS(Table4[[#This Row],[Public_Tot_employment]] + Table4[[#This Row],[Private_Tot_employment]] - Table4[[#This Row],[Total_Employment]]) &lt; 1, "OK", "Mismatch")</f>
        <v>OK</v>
      </c>
    </row>
    <row r="308" spans="1:4" x14ac:dyDescent="0.3">
      <c r="A308" s="24" t="str">
        <f>IF(ABS(Table4[[#This Row],[Public_FT_employees]] + Table4[[#This Row],[Public_PT_employees]] - Table4[[#This Row],[Public_Tot_employees]]) &lt; 1, "OK", "Mismatch")</f>
        <v>OK</v>
      </c>
      <c r="B308" s="24" t="str">
        <f>IF(ABS(Table4[[#This Row],[Private_FT_employees]] + Table4[[#This Row],[Private_PT_employees]] - Table4[[#This Row],[Private_Tot_employees]]) &lt; 1, "OK", "Mismatch")</f>
        <v>OK</v>
      </c>
      <c r="C308" s="24" t="str">
        <f>IF(ABS(Table4[[#This Row],[Total_FT_Employees]] + Table4[[#This Row],[Total_PT_Employees]] - Table4[[#This Row],[Total_Tot_employees]]) &lt; 1, "OK", "Mismatch")</f>
        <v>OK</v>
      </c>
      <c r="D308" s="24" t="str">
        <f>IF(ABS(Table4[[#This Row],[Public_Tot_employment]] + Table4[[#This Row],[Private_Tot_employment]] - Table4[[#This Row],[Total_Employment]]) &lt; 1, "OK", "Mismatch")</f>
        <v>OK</v>
      </c>
    </row>
    <row r="309" spans="1:4" x14ac:dyDescent="0.3">
      <c r="A309" s="24" t="str">
        <f>IF(ABS(Table4[[#This Row],[Public_FT_employees]] + Table4[[#This Row],[Public_PT_employees]] - Table4[[#This Row],[Public_Tot_employees]]) &lt; 1, "OK", "Mismatch")</f>
        <v>OK</v>
      </c>
      <c r="B309" s="24" t="str">
        <f>IF(ABS(Table4[[#This Row],[Private_FT_employees]] + Table4[[#This Row],[Private_PT_employees]] - Table4[[#This Row],[Private_Tot_employees]]) &lt; 1, "OK", "Mismatch")</f>
        <v>OK</v>
      </c>
      <c r="C309" s="24" t="str">
        <f>IF(ABS(Table4[[#This Row],[Total_FT_Employees]] + Table4[[#This Row],[Total_PT_Employees]] - Table4[[#This Row],[Total_Tot_employees]]) &lt; 1, "OK", "Mismatch")</f>
        <v>OK</v>
      </c>
      <c r="D309" s="24" t="str">
        <f>IF(ABS(Table4[[#This Row],[Public_Tot_employment]] + Table4[[#This Row],[Private_Tot_employment]] - Table4[[#This Row],[Total_Employment]]) &lt; 1, "OK", "Mismatch")</f>
        <v>OK</v>
      </c>
    </row>
    <row r="310" spans="1:4" x14ac:dyDescent="0.3">
      <c r="A310" s="24" t="str">
        <f>IF(ABS(Table4[[#This Row],[Public_FT_employees]] + Table4[[#This Row],[Public_PT_employees]] - Table4[[#This Row],[Public_Tot_employees]]) &lt; 1, "OK", "Mismatch")</f>
        <v>OK</v>
      </c>
      <c r="B310" s="24" t="str">
        <f>IF(ABS(Table4[[#This Row],[Private_FT_employees]] + Table4[[#This Row],[Private_PT_employees]] - Table4[[#This Row],[Private_Tot_employees]]) &lt; 1, "OK", "Mismatch")</f>
        <v>OK</v>
      </c>
      <c r="C310" s="24" t="str">
        <f>IF(ABS(Table4[[#This Row],[Total_FT_Employees]] + Table4[[#This Row],[Total_PT_Employees]] - Table4[[#This Row],[Total_Tot_employees]]) &lt; 1, "OK", "Mismatch")</f>
        <v>OK</v>
      </c>
      <c r="D310" s="24" t="str">
        <f>IF(ABS(Table4[[#This Row],[Public_Tot_employment]] + Table4[[#This Row],[Private_Tot_employment]] - Table4[[#This Row],[Total_Employment]]) &lt; 1, "OK", "Mismatch")</f>
        <v>Mismatch</v>
      </c>
    </row>
    <row r="311" spans="1:4" x14ac:dyDescent="0.3">
      <c r="A311" s="24" t="str">
        <f>IF(ABS(Table4[[#This Row],[Public_FT_employees]] + Table4[[#This Row],[Public_PT_employees]] - Table4[[#This Row],[Public_Tot_employees]]) &lt; 1, "OK", "Mismatch")</f>
        <v>OK</v>
      </c>
      <c r="B311" s="24" t="str">
        <f>IF(ABS(Table4[[#This Row],[Private_FT_employees]] + Table4[[#This Row],[Private_PT_employees]] - Table4[[#This Row],[Private_Tot_employees]]) &lt; 1, "OK", "Mismatch")</f>
        <v>Mismatch</v>
      </c>
      <c r="C311" s="24" t="str">
        <f>IF(ABS(Table4[[#This Row],[Total_FT_Employees]] + Table4[[#This Row],[Total_PT_Employees]] - Table4[[#This Row],[Total_Tot_employees]]) &lt; 1, "OK", "Mismatch")</f>
        <v>OK</v>
      </c>
      <c r="D311" s="24" t="str">
        <f>IF(ABS(Table4[[#This Row],[Public_Tot_employment]] + Table4[[#This Row],[Private_Tot_employment]] - Table4[[#This Row],[Total_Employment]]) &lt; 1, "OK", "Mismatch")</f>
        <v>Mismatch</v>
      </c>
    </row>
    <row r="312" spans="1:4" x14ac:dyDescent="0.3">
      <c r="A312" s="24" t="str">
        <f>IF(ABS(Table4[[#This Row],[Public_FT_employees]] + Table4[[#This Row],[Public_PT_employees]] - Table4[[#This Row],[Public_Tot_employees]]) &lt; 1, "OK", "Mismatch")</f>
        <v>OK</v>
      </c>
      <c r="B312" s="24" t="str">
        <f>IF(ABS(Table4[[#This Row],[Private_FT_employees]] + Table4[[#This Row],[Private_PT_employees]] - Table4[[#This Row],[Private_Tot_employees]]) &lt; 1, "OK", "Mismatch")</f>
        <v>OK</v>
      </c>
      <c r="C312" s="24" t="str">
        <f>IF(ABS(Table4[[#This Row],[Total_FT_Employees]] + Table4[[#This Row],[Total_PT_Employees]] - Table4[[#This Row],[Total_Tot_employees]]) &lt; 1, "OK", "Mismatch")</f>
        <v>OK</v>
      </c>
      <c r="D312" s="24" t="str">
        <f>IF(ABS(Table4[[#This Row],[Public_Tot_employment]] + Table4[[#This Row],[Private_Tot_employment]] - Table4[[#This Row],[Total_Employment]]) &lt; 1, "OK", "Mismatch")</f>
        <v>OK</v>
      </c>
    </row>
    <row r="313" spans="1:4" x14ac:dyDescent="0.3">
      <c r="A313" s="24" t="str">
        <f>IF(ABS(Table4[[#This Row],[Public_FT_employees]] + Table4[[#This Row],[Public_PT_employees]] - Table4[[#This Row],[Public_Tot_employees]]) &lt; 1, "OK", "Mismatch")</f>
        <v>OK</v>
      </c>
      <c r="B313" s="24" t="str">
        <f>IF(ABS(Table4[[#This Row],[Private_FT_employees]] + Table4[[#This Row],[Private_PT_employees]] - Table4[[#This Row],[Private_Tot_employees]]) &lt; 1, "OK", "Mismatch")</f>
        <v>OK</v>
      </c>
      <c r="C313" s="24" t="str">
        <f>IF(ABS(Table4[[#This Row],[Total_FT_Employees]] + Table4[[#This Row],[Total_PT_Employees]] - Table4[[#This Row],[Total_Tot_employees]]) &lt; 1, "OK", "Mismatch")</f>
        <v>OK</v>
      </c>
      <c r="D313" s="24" t="str">
        <f>IF(ABS(Table4[[#This Row],[Public_Tot_employment]] + Table4[[#This Row],[Private_Tot_employment]] - Table4[[#This Row],[Total_Employment]]) &lt; 1, "OK", "Mismatch")</f>
        <v>Mismatch</v>
      </c>
    </row>
    <row r="314" spans="1:4" x14ac:dyDescent="0.3">
      <c r="A314" s="24" t="str">
        <f>IF(ABS(Table4[[#This Row],[Public_FT_employees]] + Table4[[#This Row],[Public_PT_employees]] - Table4[[#This Row],[Public_Tot_employees]]) &lt; 1, "OK", "Mismatch")</f>
        <v>OK</v>
      </c>
      <c r="B314" s="24" t="str">
        <f>IF(ABS(Table4[[#This Row],[Private_FT_employees]] + Table4[[#This Row],[Private_PT_employees]] - Table4[[#This Row],[Private_Tot_employees]]) &lt; 1, "OK", "Mismatch")</f>
        <v>OK</v>
      </c>
      <c r="C314" s="24" t="str">
        <f>IF(ABS(Table4[[#This Row],[Total_FT_Employees]] + Table4[[#This Row],[Total_PT_Employees]] - Table4[[#This Row],[Total_Tot_employees]]) &lt; 1, "OK", "Mismatch")</f>
        <v>OK</v>
      </c>
      <c r="D314" s="24" t="str">
        <f>IF(ABS(Table4[[#This Row],[Public_Tot_employment]] + Table4[[#This Row],[Private_Tot_employment]] - Table4[[#This Row],[Total_Employment]]) &lt; 1, "OK", "Mismatch")</f>
        <v>Mismatch</v>
      </c>
    </row>
    <row r="315" spans="1:4" x14ac:dyDescent="0.3">
      <c r="A315" s="24" t="str">
        <f>IF(ABS(Table4[[#This Row],[Public_FT_employees]] + Table4[[#This Row],[Public_PT_employees]] - Table4[[#This Row],[Public_Tot_employees]]) &lt; 1, "OK", "Mismatch")</f>
        <v>OK</v>
      </c>
      <c r="B315" s="24" t="str">
        <f>IF(ABS(Table4[[#This Row],[Private_FT_employees]] + Table4[[#This Row],[Private_PT_employees]] - Table4[[#This Row],[Private_Tot_employees]]) &lt; 1, "OK", "Mismatch")</f>
        <v>OK</v>
      </c>
      <c r="C315" s="24" t="str">
        <f>IF(ABS(Table4[[#This Row],[Total_FT_Employees]] + Table4[[#This Row],[Total_PT_Employees]] - Table4[[#This Row],[Total_Tot_employees]]) &lt; 1, "OK", "Mismatch")</f>
        <v>Mismatch</v>
      </c>
      <c r="D315" s="24" t="str">
        <f>IF(ABS(Table4[[#This Row],[Public_Tot_employment]] + Table4[[#This Row],[Private_Tot_employment]] - Table4[[#This Row],[Total_Employment]]) &lt; 1, "OK", "Mismatch")</f>
        <v>OK</v>
      </c>
    </row>
    <row r="316" spans="1:4" x14ac:dyDescent="0.3">
      <c r="A316" s="24" t="str">
        <f>IF(ABS(Table4[[#This Row],[Public_FT_employees]] + Table4[[#This Row],[Public_PT_employees]] - Table4[[#This Row],[Public_Tot_employees]]) &lt; 1, "OK", "Mismatch")</f>
        <v>Mismatch</v>
      </c>
      <c r="B316" s="24" t="str">
        <f>IF(ABS(Table4[[#This Row],[Private_FT_employees]] + Table4[[#This Row],[Private_PT_employees]] - Table4[[#This Row],[Private_Tot_employees]]) &lt; 1, "OK", "Mismatch")</f>
        <v>OK</v>
      </c>
      <c r="C316" s="24" t="str">
        <f>IF(ABS(Table4[[#This Row],[Total_FT_Employees]] + Table4[[#This Row],[Total_PT_Employees]] - Table4[[#This Row],[Total_Tot_employees]]) &lt; 1, "OK", "Mismatch")</f>
        <v>Mismatch</v>
      </c>
      <c r="D316" s="24" t="str">
        <f>IF(ABS(Table4[[#This Row],[Public_Tot_employment]] + Table4[[#This Row],[Private_Tot_employment]] - Table4[[#This Row],[Total_Employment]]) &lt; 1, "OK", "Mismatch")</f>
        <v>OK</v>
      </c>
    </row>
    <row r="317" spans="1:4" x14ac:dyDescent="0.3">
      <c r="A317" s="24" t="str">
        <f>IF(ABS(Table4[[#This Row],[Public_FT_employees]] + Table4[[#This Row],[Public_PT_employees]] - Table4[[#This Row],[Public_Tot_employees]]) &lt; 1, "OK", "Mismatch")</f>
        <v>Mismatch</v>
      </c>
      <c r="B317" s="24" t="str">
        <f>IF(ABS(Table4[[#This Row],[Private_FT_employees]] + Table4[[#This Row],[Private_PT_employees]] - Table4[[#This Row],[Private_Tot_employees]]) &lt; 1, "OK", "Mismatch")</f>
        <v>OK</v>
      </c>
      <c r="C317" s="24" t="str">
        <f>IF(ABS(Table4[[#This Row],[Total_FT_Employees]] + Table4[[#This Row],[Total_PT_Employees]] - Table4[[#This Row],[Total_Tot_employees]]) &lt; 1, "OK", "Mismatch")</f>
        <v>OK</v>
      </c>
      <c r="D317" s="24" t="str">
        <f>IF(ABS(Table4[[#This Row],[Public_Tot_employment]] + Table4[[#This Row],[Private_Tot_employment]] - Table4[[#This Row],[Total_Employment]]) &lt; 1, "OK", "Mismatch")</f>
        <v>OK</v>
      </c>
    </row>
    <row r="318" spans="1:4" x14ac:dyDescent="0.3">
      <c r="A318" s="24" t="str">
        <f>IF(ABS(Table4[[#This Row],[Public_FT_employees]] + Table4[[#This Row],[Public_PT_employees]] - Table4[[#This Row],[Public_Tot_employees]]) &lt; 1, "OK", "Mismatch")</f>
        <v>Mismatch</v>
      </c>
      <c r="B318" s="24" t="str">
        <f>IF(ABS(Table4[[#This Row],[Private_FT_employees]] + Table4[[#This Row],[Private_PT_employees]] - Table4[[#This Row],[Private_Tot_employees]]) &lt; 1, "OK", "Mismatch")</f>
        <v>OK</v>
      </c>
      <c r="C318" s="24" t="str">
        <f>IF(ABS(Table4[[#This Row],[Total_FT_Employees]] + Table4[[#This Row],[Total_PT_Employees]] - Table4[[#This Row],[Total_Tot_employees]]) &lt; 1, "OK", "Mismatch")</f>
        <v>OK</v>
      </c>
      <c r="D318" s="24" t="str">
        <f>IF(ABS(Table4[[#This Row],[Public_Tot_employment]] + Table4[[#This Row],[Private_Tot_employment]] - Table4[[#This Row],[Total_Employment]]) &lt; 1, "OK", "Mismatch")</f>
        <v>OK</v>
      </c>
    </row>
    <row r="319" spans="1:4" x14ac:dyDescent="0.3">
      <c r="A319" s="24" t="str">
        <f>IF(ABS(Table4[[#This Row],[Public_FT_employees]] + Table4[[#This Row],[Public_PT_employees]] - Table4[[#This Row],[Public_Tot_employees]]) &lt; 1, "OK", "Mismatch")</f>
        <v>OK</v>
      </c>
      <c r="B319" s="24" t="str">
        <f>IF(ABS(Table4[[#This Row],[Private_FT_employees]] + Table4[[#This Row],[Private_PT_employees]] - Table4[[#This Row],[Private_Tot_employees]]) &lt; 1, "OK", "Mismatch")</f>
        <v>OK</v>
      </c>
      <c r="C319" s="24" t="str">
        <f>IF(ABS(Table4[[#This Row],[Total_FT_Employees]] + Table4[[#This Row],[Total_PT_Employees]] - Table4[[#This Row],[Total_Tot_employees]]) &lt; 1, "OK", "Mismatch")</f>
        <v>OK</v>
      </c>
      <c r="D319" s="24" t="str">
        <f>IF(ABS(Table4[[#This Row],[Public_Tot_employment]] + Table4[[#This Row],[Private_Tot_employment]] - Table4[[#This Row],[Total_Employment]]) &lt; 1, "OK", "Mismatch")</f>
        <v>OK</v>
      </c>
    </row>
    <row r="320" spans="1:4" x14ac:dyDescent="0.3">
      <c r="A320" s="24" t="str">
        <f>IF(ABS(Table4[[#This Row],[Public_FT_employees]] + Table4[[#This Row],[Public_PT_employees]] - Table4[[#This Row],[Public_Tot_employees]]) &lt; 1, "OK", "Mismatch")</f>
        <v>Mismatch</v>
      </c>
      <c r="B320" s="24" t="str">
        <f>IF(ABS(Table4[[#This Row],[Private_FT_employees]] + Table4[[#This Row],[Private_PT_employees]] - Table4[[#This Row],[Private_Tot_employees]]) &lt; 1, "OK", "Mismatch")</f>
        <v>OK</v>
      </c>
      <c r="C320" s="24" t="str">
        <f>IF(ABS(Table4[[#This Row],[Total_FT_Employees]] + Table4[[#This Row],[Total_PT_Employees]] - Table4[[#This Row],[Total_Tot_employees]]) &lt; 1, "OK", "Mismatch")</f>
        <v>OK</v>
      </c>
      <c r="D320" s="24" t="str">
        <f>IF(ABS(Table4[[#This Row],[Public_Tot_employment]] + Table4[[#This Row],[Private_Tot_employment]] - Table4[[#This Row],[Total_Employment]]) &lt; 1, "OK", "Mismatch")</f>
        <v>OK</v>
      </c>
    </row>
    <row r="321" spans="1:4" x14ac:dyDescent="0.3">
      <c r="A321" s="24" t="str">
        <f>IF(ABS(Table4[[#This Row],[Public_FT_employees]] + Table4[[#This Row],[Public_PT_employees]] - Table4[[#This Row],[Public_Tot_employees]]) &lt; 1, "OK", "Mismatch")</f>
        <v>Mismatch</v>
      </c>
      <c r="B321" s="24" t="str">
        <f>IF(ABS(Table4[[#This Row],[Private_FT_employees]] + Table4[[#This Row],[Private_PT_employees]] - Table4[[#This Row],[Private_Tot_employees]]) &lt; 1, "OK", "Mismatch")</f>
        <v>OK</v>
      </c>
      <c r="C321" s="24" t="str">
        <f>IF(ABS(Table4[[#This Row],[Total_FT_Employees]] + Table4[[#This Row],[Total_PT_Employees]] - Table4[[#This Row],[Total_Tot_employees]]) &lt; 1, "OK", "Mismatch")</f>
        <v>Mismatch</v>
      </c>
      <c r="D321" s="24" t="str">
        <f>IF(ABS(Table4[[#This Row],[Public_Tot_employment]] + Table4[[#This Row],[Private_Tot_employment]] - Table4[[#This Row],[Total_Employment]]) &lt; 1, "OK", "Mismatch")</f>
        <v>OK</v>
      </c>
    </row>
    <row r="322" spans="1:4" x14ac:dyDescent="0.3">
      <c r="A322" s="24" t="str">
        <f>IF(ABS(Table4[[#This Row],[Public_FT_employees]] + Table4[[#This Row],[Public_PT_employees]] - Table4[[#This Row],[Public_Tot_employees]]) &lt; 1, "OK", "Mismatch")</f>
        <v>OK</v>
      </c>
      <c r="B322" s="24" t="str">
        <f>IF(ABS(Table4[[#This Row],[Private_FT_employees]] + Table4[[#This Row],[Private_PT_employees]] - Table4[[#This Row],[Private_Tot_employees]]) &lt; 1, "OK", "Mismatch")</f>
        <v>Mismatch</v>
      </c>
      <c r="C322" s="24" t="str">
        <f>IF(ABS(Table4[[#This Row],[Total_FT_Employees]] + Table4[[#This Row],[Total_PT_Employees]] - Table4[[#This Row],[Total_Tot_employees]]) &lt; 1, "OK", "Mismatch")</f>
        <v>Mismatch</v>
      </c>
      <c r="D322" s="24" t="str">
        <f>IF(ABS(Table4[[#This Row],[Public_Tot_employment]] + Table4[[#This Row],[Private_Tot_employment]] - Table4[[#This Row],[Total_Employment]]) &lt; 1, "OK", "Mismatch")</f>
        <v>OK</v>
      </c>
    </row>
    <row r="323" spans="1:4" x14ac:dyDescent="0.3">
      <c r="A323" s="24" t="str">
        <f>IF(ABS(Table4[[#This Row],[Public_FT_employees]] + Table4[[#This Row],[Public_PT_employees]] - Table4[[#This Row],[Public_Tot_employees]]) &lt; 1, "OK", "Mismatch")</f>
        <v>OK</v>
      </c>
      <c r="B323" s="24" t="str">
        <f>IF(ABS(Table4[[#This Row],[Private_FT_employees]] + Table4[[#This Row],[Private_PT_employees]] - Table4[[#This Row],[Private_Tot_employees]]) &lt; 1, "OK", "Mismatch")</f>
        <v>OK</v>
      </c>
      <c r="C323" s="24" t="str">
        <f>IF(ABS(Table4[[#This Row],[Total_FT_Employees]] + Table4[[#This Row],[Total_PT_Employees]] - Table4[[#This Row],[Total_Tot_employees]]) &lt; 1, "OK", "Mismatch")</f>
        <v>OK</v>
      </c>
      <c r="D323" s="24" t="str">
        <f>IF(ABS(Table4[[#This Row],[Public_Tot_employment]] + Table4[[#This Row],[Private_Tot_employment]] - Table4[[#This Row],[Total_Employment]]) &lt; 1, "OK", "Mismatch")</f>
        <v>OK</v>
      </c>
    </row>
    <row r="324" spans="1:4" x14ac:dyDescent="0.3">
      <c r="A324" s="24" t="str">
        <f>IF(ABS(Table4[[#This Row],[Public_FT_employees]] + Table4[[#This Row],[Public_PT_employees]] - Table4[[#This Row],[Public_Tot_employees]]) &lt; 1, "OK", "Mismatch")</f>
        <v>Mismatch</v>
      </c>
      <c r="B324" s="24" t="str">
        <f>IF(ABS(Table4[[#This Row],[Private_FT_employees]] + Table4[[#This Row],[Private_PT_employees]] - Table4[[#This Row],[Private_Tot_employees]]) &lt; 1, "OK", "Mismatch")</f>
        <v>Mismatch</v>
      </c>
      <c r="C324" s="24" t="str">
        <f>IF(ABS(Table4[[#This Row],[Total_FT_Employees]] + Table4[[#This Row],[Total_PT_Employees]] - Table4[[#This Row],[Total_Tot_employees]]) &lt; 1, "OK", "Mismatch")</f>
        <v>OK</v>
      </c>
      <c r="D324" s="24" t="str">
        <f>IF(ABS(Table4[[#This Row],[Public_Tot_employment]] + Table4[[#This Row],[Private_Tot_employment]] - Table4[[#This Row],[Total_Employment]]) &lt; 1, "OK", "Mismatch")</f>
        <v>OK</v>
      </c>
    </row>
    <row r="325" spans="1:4" x14ac:dyDescent="0.3">
      <c r="A325" s="24" t="str">
        <f>IF(ABS(Table4[[#This Row],[Public_FT_employees]] + Table4[[#This Row],[Public_PT_employees]] - Table4[[#This Row],[Public_Tot_employees]]) &lt; 1, "OK", "Mismatch")</f>
        <v>Mismatch</v>
      </c>
      <c r="B325" s="24" t="str">
        <f>IF(ABS(Table4[[#This Row],[Private_FT_employees]] + Table4[[#This Row],[Private_PT_employees]] - Table4[[#This Row],[Private_Tot_employees]]) &lt; 1, "OK", "Mismatch")</f>
        <v>OK</v>
      </c>
      <c r="C325" s="24" t="str">
        <f>IF(ABS(Table4[[#This Row],[Total_FT_Employees]] + Table4[[#This Row],[Total_PT_Employees]] - Table4[[#This Row],[Total_Tot_employees]]) &lt; 1, "OK", "Mismatch")</f>
        <v>OK</v>
      </c>
      <c r="D325" s="24" t="str">
        <f>IF(ABS(Table4[[#This Row],[Public_Tot_employment]] + Table4[[#This Row],[Private_Tot_employment]] - Table4[[#This Row],[Total_Employment]]) &lt; 1, "OK", "Mismatch")</f>
        <v>Mismatch</v>
      </c>
    </row>
    <row r="326" spans="1:4" x14ac:dyDescent="0.3">
      <c r="A326" s="24" t="str">
        <f>IF(ABS(Table4[[#This Row],[Public_FT_employees]] + Table4[[#This Row],[Public_PT_employees]] - Table4[[#This Row],[Public_Tot_employees]]) &lt; 1, "OK", "Mismatch")</f>
        <v>Mismatch</v>
      </c>
      <c r="B326" s="24" t="str">
        <f>IF(ABS(Table4[[#This Row],[Private_FT_employees]] + Table4[[#This Row],[Private_PT_employees]] - Table4[[#This Row],[Private_Tot_employees]]) &lt; 1, "OK", "Mismatch")</f>
        <v>Mismatch</v>
      </c>
      <c r="C326" s="24" t="str">
        <f>IF(ABS(Table4[[#This Row],[Total_FT_Employees]] + Table4[[#This Row],[Total_PT_Employees]] - Table4[[#This Row],[Total_Tot_employees]]) &lt; 1, "OK", "Mismatch")</f>
        <v>Mismatch</v>
      </c>
      <c r="D326" s="24" t="str">
        <f>IF(ABS(Table4[[#This Row],[Public_Tot_employment]] + Table4[[#This Row],[Private_Tot_employment]] - Table4[[#This Row],[Total_Employment]]) &lt; 1, "OK", "Mismatch")</f>
        <v>OK</v>
      </c>
    </row>
    <row r="327" spans="1:4" x14ac:dyDescent="0.3">
      <c r="A327" s="24" t="str">
        <f>IF(ABS(Table4[[#This Row],[Public_FT_employees]] + Table4[[#This Row],[Public_PT_employees]] - Table4[[#This Row],[Public_Tot_employees]]) &lt; 1, "OK", "Mismatch")</f>
        <v>OK</v>
      </c>
      <c r="B327" s="24" t="str">
        <f>IF(ABS(Table4[[#This Row],[Private_FT_employees]] + Table4[[#This Row],[Private_PT_employees]] - Table4[[#This Row],[Private_Tot_employees]]) &lt; 1, "OK", "Mismatch")</f>
        <v>Mismatch</v>
      </c>
      <c r="C327" s="24" t="str">
        <f>IF(ABS(Table4[[#This Row],[Total_FT_Employees]] + Table4[[#This Row],[Total_PT_Employees]] - Table4[[#This Row],[Total_Tot_employees]]) &lt; 1, "OK", "Mismatch")</f>
        <v>Mismatch</v>
      </c>
      <c r="D327" s="24" t="str">
        <f>IF(ABS(Table4[[#This Row],[Public_Tot_employment]] + Table4[[#This Row],[Private_Tot_employment]] - Table4[[#This Row],[Total_Employment]]) &lt; 1, "OK", "Mismatch")</f>
        <v>Mismatch</v>
      </c>
    </row>
    <row r="328" spans="1:4" x14ac:dyDescent="0.3">
      <c r="A328" s="24" t="str">
        <f>IF(ABS(Table4[[#This Row],[Public_FT_employees]] + Table4[[#This Row],[Public_PT_employees]] - Table4[[#This Row],[Public_Tot_employees]]) &lt; 1, "OK", "Mismatch")</f>
        <v>OK</v>
      </c>
      <c r="B328" s="24" t="str">
        <f>IF(ABS(Table4[[#This Row],[Private_FT_employees]] + Table4[[#This Row],[Private_PT_employees]] - Table4[[#This Row],[Private_Tot_employees]]) &lt; 1, "OK", "Mismatch")</f>
        <v>Mismatch</v>
      </c>
      <c r="C328" s="24" t="str">
        <f>IF(ABS(Table4[[#This Row],[Total_FT_Employees]] + Table4[[#This Row],[Total_PT_Employees]] - Table4[[#This Row],[Total_Tot_employees]]) &lt; 1, "OK", "Mismatch")</f>
        <v>Mismatch</v>
      </c>
      <c r="D328" s="24" t="str">
        <f>IF(ABS(Table4[[#This Row],[Public_Tot_employment]] + Table4[[#This Row],[Private_Tot_employment]] - Table4[[#This Row],[Total_Employment]]) &lt; 1, "OK", "Mismatch")</f>
        <v>OK</v>
      </c>
    </row>
    <row r="329" spans="1:4" x14ac:dyDescent="0.3">
      <c r="A329" s="24" t="str">
        <f>IF(ABS(Table4[[#This Row],[Public_FT_employees]] + Table4[[#This Row],[Public_PT_employees]] - Table4[[#This Row],[Public_Tot_employees]]) &lt; 1, "OK", "Mismatch")</f>
        <v>OK</v>
      </c>
      <c r="B329" s="24" t="str">
        <f>IF(ABS(Table4[[#This Row],[Private_FT_employees]] + Table4[[#This Row],[Private_PT_employees]] - Table4[[#This Row],[Private_Tot_employees]]) &lt; 1, "OK", "Mismatch")</f>
        <v>Mismatch</v>
      </c>
      <c r="C329" s="24" t="str">
        <f>IF(ABS(Table4[[#This Row],[Total_FT_Employees]] + Table4[[#This Row],[Total_PT_Employees]] - Table4[[#This Row],[Total_Tot_employees]]) &lt; 1, "OK", "Mismatch")</f>
        <v>Mismatch</v>
      </c>
      <c r="D329" s="24" t="str">
        <f>IF(ABS(Table4[[#This Row],[Public_Tot_employment]] + Table4[[#This Row],[Private_Tot_employment]] - Table4[[#This Row],[Total_Employment]]) &lt; 1, "OK", "Mismatch")</f>
        <v>OK</v>
      </c>
    </row>
    <row r="330" spans="1:4" x14ac:dyDescent="0.3">
      <c r="A330" s="24" t="str">
        <f>IF(ABS(Table4[[#This Row],[Public_FT_employees]] + Table4[[#This Row],[Public_PT_employees]] - Table4[[#This Row],[Public_Tot_employees]]) &lt; 1, "OK", "Mismatch")</f>
        <v>OK</v>
      </c>
      <c r="B330" s="24" t="str">
        <f>IF(ABS(Table4[[#This Row],[Private_FT_employees]] + Table4[[#This Row],[Private_PT_employees]] - Table4[[#This Row],[Private_Tot_employees]]) &lt; 1, "OK", "Mismatch")</f>
        <v>Mismatch</v>
      </c>
      <c r="C330" s="24" t="str">
        <f>IF(ABS(Table4[[#This Row],[Total_FT_Employees]] + Table4[[#This Row],[Total_PT_Employees]] - Table4[[#This Row],[Total_Tot_employees]]) &lt; 1, "OK", "Mismatch")</f>
        <v>Mismatch</v>
      </c>
      <c r="D330" s="24" t="str">
        <f>IF(ABS(Table4[[#This Row],[Public_Tot_employment]] + Table4[[#This Row],[Private_Tot_employment]] - Table4[[#This Row],[Total_Employment]]) &lt; 1, "OK", "Mismatch")</f>
        <v>OK</v>
      </c>
    </row>
    <row r="331" spans="1:4" x14ac:dyDescent="0.3">
      <c r="A331" s="24" t="str">
        <f>IF(ABS(Table4[[#This Row],[Public_FT_employees]] + Table4[[#This Row],[Public_PT_employees]] - Table4[[#This Row],[Public_Tot_employees]]) &lt; 1, "OK", "Mismatch")</f>
        <v>Mismatch</v>
      </c>
      <c r="B331" s="24" t="str">
        <f>IF(ABS(Table4[[#This Row],[Private_FT_employees]] + Table4[[#This Row],[Private_PT_employees]] - Table4[[#This Row],[Private_Tot_employees]]) &lt; 1, "OK", "Mismatch")</f>
        <v>Mismatch</v>
      </c>
      <c r="C331" s="24" t="str">
        <f>IF(ABS(Table4[[#This Row],[Total_FT_Employees]] + Table4[[#This Row],[Total_PT_Employees]] - Table4[[#This Row],[Total_Tot_employees]]) &lt; 1, "OK", "Mismatch")</f>
        <v>Mismatch</v>
      </c>
      <c r="D331" s="24" t="str">
        <f>IF(ABS(Table4[[#This Row],[Public_Tot_employment]] + Table4[[#This Row],[Private_Tot_employment]] - Table4[[#This Row],[Total_Employment]]) &lt; 1, "OK", "Mismatch")</f>
        <v>Mismatch</v>
      </c>
    </row>
    <row r="332" spans="1:4" x14ac:dyDescent="0.3">
      <c r="A332" s="24" t="str">
        <f>IF(ABS(Table4[[#This Row],[Public_FT_employees]] + Table4[[#This Row],[Public_PT_employees]] - Table4[[#This Row],[Public_Tot_employees]]) &lt; 1, "OK", "Mismatch")</f>
        <v>OK</v>
      </c>
      <c r="B332" s="24" t="str">
        <f>IF(ABS(Table4[[#This Row],[Private_FT_employees]] + Table4[[#This Row],[Private_PT_employees]] - Table4[[#This Row],[Private_Tot_employees]]) &lt; 1, "OK", "Mismatch")</f>
        <v>Mismatch</v>
      </c>
      <c r="C332" s="24" t="str">
        <f>IF(ABS(Table4[[#This Row],[Total_FT_Employees]] + Table4[[#This Row],[Total_PT_Employees]] - Table4[[#This Row],[Total_Tot_employees]]) &lt; 1, "OK", "Mismatch")</f>
        <v>OK</v>
      </c>
      <c r="D332" s="24" t="str">
        <f>IF(ABS(Table4[[#This Row],[Public_Tot_employment]] + Table4[[#This Row],[Private_Tot_employment]] - Table4[[#This Row],[Total_Employment]]) &lt; 1, "OK", "Mismatch")</f>
        <v>OK</v>
      </c>
    </row>
    <row r="333" spans="1:4" x14ac:dyDescent="0.3">
      <c r="A333" s="24" t="str">
        <f>IF(ABS(Table4[[#This Row],[Public_FT_employees]] + Table4[[#This Row],[Public_PT_employees]] - Table4[[#This Row],[Public_Tot_employees]]) &lt; 1, "OK", "Mismatch")</f>
        <v>OK</v>
      </c>
      <c r="B333" s="24" t="str">
        <f>IF(ABS(Table4[[#This Row],[Private_FT_employees]] + Table4[[#This Row],[Private_PT_employees]] - Table4[[#This Row],[Private_Tot_employees]]) &lt; 1, "OK", "Mismatch")</f>
        <v>OK</v>
      </c>
      <c r="C333" s="24" t="str">
        <f>IF(ABS(Table4[[#This Row],[Total_FT_Employees]] + Table4[[#This Row],[Total_PT_Employees]] - Table4[[#This Row],[Total_Tot_employees]]) &lt; 1, "OK", "Mismatch")</f>
        <v>OK</v>
      </c>
      <c r="D333" s="24" t="str">
        <f>IF(ABS(Table4[[#This Row],[Public_Tot_employment]] + Table4[[#This Row],[Private_Tot_employment]] - Table4[[#This Row],[Total_Employment]]) &lt; 1, "OK", "Mismatch")</f>
        <v>Mismatch</v>
      </c>
    </row>
    <row r="334" spans="1:4" x14ac:dyDescent="0.3">
      <c r="A334" s="24" t="str">
        <f>IF(ABS(Table4[[#This Row],[Public_FT_employees]] + Table4[[#This Row],[Public_PT_employees]] - Table4[[#This Row],[Public_Tot_employees]]) &lt; 1, "OK", "Mismatch")</f>
        <v>OK</v>
      </c>
      <c r="B334" s="24" t="str">
        <f>IF(ABS(Table4[[#This Row],[Private_FT_employees]] + Table4[[#This Row],[Private_PT_employees]] - Table4[[#This Row],[Private_Tot_employees]]) &lt; 1, "OK", "Mismatch")</f>
        <v>OK</v>
      </c>
      <c r="C334" s="24" t="str">
        <f>IF(ABS(Table4[[#This Row],[Total_FT_Employees]] + Table4[[#This Row],[Total_PT_Employees]] - Table4[[#This Row],[Total_Tot_employees]]) &lt; 1, "OK", "Mismatch")</f>
        <v>OK</v>
      </c>
      <c r="D334" s="24" t="str">
        <f>IF(ABS(Table4[[#This Row],[Public_Tot_employment]] + Table4[[#This Row],[Private_Tot_employment]] - Table4[[#This Row],[Total_Employment]]) &lt; 1, "OK", "Mismatch")</f>
        <v>OK</v>
      </c>
    </row>
    <row r="335" spans="1:4" x14ac:dyDescent="0.3">
      <c r="A335" s="24" t="str">
        <f>IF(ABS(Table4[[#This Row],[Public_FT_employees]] + Table4[[#This Row],[Public_PT_employees]] - Table4[[#This Row],[Public_Tot_employees]]) &lt; 1, "OK", "Mismatch")</f>
        <v>OK</v>
      </c>
      <c r="B335" s="24" t="str">
        <f>IF(ABS(Table4[[#This Row],[Private_FT_employees]] + Table4[[#This Row],[Private_PT_employees]] - Table4[[#This Row],[Private_Tot_employees]]) &lt; 1, "OK", "Mismatch")</f>
        <v>OK</v>
      </c>
      <c r="C335" s="24" t="str">
        <f>IF(ABS(Table4[[#This Row],[Total_FT_Employees]] + Table4[[#This Row],[Total_PT_Employees]] - Table4[[#This Row],[Total_Tot_employees]]) &lt; 1, "OK", "Mismatch")</f>
        <v>OK</v>
      </c>
      <c r="D335" s="24" t="str">
        <f>IF(ABS(Table4[[#This Row],[Public_Tot_employment]] + Table4[[#This Row],[Private_Tot_employment]] - Table4[[#This Row],[Total_Employment]]) &lt; 1, "OK", "Mismatch")</f>
        <v>OK</v>
      </c>
    </row>
    <row r="336" spans="1:4" x14ac:dyDescent="0.3">
      <c r="A336" s="24" t="str">
        <f>IF(ABS(Table4[[#This Row],[Public_FT_employees]] + Table4[[#This Row],[Public_PT_employees]] - Table4[[#This Row],[Public_Tot_employees]]) &lt; 1, "OK", "Mismatch")</f>
        <v>OK</v>
      </c>
      <c r="B336" s="24" t="str">
        <f>IF(ABS(Table4[[#This Row],[Private_FT_employees]] + Table4[[#This Row],[Private_PT_employees]] - Table4[[#This Row],[Private_Tot_employees]]) &lt; 1, "OK", "Mismatch")</f>
        <v>OK</v>
      </c>
      <c r="C336" s="24" t="str">
        <f>IF(ABS(Table4[[#This Row],[Total_FT_Employees]] + Table4[[#This Row],[Total_PT_Employees]] - Table4[[#This Row],[Total_Tot_employees]]) &lt; 1, "OK", "Mismatch")</f>
        <v>Mismatch</v>
      </c>
      <c r="D336" s="24" t="str">
        <f>IF(ABS(Table4[[#This Row],[Public_Tot_employment]] + Table4[[#This Row],[Private_Tot_employment]] - Table4[[#This Row],[Total_Employment]]) &lt; 1, "OK", "Mismatch")</f>
        <v>OK</v>
      </c>
    </row>
    <row r="337" spans="1:4" x14ac:dyDescent="0.3">
      <c r="A337" s="24" t="str">
        <f>IF(ABS(Table4[[#This Row],[Public_FT_employees]] + Table4[[#This Row],[Public_PT_employees]] - Table4[[#This Row],[Public_Tot_employees]]) &lt; 1, "OK", "Mismatch")</f>
        <v>OK</v>
      </c>
      <c r="B337" s="24" t="str">
        <f>IF(ABS(Table4[[#This Row],[Private_FT_employees]] + Table4[[#This Row],[Private_PT_employees]] - Table4[[#This Row],[Private_Tot_employees]]) &lt; 1, "OK", "Mismatch")</f>
        <v>Mismatch</v>
      </c>
      <c r="C337" s="24" t="str">
        <f>IF(ABS(Table4[[#This Row],[Total_FT_Employees]] + Table4[[#This Row],[Total_PT_Employees]] - Table4[[#This Row],[Total_Tot_employees]]) &lt; 1, "OK", "Mismatch")</f>
        <v>Mismatch</v>
      </c>
      <c r="D337" s="24" t="str">
        <f>IF(ABS(Table4[[#This Row],[Public_Tot_employment]] + Table4[[#This Row],[Private_Tot_employment]] - Table4[[#This Row],[Total_Employment]]) &lt; 1, "OK", "Mismatch")</f>
        <v>OK</v>
      </c>
    </row>
    <row r="338" spans="1:4" x14ac:dyDescent="0.3">
      <c r="A338" s="24" t="str">
        <f>IF(ABS(Table4[[#This Row],[Public_FT_employees]] + Table4[[#This Row],[Public_PT_employees]] - Table4[[#This Row],[Public_Tot_employees]]) &lt; 1, "OK", "Mismatch")</f>
        <v>Mismatch</v>
      </c>
      <c r="B338" s="24" t="str">
        <f>IF(ABS(Table4[[#This Row],[Private_FT_employees]] + Table4[[#This Row],[Private_PT_employees]] - Table4[[#This Row],[Private_Tot_employees]]) &lt; 1, "OK", "Mismatch")</f>
        <v>Mismatch</v>
      </c>
      <c r="C338" s="24" t="str">
        <f>IF(ABS(Table4[[#This Row],[Total_FT_Employees]] + Table4[[#This Row],[Total_PT_Employees]] - Table4[[#This Row],[Total_Tot_employees]]) &lt; 1, "OK", "Mismatch")</f>
        <v>Mismatch</v>
      </c>
      <c r="D338" s="24" t="str">
        <f>IF(ABS(Table4[[#This Row],[Public_Tot_employment]] + Table4[[#This Row],[Private_Tot_employment]] - Table4[[#This Row],[Total_Employment]]) &lt; 1, "OK", "Mismatch")</f>
        <v>Mismatch</v>
      </c>
    </row>
    <row r="339" spans="1:4" x14ac:dyDescent="0.3">
      <c r="A339" s="24" t="str">
        <f>IF(ABS(Table4[[#This Row],[Public_FT_employees]] + Table4[[#This Row],[Public_PT_employees]] - Table4[[#This Row],[Public_Tot_employees]]) &lt; 1, "OK", "Mismatch")</f>
        <v>Mismatch</v>
      </c>
      <c r="B339" s="24" t="str">
        <f>IF(ABS(Table4[[#This Row],[Private_FT_employees]] + Table4[[#This Row],[Private_PT_employees]] - Table4[[#This Row],[Private_Tot_employees]]) &lt; 1, "OK", "Mismatch")</f>
        <v>OK</v>
      </c>
      <c r="C339" s="24" t="str">
        <f>IF(ABS(Table4[[#This Row],[Total_FT_Employees]] + Table4[[#This Row],[Total_PT_Employees]] - Table4[[#This Row],[Total_Tot_employees]]) &lt; 1, "OK", "Mismatch")</f>
        <v>Mismatch</v>
      </c>
      <c r="D339" s="24" t="str">
        <f>IF(ABS(Table4[[#This Row],[Public_Tot_employment]] + Table4[[#This Row],[Private_Tot_employment]] - Table4[[#This Row],[Total_Employment]]) &lt; 1, "OK", "Mismatch")</f>
        <v>OK</v>
      </c>
    </row>
    <row r="340" spans="1:4" x14ac:dyDescent="0.3">
      <c r="A340" s="24" t="str">
        <f>IF(ABS(Table4[[#This Row],[Public_FT_employees]] + Table4[[#This Row],[Public_PT_employees]] - Table4[[#This Row],[Public_Tot_employees]]) &lt; 1, "OK", "Mismatch")</f>
        <v>OK</v>
      </c>
      <c r="B340" s="24" t="str">
        <f>IF(ABS(Table4[[#This Row],[Private_FT_employees]] + Table4[[#This Row],[Private_PT_employees]] - Table4[[#This Row],[Private_Tot_employees]]) &lt; 1, "OK", "Mismatch")</f>
        <v>OK</v>
      </c>
      <c r="C340" s="24" t="str">
        <f>IF(ABS(Table4[[#This Row],[Total_FT_Employees]] + Table4[[#This Row],[Total_PT_Employees]] - Table4[[#This Row],[Total_Tot_employees]]) &lt; 1, "OK", "Mismatch")</f>
        <v>OK</v>
      </c>
      <c r="D340" s="24" t="str">
        <f>IF(ABS(Table4[[#This Row],[Public_Tot_employment]] + Table4[[#This Row],[Private_Tot_employment]] - Table4[[#This Row],[Total_Employment]]) &lt; 1, "OK", "Mismatch")</f>
        <v>OK</v>
      </c>
    </row>
    <row r="341" spans="1:4" x14ac:dyDescent="0.3">
      <c r="A341" s="24" t="str">
        <f>IF(ABS(Table4[[#This Row],[Public_FT_employees]] + Table4[[#This Row],[Public_PT_employees]] - Table4[[#This Row],[Public_Tot_employees]]) &lt; 1, "OK", "Mismatch")</f>
        <v>Mismatch</v>
      </c>
      <c r="B341" s="24" t="str">
        <f>IF(ABS(Table4[[#This Row],[Private_FT_employees]] + Table4[[#This Row],[Private_PT_employees]] - Table4[[#This Row],[Private_Tot_employees]]) &lt; 1, "OK", "Mismatch")</f>
        <v>OK</v>
      </c>
      <c r="C341" s="24" t="str">
        <f>IF(ABS(Table4[[#This Row],[Total_FT_Employees]] + Table4[[#This Row],[Total_PT_Employees]] - Table4[[#This Row],[Total_Tot_employees]]) &lt; 1, "OK", "Mismatch")</f>
        <v>Mismatch</v>
      </c>
      <c r="D341" s="24" t="str">
        <f>IF(ABS(Table4[[#This Row],[Public_Tot_employment]] + Table4[[#This Row],[Private_Tot_employment]] - Table4[[#This Row],[Total_Employment]]) &lt; 1, "OK", "Mismatch")</f>
        <v>OK</v>
      </c>
    </row>
    <row r="342" spans="1:4" x14ac:dyDescent="0.3">
      <c r="A342" s="24" t="str">
        <f>IF(ABS(Table4[[#This Row],[Public_FT_employees]] + Table4[[#This Row],[Public_PT_employees]] - Table4[[#This Row],[Public_Tot_employees]]) &lt; 1, "OK", "Mismatch")</f>
        <v>OK</v>
      </c>
      <c r="B342" s="24" t="str">
        <f>IF(ABS(Table4[[#This Row],[Private_FT_employees]] + Table4[[#This Row],[Private_PT_employees]] - Table4[[#This Row],[Private_Tot_employees]]) &lt; 1, "OK", "Mismatch")</f>
        <v>OK</v>
      </c>
      <c r="C342" s="24" t="str">
        <f>IF(ABS(Table4[[#This Row],[Total_FT_Employees]] + Table4[[#This Row],[Total_PT_Employees]] - Table4[[#This Row],[Total_Tot_employees]]) &lt; 1, "OK", "Mismatch")</f>
        <v>OK</v>
      </c>
      <c r="D342" s="24" t="str">
        <f>IF(ABS(Table4[[#This Row],[Public_Tot_employment]] + Table4[[#This Row],[Private_Tot_employment]] - Table4[[#This Row],[Total_Employment]]) &lt; 1, "OK", "Mismatch")</f>
        <v>OK</v>
      </c>
    </row>
    <row r="343" spans="1:4" x14ac:dyDescent="0.3">
      <c r="A343" s="24" t="str">
        <f>IF(ABS(Table4[[#This Row],[Public_FT_employees]] + Table4[[#This Row],[Public_PT_employees]] - Table4[[#This Row],[Public_Tot_employees]]) &lt; 1, "OK", "Mismatch")</f>
        <v>OK</v>
      </c>
      <c r="B343" s="24" t="str">
        <f>IF(ABS(Table4[[#This Row],[Private_FT_employees]] + Table4[[#This Row],[Private_PT_employees]] - Table4[[#This Row],[Private_Tot_employees]]) &lt; 1, "OK", "Mismatch")</f>
        <v>Mismatch</v>
      </c>
      <c r="C343" s="24" t="str">
        <f>IF(ABS(Table4[[#This Row],[Total_FT_Employees]] + Table4[[#This Row],[Total_PT_Employees]] - Table4[[#This Row],[Total_Tot_employees]]) &lt; 1, "OK", "Mismatch")</f>
        <v>OK</v>
      </c>
      <c r="D343" s="24" t="str">
        <f>IF(ABS(Table4[[#This Row],[Public_Tot_employment]] + Table4[[#This Row],[Private_Tot_employment]] - Table4[[#This Row],[Total_Employment]]) &lt; 1, "OK", "Mismatch")</f>
        <v>Mismatch</v>
      </c>
    </row>
    <row r="344" spans="1:4" x14ac:dyDescent="0.3">
      <c r="A344" s="24" t="str">
        <f>IF(ABS(Table4[[#This Row],[Public_FT_employees]] + Table4[[#This Row],[Public_PT_employees]] - Table4[[#This Row],[Public_Tot_employees]]) &lt; 1, "OK", "Mismatch")</f>
        <v>OK</v>
      </c>
      <c r="B344" s="24" t="str">
        <f>IF(ABS(Table4[[#This Row],[Private_FT_employees]] + Table4[[#This Row],[Private_PT_employees]] - Table4[[#This Row],[Private_Tot_employees]]) &lt; 1, "OK", "Mismatch")</f>
        <v>Mismatch</v>
      </c>
      <c r="C344" s="24" t="str">
        <f>IF(ABS(Table4[[#This Row],[Total_FT_Employees]] + Table4[[#This Row],[Total_PT_Employees]] - Table4[[#This Row],[Total_Tot_employees]]) &lt; 1, "OK", "Mismatch")</f>
        <v>OK</v>
      </c>
      <c r="D344" s="24" t="str">
        <f>IF(ABS(Table4[[#This Row],[Public_Tot_employment]] + Table4[[#This Row],[Private_Tot_employment]] - Table4[[#This Row],[Total_Employment]]) &lt; 1, "OK", "Mismatch")</f>
        <v>Mismatch</v>
      </c>
    </row>
    <row r="345" spans="1:4" x14ac:dyDescent="0.3">
      <c r="A345" s="24" t="str">
        <f>IF(ABS(Table4[[#This Row],[Public_FT_employees]] + Table4[[#This Row],[Public_PT_employees]] - Table4[[#This Row],[Public_Tot_employees]]) &lt; 1, "OK", "Mismatch")</f>
        <v>OK</v>
      </c>
      <c r="B345" s="24" t="str">
        <f>IF(ABS(Table4[[#This Row],[Private_FT_employees]] + Table4[[#This Row],[Private_PT_employees]] - Table4[[#This Row],[Private_Tot_employees]]) &lt; 1, "OK", "Mismatch")</f>
        <v>Mismatch</v>
      </c>
      <c r="C345" s="24" t="str">
        <f>IF(ABS(Table4[[#This Row],[Total_FT_Employees]] + Table4[[#This Row],[Total_PT_Employees]] - Table4[[#This Row],[Total_Tot_employees]]) &lt; 1, "OK", "Mismatch")</f>
        <v>OK</v>
      </c>
      <c r="D345" s="24" t="str">
        <f>IF(ABS(Table4[[#This Row],[Public_Tot_employment]] + Table4[[#This Row],[Private_Tot_employment]] - Table4[[#This Row],[Total_Employment]]) &lt; 1, "OK", "Mismatch")</f>
        <v>Mismatch</v>
      </c>
    </row>
    <row r="346" spans="1:4" x14ac:dyDescent="0.3">
      <c r="A346" s="24" t="str">
        <f>IF(ABS(Table4[[#This Row],[Public_FT_employees]] + Table4[[#This Row],[Public_PT_employees]] - Table4[[#This Row],[Public_Tot_employees]]) &lt; 1, "OK", "Mismatch")</f>
        <v>OK</v>
      </c>
      <c r="B346" s="24" t="str">
        <f>IF(ABS(Table4[[#This Row],[Private_FT_employees]] + Table4[[#This Row],[Private_PT_employees]] - Table4[[#This Row],[Private_Tot_employees]]) &lt; 1, "OK", "Mismatch")</f>
        <v>OK</v>
      </c>
      <c r="C346" s="24" t="str">
        <f>IF(ABS(Table4[[#This Row],[Total_FT_Employees]] + Table4[[#This Row],[Total_PT_Employees]] - Table4[[#This Row],[Total_Tot_employees]]) &lt; 1, "OK", "Mismatch")</f>
        <v>OK</v>
      </c>
      <c r="D346" s="24" t="str">
        <f>IF(ABS(Table4[[#This Row],[Public_Tot_employment]] + Table4[[#This Row],[Private_Tot_employment]] - Table4[[#This Row],[Total_Employment]]) &lt; 1, "OK", "Mismatch")</f>
        <v>OK</v>
      </c>
    </row>
    <row r="347" spans="1:4" x14ac:dyDescent="0.3">
      <c r="A347" s="24" t="str">
        <f>IF(ABS(Table4[[#This Row],[Public_FT_employees]] + Table4[[#This Row],[Public_PT_employees]] - Table4[[#This Row],[Public_Tot_employees]]) &lt; 1, "OK", "Mismatch")</f>
        <v>OK</v>
      </c>
      <c r="B347" s="24" t="str">
        <f>IF(ABS(Table4[[#This Row],[Private_FT_employees]] + Table4[[#This Row],[Private_PT_employees]] - Table4[[#This Row],[Private_Tot_employees]]) &lt; 1, "OK", "Mismatch")</f>
        <v>OK</v>
      </c>
      <c r="C347" s="24" t="str">
        <f>IF(ABS(Table4[[#This Row],[Total_FT_Employees]] + Table4[[#This Row],[Total_PT_Employees]] - Table4[[#This Row],[Total_Tot_employees]]) &lt; 1, "OK", "Mismatch")</f>
        <v>OK</v>
      </c>
      <c r="D347" s="24" t="str">
        <f>IF(ABS(Table4[[#This Row],[Public_Tot_employment]] + Table4[[#This Row],[Private_Tot_employment]] - Table4[[#This Row],[Total_Employment]]) &lt; 1, "OK", "Mismatch")</f>
        <v>Mismatch</v>
      </c>
    </row>
    <row r="348" spans="1:4" x14ac:dyDescent="0.3">
      <c r="A348" s="24" t="str">
        <f>IF(ABS(Table4[[#This Row],[Public_FT_employees]] + Table4[[#This Row],[Public_PT_employees]] - Table4[[#This Row],[Public_Tot_employees]]) &lt; 1, "OK", "Mismatch")</f>
        <v>Mismatch</v>
      </c>
      <c r="B348" s="24" t="str">
        <f>IF(ABS(Table4[[#This Row],[Private_FT_employees]] + Table4[[#This Row],[Private_PT_employees]] - Table4[[#This Row],[Private_Tot_employees]]) &lt; 1, "OK", "Mismatch")</f>
        <v>OK</v>
      </c>
      <c r="C348" s="24" t="str">
        <f>IF(ABS(Table4[[#This Row],[Total_FT_Employees]] + Table4[[#This Row],[Total_PT_Employees]] - Table4[[#This Row],[Total_Tot_employees]]) &lt; 1, "OK", "Mismatch")</f>
        <v>OK</v>
      </c>
      <c r="D348" s="24" t="str">
        <f>IF(ABS(Table4[[#This Row],[Public_Tot_employment]] + Table4[[#This Row],[Private_Tot_employment]] - Table4[[#This Row],[Total_Employment]]) &lt; 1, "OK", "Mismatch")</f>
        <v>OK</v>
      </c>
    </row>
    <row r="349" spans="1:4" x14ac:dyDescent="0.3">
      <c r="A349" s="24" t="str">
        <f>IF(ABS(Table4[[#This Row],[Public_FT_employees]] + Table4[[#This Row],[Public_PT_employees]] - Table4[[#This Row],[Public_Tot_employees]]) &lt; 1, "OK", "Mismatch")</f>
        <v>OK</v>
      </c>
      <c r="B349" s="24" t="str">
        <f>IF(ABS(Table4[[#This Row],[Private_FT_employees]] + Table4[[#This Row],[Private_PT_employees]] - Table4[[#This Row],[Private_Tot_employees]]) &lt; 1, "OK", "Mismatch")</f>
        <v>OK</v>
      </c>
      <c r="C349" s="24" t="str">
        <f>IF(ABS(Table4[[#This Row],[Total_FT_Employees]] + Table4[[#This Row],[Total_PT_Employees]] - Table4[[#This Row],[Total_Tot_employees]]) &lt; 1, "OK", "Mismatch")</f>
        <v>OK</v>
      </c>
      <c r="D349" s="24" t="str">
        <f>IF(ABS(Table4[[#This Row],[Public_Tot_employment]] + Table4[[#This Row],[Private_Tot_employment]] - Table4[[#This Row],[Total_Employment]]) &lt; 1, "OK", "Mismatch")</f>
        <v>OK</v>
      </c>
    </row>
    <row r="350" spans="1:4" x14ac:dyDescent="0.3">
      <c r="A350" s="24" t="str">
        <f>IF(ABS(Table4[[#This Row],[Public_FT_employees]] + Table4[[#This Row],[Public_PT_employees]] - Table4[[#This Row],[Public_Tot_employees]]) &lt; 1, "OK", "Mismatch")</f>
        <v>OK</v>
      </c>
      <c r="B350" s="24" t="str">
        <f>IF(ABS(Table4[[#This Row],[Private_FT_employees]] + Table4[[#This Row],[Private_PT_employees]] - Table4[[#This Row],[Private_Tot_employees]]) &lt; 1, "OK", "Mismatch")</f>
        <v>OK</v>
      </c>
      <c r="C350" s="24" t="str">
        <f>IF(ABS(Table4[[#This Row],[Total_FT_Employees]] + Table4[[#This Row],[Total_PT_Employees]] - Table4[[#This Row],[Total_Tot_employees]]) &lt; 1, "OK", "Mismatch")</f>
        <v>OK</v>
      </c>
      <c r="D350" s="24" t="str">
        <f>IF(ABS(Table4[[#This Row],[Public_Tot_employment]] + Table4[[#This Row],[Private_Tot_employment]] - Table4[[#This Row],[Total_Employment]]) &lt; 1, "OK", "Mismatch")</f>
        <v>OK</v>
      </c>
    </row>
    <row r="351" spans="1:4" x14ac:dyDescent="0.3">
      <c r="A351" s="24" t="str">
        <f>IF(ABS(Table4[[#This Row],[Public_FT_employees]] + Table4[[#This Row],[Public_PT_employees]] - Table4[[#This Row],[Public_Tot_employees]]) &lt; 1, "OK", "Mismatch")</f>
        <v>OK</v>
      </c>
      <c r="B351" s="24" t="str">
        <f>IF(ABS(Table4[[#This Row],[Private_FT_employees]] + Table4[[#This Row],[Private_PT_employees]] - Table4[[#This Row],[Private_Tot_employees]]) &lt; 1, "OK", "Mismatch")</f>
        <v>OK</v>
      </c>
      <c r="C351" s="24" t="str">
        <f>IF(ABS(Table4[[#This Row],[Total_FT_Employees]] + Table4[[#This Row],[Total_PT_Employees]] - Table4[[#This Row],[Total_Tot_employees]]) &lt; 1, "OK", "Mismatch")</f>
        <v>OK</v>
      </c>
      <c r="D351" s="24" t="str">
        <f>IF(ABS(Table4[[#This Row],[Public_Tot_employment]] + Table4[[#This Row],[Private_Tot_employment]] - Table4[[#This Row],[Total_Employment]]) &lt; 1, "OK", "Mismatch")</f>
        <v>Mismatch</v>
      </c>
    </row>
    <row r="352" spans="1:4" x14ac:dyDescent="0.3">
      <c r="A352" s="24" t="str">
        <f>IF(ABS(Table4[[#This Row],[Public_FT_employees]] + Table4[[#This Row],[Public_PT_employees]] - Table4[[#This Row],[Public_Tot_employees]]) &lt; 1, "OK", "Mismatch")</f>
        <v>OK</v>
      </c>
      <c r="B352" s="24" t="str">
        <f>IF(ABS(Table4[[#This Row],[Private_FT_employees]] + Table4[[#This Row],[Private_PT_employees]] - Table4[[#This Row],[Private_Tot_employees]]) &lt; 1, "OK", "Mismatch")</f>
        <v>OK</v>
      </c>
      <c r="C352" s="24" t="str">
        <f>IF(ABS(Table4[[#This Row],[Total_FT_Employees]] + Table4[[#This Row],[Total_PT_Employees]] - Table4[[#This Row],[Total_Tot_employees]]) &lt; 1, "OK", "Mismatch")</f>
        <v>OK</v>
      </c>
      <c r="D352" s="24" t="str">
        <f>IF(ABS(Table4[[#This Row],[Public_Tot_employment]] + Table4[[#This Row],[Private_Tot_employment]] - Table4[[#This Row],[Total_Employment]]) &lt; 1, "OK", "Mismatch")</f>
        <v>OK</v>
      </c>
    </row>
    <row r="353" spans="1:4" x14ac:dyDescent="0.3">
      <c r="A353" s="24" t="str">
        <f>IF(ABS(Table4[[#This Row],[Public_FT_employees]] + Table4[[#This Row],[Public_PT_employees]] - Table4[[#This Row],[Public_Tot_employees]]) &lt; 1, "OK", "Mismatch")</f>
        <v>OK</v>
      </c>
      <c r="B353" s="24" t="str">
        <f>IF(ABS(Table4[[#This Row],[Private_FT_employees]] + Table4[[#This Row],[Private_PT_employees]] - Table4[[#This Row],[Private_Tot_employees]]) &lt; 1, "OK", "Mismatch")</f>
        <v>OK</v>
      </c>
      <c r="C353" s="24" t="str">
        <f>IF(ABS(Table4[[#This Row],[Total_FT_Employees]] + Table4[[#This Row],[Total_PT_Employees]] - Table4[[#This Row],[Total_Tot_employees]]) &lt; 1, "OK", "Mismatch")</f>
        <v>OK</v>
      </c>
      <c r="D353" s="24" t="str">
        <f>IF(ABS(Table4[[#This Row],[Public_Tot_employment]] + Table4[[#This Row],[Private_Tot_employment]] - Table4[[#This Row],[Total_Employment]]) &lt; 1, "OK", "Mismatch")</f>
        <v>OK</v>
      </c>
    </row>
    <row r="354" spans="1:4" x14ac:dyDescent="0.3">
      <c r="A354" s="24" t="str">
        <f>IF(ABS(Table4[[#This Row],[Public_FT_employees]] + Table4[[#This Row],[Public_PT_employees]] - Table4[[#This Row],[Public_Tot_employees]]) &lt; 1, "OK", "Mismatch")</f>
        <v>OK</v>
      </c>
      <c r="B354" s="24" t="str">
        <f>IF(ABS(Table4[[#This Row],[Private_FT_employees]] + Table4[[#This Row],[Private_PT_employees]] - Table4[[#This Row],[Private_Tot_employees]]) &lt; 1, "OK", "Mismatch")</f>
        <v>OK</v>
      </c>
      <c r="C354" s="24" t="str">
        <f>IF(ABS(Table4[[#This Row],[Total_FT_Employees]] + Table4[[#This Row],[Total_PT_Employees]] - Table4[[#This Row],[Total_Tot_employees]]) &lt; 1, "OK", "Mismatch")</f>
        <v>OK</v>
      </c>
      <c r="D354" s="24" t="str">
        <f>IF(ABS(Table4[[#This Row],[Public_Tot_employment]] + Table4[[#This Row],[Private_Tot_employment]] - Table4[[#This Row],[Total_Employment]]) &lt; 1, "OK", "Mismatch")</f>
        <v>OK</v>
      </c>
    </row>
    <row r="355" spans="1:4" x14ac:dyDescent="0.3">
      <c r="A355" s="24" t="str">
        <f>IF(ABS(Table4[[#This Row],[Public_FT_employees]] + Table4[[#This Row],[Public_PT_employees]] - Table4[[#This Row],[Public_Tot_employees]]) &lt; 1, "OK", "Mismatch")</f>
        <v>Mismatch</v>
      </c>
      <c r="B355" s="24" t="str">
        <f>IF(ABS(Table4[[#This Row],[Private_FT_employees]] + Table4[[#This Row],[Private_PT_employees]] - Table4[[#This Row],[Private_Tot_employees]]) &lt; 1, "OK", "Mismatch")</f>
        <v>OK</v>
      </c>
      <c r="C355" s="24" t="str">
        <f>IF(ABS(Table4[[#This Row],[Total_FT_Employees]] + Table4[[#This Row],[Total_PT_Employees]] - Table4[[#This Row],[Total_Tot_employees]]) &lt; 1, "OK", "Mismatch")</f>
        <v>OK</v>
      </c>
      <c r="D355" s="24" t="str">
        <f>IF(ABS(Table4[[#This Row],[Public_Tot_employment]] + Table4[[#This Row],[Private_Tot_employment]] - Table4[[#This Row],[Total_Employment]]) &lt; 1, "OK", "Mismatch")</f>
        <v>OK</v>
      </c>
    </row>
    <row r="356" spans="1:4" x14ac:dyDescent="0.3">
      <c r="A356" s="24" t="str">
        <f>IF(ABS(Table4[[#This Row],[Public_FT_employees]] + Table4[[#This Row],[Public_PT_employees]] - Table4[[#This Row],[Public_Tot_employees]]) &lt; 1, "OK", "Mismatch")</f>
        <v>OK</v>
      </c>
      <c r="B356" s="24" t="str">
        <f>IF(ABS(Table4[[#This Row],[Private_FT_employees]] + Table4[[#This Row],[Private_PT_employees]] - Table4[[#This Row],[Private_Tot_employees]]) &lt; 1, "OK", "Mismatch")</f>
        <v>Mismatch</v>
      </c>
      <c r="C356" s="24" t="str">
        <f>IF(ABS(Table4[[#This Row],[Total_FT_Employees]] + Table4[[#This Row],[Total_PT_Employees]] - Table4[[#This Row],[Total_Tot_employees]]) &lt; 1, "OK", "Mismatch")</f>
        <v>Mismatch</v>
      </c>
      <c r="D356" s="24" t="str">
        <f>IF(ABS(Table4[[#This Row],[Public_Tot_employment]] + Table4[[#This Row],[Private_Tot_employment]] - Table4[[#This Row],[Total_Employment]]) &lt; 1, "OK", "Mismatch")</f>
        <v>OK</v>
      </c>
    </row>
    <row r="357" spans="1:4" x14ac:dyDescent="0.3">
      <c r="A357" s="24" t="str">
        <f>IF(ABS(Table4[[#This Row],[Public_FT_employees]] + Table4[[#This Row],[Public_PT_employees]] - Table4[[#This Row],[Public_Tot_employees]]) &lt; 1, "OK", "Mismatch")</f>
        <v>OK</v>
      </c>
      <c r="B357" s="24" t="str">
        <f>IF(ABS(Table4[[#This Row],[Private_FT_employees]] + Table4[[#This Row],[Private_PT_employees]] - Table4[[#This Row],[Private_Tot_employees]]) &lt; 1, "OK", "Mismatch")</f>
        <v>OK</v>
      </c>
      <c r="C357" s="24" t="str">
        <f>IF(ABS(Table4[[#This Row],[Total_FT_Employees]] + Table4[[#This Row],[Total_PT_Employees]] - Table4[[#This Row],[Total_Tot_employees]]) &lt; 1, "OK", "Mismatch")</f>
        <v>Mismatch</v>
      </c>
      <c r="D357" s="24" t="str">
        <f>IF(ABS(Table4[[#This Row],[Public_Tot_employment]] + Table4[[#This Row],[Private_Tot_employment]] - Table4[[#This Row],[Total_Employment]]) &lt; 1, "OK", "Mismatch")</f>
        <v>OK</v>
      </c>
    </row>
    <row r="358" spans="1:4" x14ac:dyDescent="0.3">
      <c r="A358" s="24" t="str">
        <f>IF(ABS(Table4[[#This Row],[Public_FT_employees]] + Table4[[#This Row],[Public_PT_employees]] - Table4[[#This Row],[Public_Tot_employees]]) &lt; 1, "OK", "Mismatch")</f>
        <v>Mismatch</v>
      </c>
      <c r="B358" s="24" t="str">
        <f>IF(ABS(Table4[[#This Row],[Private_FT_employees]] + Table4[[#This Row],[Private_PT_employees]] - Table4[[#This Row],[Private_Tot_employees]]) &lt; 1, "OK", "Mismatch")</f>
        <v>OK</v>
      </c>
      <c r="C358" s="24" t="str">
        <f>IF(ABS(Table4[[#This Row],[Total_FT_Employees]] + Table4[[#This Row],[Total_PT_Employees]] - Table4[[#This Row],[Total_Tot_employees]]) &lt; 1, "OK", "Mismatch")</f>
        <v>OK</v>
      </c>
      <c r="D358" s="24" t="str">
        <f>IF(ABS(Table4[[#This Row],[Public_Tot_employment]] + Table4[[#This Row],[Private_Tot_employment]] - Table4[[#This Row],[Total_Employment]]) &lt; 1, "OK", "Mismatch")</f>
        <v>Mismatch</v>
      </c>
    </row>
    <row r="359" spans="1:4" x14ac:dyDescent="0.3">
      <c r="A359" s="24" t="str">
        <f>IF(ABS(Table4[[#This Row],[Public_FT_employees]] + Table4[[#This Row],[Public_PT_employees]] - Table4[[#This Row],[Public_Tot_employees]]) &lt; 1, "OK", "Mismatch")</f>
        <v>OK</v>
      </c>
      <c r="B359" s="24" t="str">
        <f>IF(ABS(Table4[[#This Row],[Private_FT_employees]] + Table4[[#This Row],[Private_PT_employees]] - Table4[[#This Row],[Private_Tot_employees]]) &lt; 1, "OK", "Mismatch")</f>
        <v>OK</v>
      </c>
      <c r="C359" s="24" t="str">
        <f>IF(ABS(Table4[[#This Row],[Total_FT_Employees]] + Table4[[#This Row],[Total_PT_Employees]] - Table4[[#This Row],[Total_Tot_employees]]) &lt; 1, "OK", "Mismatch")</f>
        <v>OK</v>
      </c>
      <c r="D359" s="24" t="str">
        <f>IF(ABS(Table4[[#This Row],[Public_Tot_employment]] + Table4[[#This Row],[Private_Tot_employment]] - Table4[[#This Row],[Total_Employment]]) &lt; 1, "OK", "Mismatch")</f>
        <v>Mismatch</v>
      </c>
    </row>
    <row r="360" spans="1:4" x14ac:dyDescent="0.3">
      <c r="A360" s="24" t="str">
        <f>IF(ABS(Table4[[#This Row],[Public_FT_employees]] + Table4[[#This Row],[Public_PT_employees]] - Table4[[#This Row],[Public_Tot_employees]]) &lt; 1, "OK", "Mismatch")</f>
        <v>OK</v>
      </c>
      <c r="B360" s="24" t="str">
        <f>IF(ABS(Table4[[#This Row],[Private_FT_employees]] + Table4[[#This Row],[Private_PT_employees]] - Table4[[#This Row],[Private_Tot_employees]]) &lt; 1, "OK", "Mismatch")</f>
        <v>Mismatch</v>
      </c>
      <c r="C360" s="24" t="str">
        <f>IF(ABS(Table4[[#This Row],[Total_FT_Employees]] + Table4[[#This Row],[Total_PT_Employees]] - Table4[[#This Row],[Total_Tot_employees]]) &lt; 1, "OK", "Mismatch")</f>
        <v>Mismatch</v>
      </c>
      <c r="D360" s="24" t="str">
        <f>IF(ABS(Table4[[#This Row],[Public_Tot_employment]] + Table4[[#This Row],[Private_Tot_employment]] - Table4[[#This Row],[Total_Employment]]) &lt; 1, "OK", "Mismatch")</f>
        <v>Mismatch</v>
      </c>
    </row>
    <row r="361" spans="1:4" x14ac:dyDescent="0.3">
      <c r="A361" s="24" t="str">
        <f>IF(ABS(Table4[[#This Row],[Public_FT_employees]] + Table4[[#This Row],[Public_PT_employees]] - Table4[[#This Row],[Public_Tot_employees]]) &lt; 1, "OK", "Mismatch")</f>
        <v>OK</v>
      </c>
      <c r="B361" s="24" t="str">
        <f>IF(ABS(Table4[[#This Row],[Private_FT_employees]] + Table4[[#This Row],[Private_PT_employees]] - Table4[[#This Row],[Private_Tot_employees]]) &lt; 1, "OK", "Mismatch")</f>
        <v>Mismatch</v>
      </c>
      <c r="C361" s="24" t="str">
        <f>IF(ABS(Table4[[#This Row],[Total_FT_Employees]] + Table4[[#This Row],[Total_PT_Employees]] - Table4[[#This Row],[Total_Tot_employees]]) &lt; 1, "OK", "Mismatch")</f>
        <v>OK</v>
      </c>
      <c r="D361" s="24" t="str">
        <f>IF(ABS(Table4[[#This Row],[Public_Tot_employment]] + Table4[[#This Row],[Private_Tot_employment]] - Table4[[#This Row],[Total_Employment]]) &lt; 1, "OK", "Mismatch")</f>
        <v>Mismatch</v>
      </c>
    </row>
    <row r="362" spans="1:4" x14ac:dyDescent="0.3">
      <c r="A362" s="24" t="str">
        <f>IF(ABS(Table4[[#This Row],[Public_FT_employees]] + Table4[[#This Row],[Public_PT_employees]] - Table4[[#This Row],[Public_Tot_employees]]) &lt; 1, "OK", "Mismatch")</f>
        <v>OK</v>
      </c>
      <c r="B362" s="24" t="str">
        <f>IF(ABS(Table4[[#This Row],[Private_FT_employees]] + Table4[[#This Row],[Private_PT_employees]] - Table4[[#This Row],[Private_Tot_employees]]) &lt; 1, "OK", "Mismatch")</f>
        <v>OK</v>
      </c>
      <c r="C362" s="24" t="str">
        <f>IF(ABS(Table4[[#This Row],[Total_FT_Employees]] + Table4[[#This Row],[Total_PT_Employees]] - Table4[[#This Row],[Total_Tot_employees]]) &lt; 1, "OK", "Mismatch")</f>
        <v>OK</v>
      </c>
      <c r="D362" s="24" t="str">
        <f>IF(ABS(Table4[[#This Row],[Public_Tot_employment]] + Table4[[#This Row],[Private_Tot_employment]] - Table4[[#This Row],[Total_Employment]]) &lt; 1, "OK", "Mismatch")</f>
        <v>OK</v>
      </c>
    </row>
    <row r="363" spans="1:4" x14ac:dyDescent="0.3">
      <c r="A363" s="24" t="str">
        <f>IF(ABS(Table4[[#This Row],[Public_FT_employees]] + Table4[[#This Row],[Public_PT_employees]] - Table4[[#This Row],[Public_Tot_employees]]) &lt; 1, "OK", "Mismatch")</f>
        <v>OK</v>
      </c>
      <c r="B363" s="24" t="str">
        <f>IF(ABS(Table4[[#This Row],[Private_FT_employees]] + Table4[[#This Row],[Private_PT_employees]] - Table4[[#This Row],[Private_Tot_employees]]) &lt; 1, "OK", "Mismatch")</f>
        <v>OK</v>
      </c>
      <c r="C363" s="24" t="str">
        <f>IF(ABS(Table4[[#This Row],[Total_FT_Employees]] + Table4[[#This Row],[Total_PT_Employees]] - Table4[[#This Row],[Total_Tot_employees]]) &lt; 1, "OK", "Mismatch")</f>
        <v>Mismatch</v>
      </c>
      <c r="D363" s="24" t="str">
        <f>IF(ABS(Table4[[#This Row],[Public_Tot_employment]] + Table4[[#This Row],[Private_Tot_employment]] - Table4[[#This Row],[Total_Employment]]) &lt; 1, "OK", "Mismatch")</f>
        <v>Mismatch</v>
      </c>
    </row>
    <row r="364" spans="1:4" x14ac:dyDescent="0.3">
      <c r="A364" s="24" t="str">
        <f>IF(ABS(Table4[[#This Row],[Public_FT_employees]] + Table4[[#This Row],[Public_PT_employees]] - Table4[[#This Row],[Public_Tot_employees]]) &lt; 1, "OK", "Mismatch")</f>
        <v>Mismatch</v>
      </c>
      <c r="B364" s="24" t="str">
        <f>IF(ABS(Table4[[#This Row],[Private_FT_employees]] + Table4[[#This Row],[Private_PT_employees]] - Table4[[#This Row],[Private_Tot_employees]]) &lt; 1, "OK", "Mismatch")</f>
        <v>OK</v>
      </c>
      <c r="C364" s="24" t="str">
        <f>IF(ABS(Table4[[#This Row],[Total_FT_Employees]] + Table4[[#This Row],[Total_PT_Employees]] - Table4[[#This Row],[Total_Tot_employees]]) &lt; 1, "OK", "Mismatch")</f>
        <v>Mismatch</v>
      </c>
      <c r="D364" s="24" t="str">
        <f>IF(ABS(Table4[[#This Row],[Public_Tot_employment]] + Table4[[#This Row],[Private_Tot_employment]] - Table4[[#This Row],[Total_Employment]]) &lt; 1, "OK", "Mismatch")</f>
        <v>OK</v>
      </c>
    </row>
    <row r="365" spans="1:4" x14ac:dyDescent="0.3">
      <c r="A365" s="24" t="str">
        <f>IF(ABS(Table4[[#This Row],[Public_FT_employees]] + Table4[[#This Row],[Public_PT_employees]] - Table4[[#This Row],[Public_Tot_employees]]) &lt; 1, "OK", "Mismatch")</f>
        <v>OK</v>
      </c>
      <c r="B365" s="24" t="str">
        <f>IF(ABS(Table4[[#This Row],[Private_FT_employees]] + Table4[[#This Row],[Private_PT_employees]] - Table4[[#This Row],[Private_Tot_employees]]) &lt; 1, "OK", "Mismatch")</f>
        <v>OK</v>
      </c>
      <c r="C365" s="24" t="str">
        <f>IF(ABS(Table4[[#This Row],[Total_FT_Employees]] + Table4[[#This Row],[Total_PT_Employees]] - Table4[[#This Row],[Total_Tot_employees]]) &lt; 1, "OK", "Mismatch")</f>
        <v>OK</v>
      </c>
      <c r="D365" s="24" t="str">
        <f>IF(ABS(Table4[[#This Row],[Public_Tot_employment]] + Table4[[#This Row],[Private_Tot_employment]] - Table4[[#This Row],[Total_Employment]]) &lt; 1, "OK", "Mismatch")</f>
        <v>OK</v>
      </c>
    </row>
    <row r="366" spans="1:4" x14ac:dyDescent="0.3">
      <c r="A366" s="24" t="str">
        <f>IF(ABS(Table4[[#This Row],[Public_FT_employees]] + Table4[[#This Row],[Public_PT_employees]] - Table4[[#This Row],[Public_Tot_employees]]) &lt; 1, "OK", "Mismatch")</f>
        <v>Mismatch</v>
      </c>
      <c r="B366" s="24" t="str">
        <f>IF(ABS(Table4[[#This Row],[Private_FT_employees]] + Table4[[#This Row],[Private_PT_employees]] - Table4[[#This Row],[Private_Tot_employees]]) &lt; 1, "OK", "Mismatch")</f>
        <v>OK</v>
      </c>
      <c r="C366" s="24" t="str">
        <f>IF(ABS(Table4[[#This Row],[Total_FT_Employees]] + Table4[[#This Row],[Total_PT_Employees]] - Table4[[#This Row],[Total_Tot_employees]]) &lt; 1, "OK", "Mismatch")</f>
        <v>OK</v>
      </c>
      <c r="D366" s="24" t="str">
        <f>IF(ABS(Table4[[#This Row],[Public_Tot_employment]] + Table4[[#This Row],[Private_Tot_employment]] - Table4[[#This Row],[Total_Employment]]) &lt; 1, "OK", "Mismatch")</f>
        <v>Mismatch</v>
      </c>
    </row>
    <row r="367" spans="1:4" x14ac:dyDescent="0.3">
      <c r="A367" s="24" t="str">
        <f>IF(ABS(Table4[[#This Row],[Public_FT_employees]] + Table4[[#This Row],[Public_PT_employees]] - Table4[[#This Row],[Public_Tot_employees]]) &lt; 1, "OK", "Mismatch")</f>
        <v>OK</v>
      </c>
      <c r="B367" s="24" t="str">
        <f>IF(ABS(Table4[[#This Row],[Private_FT_employees]] + Table4[[#This Row],[Private_PT_employees]] - Table4[[#This Row],[Private_Tot_employees]]) &lt; 1, "OK", "Mismatch")</f>
        <v>Mismatch</v>
      </c>
      <c r="C367" s="24" t="str">
        <f>IF(ABS(Table4[[#This Row],[Total_FT_Employees]] + Table4[[#This Row],[Total_PT_Employees]] - Table4[[#This Row],[Total_Tot_employees]]) &lt; 1, "OK", "Mismatch")</f>
        <v>Mismatch</v>
      </c>
      <c r="D367" s="24" t="str">
        <f>IF(ABS(Table4[[#This Row],[Public_Tot_employment]] + Table4[[#This Row],[Private_Tot_employment]] - Table4[[#This Row],[Total_Employment]]) &lt; 1, "OK", "Mismatch")</f>
        <v>OK</v>
      </c>
    </row>
    <row r="368" spans="1:4" x14ac:dyDescent="0.3">
      <c r="A368" s="24" t="str">
        <f>IF(ABS(Table4[[#This Row],[Public_FT_employees]] + Table4[[#This Row],[Public_PT_employees]] - Table4[[#This Row],[Public_Tot_employees]]) &lt; 1, "OK", "Mismatch")</f>
        <v>OK</v>
      </c>
      <c r="B368" s="24" t="str">
        <f>IF(ABS(Table4[[#This Row],[Private_FT_employees]] + Table4[[#This Row],[Private_PT_employees]] - Table4[[#This Row],[Private_Tot_employees]]) &lt; 1, "OK", "Mismatch")</f>
        <v>Mismatch</v>
      </c>
      <c r="C368" s="24" t="str">
        <f>IF(ABS(Table4[[#This Row],[Total_FT_Employees]] + Table4[[#This Row],[Total_PT_Employees]] - Table4[[#This Row],[Total_Tot_employees]]) &lt; 1, "OK", "Mismatch")</f>
        <v>Mismatch</v>
      </c>
      <c r="D368" s="24" t="str">
        <f>IF(ABS(Table4[[#This Row],[Public_Tot_employment]] + Table4[[#This Row],[Private_Tot_employment]] - Table4[[#This Row],[Total_Employment]]) &lt; 1, "OK", "Mismatch")</f>
        <v>Mismatch</v>
      </c>
    </row>
    <row r="369" spans="1:4" x14ac:dyDescent="0.3">
      <c r="A369" s="24" t="str">
        <f>IF(ABS(Table4[[#This Row],[Public_FT_employees]] + Table4[[#This Row],[Public_PT_employees]] - Table4[[#This Row],[Public_Tot_employees]]) &lt; 1, "OK", "Mismatch")</f>
        <v>OK</v>
      </c>
      <c r="B369" s="24" t="str">
        <f>IF(ABS(Table4[[#This Row],[Private_FT_employees]] + Table4[[#This Row],[Private_PT_employees]] - Table4[[#This Row],[Private_Tot_employees]]) &lt; 1, "OK", "Mismatch")</f>
        <v>OK</v>
      </c>
      <c r="C369" s="24" t="str">
        <f>IF(ABS(Table4[[#This Row],[Total_FT_Employees]] + Table4[[#This Row],[Total_PT_Employees]] - Table4[[#This Row],[Total_Tot_employees]]) &lt; 1, "OK", "Mismatch")</f>
        <v>OK</v>
      </c>
      <c r="D369" s="24" t="str">
        <f>IF(ABS(Table4[[#This Row],[Public_Tot_employment]] + Table4[[#This Row],[Private_Tot_employment]] - Table4[[#This Row],[Total_Employment]]) &lt; 1, "OK", "Mismatch")</f>
        <v>Mismatch</v>
      </c>
    </row>
    <row r="370" spans="1:4" x14ac:dyDescent="0.3">
      <c r="A370" s="24" t="str">
        <f>IF(ABS(Table4[[#This Row],[Public_FT_employees]] + Table4[[#This Row],[Public_PT_employees]] - Table4[[#This Row],[Public_Tot_employees]]) &lt; 1, "OK", "Mismatch")</f>
        <v>Mismatch</v>
      </c>
      <c r="B370" s="24" t="str">
        <f>IF(ABS(Table4[[#This Row],[Private_FT_employees]] + Table4[[#This Row],[Private_PT_employees]] - Table4[[#This Row],[Private_Tot_employees]]) &lt; 1, "OK", "Mismatch")</f>
        <v>OK</v>
      </c>
      <c r="C370" s="24" t="str">
        <f>IF(ABS(Table4[[#This Row],[Total_FT_Employees]] + Table4[[#This Row],[Total_PT_Employees]] - Table4[[#This Row],[Total_Tot_employees]]) &lt; 1, "OK", "Mismatch")</f>
        <v>Mismatch</v>
      </c>
      <c r="D370" s="24" t="str">
        <f>IF(ABS(Table4[[#This Row],[Public_Tot_employment]] + Table4[[#This Row],[Private_Tot_employment]] - Table4[[#This Row],[Total_Employment]]) &lt; 1, "OK", "Mismatch")</f>
        <v>OK</v>
      </c>
    </row>
    <row r="371" spans="1:4" x14ac:dyDescent="0.3">
      <c r="A371" s="24" t="str">
        <f>IF(ABS(Table4[[#This Row],[Public_FT_employees]] + Table4[[#This Row],[Public_PT_employees]] - Table4[[#This Row],[Public_Tot_employees]]) &lt; 1, "OK", "Mismatch")</f>
        <v>Mismatch</v>
      </c>
      <c r="B371" s="24" t="str">
        <f>IF(ABS(Table4[[#This Row],[Private_FT_employees]] + Table4[[#This Row],[Private_PT_employees]] - Table4[[#This Row],[Private_Tot_employees]]) &lt; 1, "OK", "Mismatch")</f>
        <v>OK</v>
      </c>
      <c r="C371" s="24" t="str">
        <f>IF(ABS(Table4[[#This Row],[Total_FT_Employees]] + Table4[[#This Row],[Total_PT_Employees]] - Table4[[#This Row],[Total_Tot_employees]]) &lt; 1, "OK", "Mismatch")</f>
        <v>OK</v>
      </c>
      <c r="D371" s="24" t="str">
        <f>IF(ABS(Table4[[#This Row],[Public_Tot_employment]] + Table4[[#This Row],[Private_Tot_employment]] - Table4[[#This Row],[Total_Employment]]) &lt; 1, "OK", "Mismatch")</f>
        <v>OK</v>
      </c>
    </row>
    <row r="372" spans="1:4" x14ac:dyDescent="0.3">
      <c r="A372" s="24" t="str">
        <f>IF(ABS(Table4[[#This Row],[Public_FT_employees]] + Table4[[#This Row],[Public_PT_employees]] - Table4[[#This Row],[Public_Tot_employees]]) &lt; 1, "OK", "Mismatch")</f>
        <v>OK</v>
      </c>
      <c r="B372" s="24" t="str">
        <f>IF(ABS(Table4[[#This Row],[Private_FT_employees]] + Table4[[#This Row],[Private_PT_employees]] - Table4[[#This Row],[Private_Tot_employees]]) &lt; 1, "OK", "Mismatch")</f>
        <v>Mismatch</v>
      </c>
      <c r="C372" s="24" t="str">
        <f>IF(ABS(Table4[[#This Row],[Total_FT_Employees]] + Table4[[#This Row],[Total_PT_Employees]] - Table4[[#This Row],[Total_Tot_employees]]) &lt; 1, "OK", "Mismatch")</f>
        <v>OK</v>
      </c>
      <c r="D372" s="24" t="str">
        <f>IF(ABS(Table4[[#This Row],[Public_Tot_employment]] + Table4[[#This Row],[Private_Tot_employment]] - Table4[[#This Row],[Total_Employment]]) &lt; 1, "OK", "Mismatch")</f>
        <v>OK</v>
      </c>
    </row>
    <row r="373" spans="1:4" x14ac:dyDescent="0.3">
      <c r="A373" s="24" t="str">
        <f>IF(ABS(Table4[[#This Row],[Public_FT_employees]] + Table4[[#This Row],[Public_PT_employees]] - Table4[[#This Row],[Public_Tot_employees]]) &lt; 1, "OK", "Mismatch")</f>
        <v>OK</v>
      </c>
      <c r="B373" s="24" t="str">
        <f>IF(ABS(Table4[[#This Row],[Private_FT_employees]] + Table4[[#This Row],[Private_PT_employees]] - Table4[[#This Row],[Private_Tot_employees]]) &lt; 1, "OK", "Mismatch")</f>
        <v>Mismatch</v>
      </c>
      <c r="C373" s="24" t="str">
        <f>IF(ABS(Table4[[#This Row],[Total_FT_Employees]] + Table4[[#This Row],[Total_PT_Employees]] - Table4[[#This Row],[Total_Tot_employees]]) &lt; 1, "OK", "Mismatch")</f>
        <v>Mismatch</v>
      </c>
      <c r="D373" s="24" t="str">
        <f>IF(ABS(Table4[[#This Row],[Public_Tot_employment]] + Table4[[#This Row],[Private_Tot_employment]] - Table4[[#This Row],[Total_Employment]]) &lt; 1, "OK", "Mismatch")</f>
        <v>Mismatch</v>
      </c>
    </row>
    <row r="374" spans="1:4" x14ac:dyDescent="0.3">
      <c r="A374" s="24" t="str">
        <f>IF(ABS(Table4[[#This Row],[Public_FT_employees]] + Table4[[#This Row],[Public_PT_employees]] - Table4[[#This Row],[Public_Tot_employees]]) &lt; 1, "OK", "Mismatch")</f>
        <v>OK</v>
      </c>
      <c r="B374" s="24" t="str">
        <f>IF(ABS(Table4[[#This Row],[Private_FT_employees]] + Table4[[#This Row],[Private_PT_employees]] - Table4[[#This Row],[Private_Tot_employees]]) &lt; 1, "OK", "Mismatch")</f>
        <v>Mismatch</v>
      </c>
      <c r="C374" s="24" t="str">
        <f>IF(ABS(Table4[[#This Row],[Total_FT_Employees]] + Table4[[#This Row],[Total_PT_Employees]] - Table4[[#This Row],[Total_Tot_employees]]) &lt; 1, "OK", "Mismatch")</f>
        <v>OK</v>
      </c>
      <c r="D374" s="24" t="str">
        <f>IF(ABS(Table4[[#This Row],[Public_Tot_employment]] + Table4[[#This Row],[Private_Tot_employment]] - Table4[[#This Row],[Total_Employment]]) &lt; 1, "OK", "Mismatch")</f>
        <v>OK</v>
      </c>
    </row>
    <row r="375" spans="1:4" x14ac:dyDescent="0.3">
      <c r="A375" s="24" t="str">
        <f>IF(ABS(Table4[[#This Row],[Public_FT_employees]] + Table4[[#This Row],[Public_PT_employees]] - Table4[[#This Row],[Public_Tot_employees]]) &lt; 1, "OK", "Mismatch")</f>
        <v>OK</v>
      </c>
      <c r="B375" s="24" t="str">
        <f>IF(ABS(Table4[[#This Row],[Private_FT_employees]] + Table4[[#This Row],[Private_PT_employees]] - Table4[[#This Row],[Private_Tot_employees]]) &lt; 1, "OK", "Mismatch")</f>
        <v>OK</v>
      </c>
      <c r="C375" s="24" t="str">
        <f>IF(ABS(Table4[[#This Row],[Total_FT_Employees]] + Table4[[#This Row],[Total_PT_Employees]] - Table4[[#This Row],[Total_Tot_employees]]) &lt; 1, "OK", "Mismatch")</f>
        <v>OK</v>
      </c>
      <c r="D375" s="24" t="str">
        <f>IF(ABS(Table4[[#This Row],[Public_Tot_employment]] + Table4[[#This Row],[Private_Tot_employment]] - Table4[[#This Row],[Total_Employment]]) &lt; 1, "OK", "Mismatch")</f>
        <v>Mismatch</v>
      </c>
    </row>
    <row r="376" spans="1:4" x14ac:dyDescent="0.3">
      <c r="A376" s="24" t="str">
        <f>IF(ABS(Table4[[#This Row],[Public_FT_employees]] + Table4[[#This Row],[Public_PT_employees]] - Table4[[#This Row],[Public_Tot_employees]]) &lt; 1, "OK", "Mismatch")</f>
        <v>OK</v>
      </c>
      <c r="B376" s="24" t="str">
        <f>IF(ABS(Table4[[#This Row],[Private_FT_employees]] + Table4[[#This Row],[Private_PT_employees]] - Table4[[#This Row],[Private_Tot_employees]]) &lt; 1, "OK", "Mismatch")</f>
        <v>Mismatch</v>
      </c>
      <c r="C376" s="24" t="str">
        <f>IF(ABS(Table4[[#This Row],[Total_FT_Employees]] + Table4[[#This Row],[Total_PT_Employees]] - Table4[[#This Row],[Total_Tot_employees]]) &lt; 1, "OK", "Mismatch")</f>
        <v>Mismatch</v>
      </c>
      <c r="D376" s="24" t="str">
        <f>IF(ABS(Table4[[#This Row],[Public_Tot_employment]] + Table4[[#This Row],[Private_Tot_employment]] - Table4[[#This Row],[Total_Employment]]) &lt; 1, "OK", "Mismatch")</f>
        <v>OK</v>
      </c>
    </row>
    <row r="377" spans="1:4" x14ac:dyDescent="0.3">
      <c r="A377" s="24" t="str">
        <f>IF(ABS(Table4[[#This Row],[Public_FT_employees]] + Table4[[#This Row],[Public_PT_employees]] - Table4[[#This Row],[Public_Tot_employees]]) &lt; 1, "OK", "Mismatch")</f>
        <v>OK</v>
      </c>
      <c r="B377" s="24" t="str">
        <f>IF(ABS(Table4[[#This Row],[Private_FT_employees]] + Table4[[#This Row],[Private_PT_employees]] - Table4[[#This Row],[Private_Tot_employees]]) &lt; 1, "OK", "Mismatch")</f>
        <v>Mismatch</v>
      </c>
      <c r="C377" s="24" t="str">
        <f>IF(ABS(Table4[[#This Row],[Total_FT_Employees]] + Table4[[#This Row],[Total_PT_Employees]] - Table4[[#This Row],[Total_Tot_employees]]) &lt; 1, "OK", "Mismatch")</f>
        <v>Mismatch</v>
      </c>
      <c r="D377" s="24" t="str">
        <f>IF(ABS(Table4[[#This Row],[Public_Tot_employment]] + Table4[[#This Row],[Private_Tot_employment]] - Table4[[#This Row],[Total_Employment]]) &lt; 1, "OK", "Mismatch")</f>
        <v>OK</v>
      </c>
    </row>
    <row r="378" spans="1:4" x14ac:dyDescent="0.3">
      <c r="A378" s="24" t="str">
        <f>IF(ABS(Table4[[#This Row],[Public_FT_employees]] + Table4[[#This Row],[Public_PT_employees]] - Table4[[#This Row],[Public_Tot_employees]]) &lt; 1, "OK", "Mismatch")</f>
        <v>OK</v>
      </c>
      <c r="B378" s="24" t="str">
        <f>IF(ABS(Table4[[#This Row],[Private_FT_employees]] + Table4[[#This Row],[Private_PT_employees]] - Table4[[#This Row],[Private_Tot_employees]]) &lt; 1, "OK", "Mismatch")</f>
        <v>Mismatch</v>
      </c>
      <c r="C378" s="24" t="str">
        <f>IF(ABS(Table4[[#This Row],[Total_FT_Employees]] + Table4[[#This Row],[Total_PT_Employees]] - Table4[[#This Row],[Total_Tot_employees]]) &lt; 1, "OK", "Mismatch")</f>
        <v>Mismatch</v>
      </c>
      <c r="D378" s="24" t="str">
        <f>IF(ABS(Table4[[#This Row],[Public_Tot_employment]] + Table4[[#This Row],[Private_Tot_employment]] - Table4[[#This Row],[Total_Employment]]) &lt; 1, "OK", "Mismatch")</f>
        <v>OK</v>
      </c>
    </row>
    <row r="379" spans="1:4" x14ac:dyDescent="0.3">
      <c r="A379" s="24" t="str">
        <f>IF(ABS(Table4[[#This Row],[Public_FT_employees]] + Table4[[#This Row],[Public_PT_employees]] - Table4[[#This Row],[Public_Tot_employees]]) &lt; 1, "OK", "Mismatch")</f>
        <v>OK</v>
      </c>
      <c r="B379" s="24" t="str">
        <f>IF(ABS(Table4[[#This Row],[Private_FT_employees]] + Table4[[#This Row],[Private_PT_employees]] - Table4[[#This Row],[Private_Tot_employees]]) &lt; 1, "OK", "Mismatch")</f>
        <v>Mismatch</v>
      </c>
      <c r="C379" s="24" t="str">
        <f>IF(ABS(Table4[[#This Row],[Total_FT_Employees]] + Table4[[#This Row],[Total_PT_Employees]] - Table4[[#This Row],[Total_Tot_employees]]) &lt; 1, "OK", "Mismatch")</f>
        <v>Mismatch</v>
      </c>
      <c r="D379" s="24" t="str">
        <f>IF(ABS(Table4[[#This Row],[Public_Tot_employment]] + Table4[[#This Row],[Private_Tot_employment]] - Table4[[#This Row],[Total_Employment]]) &lt; 1, "OK", "Mismatch")</f>
        <v>OK</v>
      </c>
    </row>
    <row r="380" spans="1:4" x14ac:dyDescent="0.3">
      <c r="A380" s="24" t="str">
        <f>IF(ABS(Table4[[#This Row],[Public_FT_employees]] + Table4[[#This Row],[Public_PT_employees]] - Table4[[#This Row],[Public_Tot_employees]]) &lt; 1, "OK", "Mismatch")</f>
        <v>OK</v>
      </c>
      <c r="B380" s="24" t="str">
        <f>IF(ABS(Table4[[#This Row],[Private_FT_employees]] + Table4[[#This Row],[Private_PT_employees]] - Table4[[#This Row],[Private_Tot_employees]]) &lt; 1, "OK", "Mismatch")</f>
        <v>Mismatch</v>
      </c>
      <c r="C380" s="24" t="str">
        <f>IF(ABS(Table4[[#This Row],[Total_FT_Employees]] + Table4[[#This Row],[Total_PT_Employees]] - Table4[[#This Row],[Total_Tot_employees]]) &lt; 1, "OK", "Mismatch")</f>
        <v>Mismatch</v>
      </c>
      <c r="D380" s="24" t="str">
        <f>IF(ABS(Table4[[#This Row],[Public_Tot_employment]] + Table4[[#This Row],[Private_Tot_employment]] - Table4[[#This Row],[Total_Employment]]) &lt; 1, "OK", "Mismatch")</f>
        <v>OK</v>
      </c>
    </row>
    <row r="381" spans="1:4" x14ac:dyDescent="0.3">
      <c r="A381" s="24" t="str">
        <f>IF(ABS(Table4[[#This Row],[Public_FT_employees]] + Table4[[#This Row],[Public_PT_employees]] - Table4[[#This Row],[Public_Tot_employees]]) &lt; 1, "OK", "Mismatch")</f>
        <v>Mismatch</v>
      </c>
      <c r="B381" s="24" t="str">
        <f>IF(ABS(Table4[[#This Row],[Private_FT_employees]] + Table4[[#This Row],[Private_PT_employees]] - Table4[[#This Row],[Private_Tot_employees]]) &lt; 1, "OK", "Mismatch")</f>
        <v>OK</v>
      </c>
      <c r="C381" s="24" t="str">
        <f>IF(ABS(Table4[[#This Row],[Total_FT_Employees]] + Table4[[#This Row],[Total_PT_Employees]] - Table4[[#This Row],[Total_Tot_employees]]) &lt; 1, "OK", "Mismatch")</f>
        <v>OK</v>
      </c>
      <c r="D381" s="24" t="str">
        <f>IF(ABS(Table4[[#This Row],[Public_Tot_employment]] + Table4[[#This Row],[Private_Tot_employment]] - Table4[[#This Row],[Total_Employment]]) &lt; 1, "OK", "Mismatch")</f>
        <v>OK</v>
      </c>
    </row>
    <row r="382" spans="1:4" x14ac:dyDescent="0.3">
      <c r="A382" s="24" t="str">
        <f>IF(ABS(Table4[[#This Row],[Public_FT_employees]] + Table4[[#This Row],[Public_PT_employees]] - Table4[[#This Row],[Public_Tot_employees]]) &lt; 1, "OK", "Mismatch")</f>
        <v>OK</v>
      </c>
      <c r="B382" s="24" t="str">
        <f>IF(ABS(Table4[[#This Row],[Private_FT_employees]] + Table4[[#This Row],[Private_PT_employees]] - Table4[[#This Row],[Private_Tot_employees]]) &lt; 1, "OK", "Mismatch")</f>
        <v>Mismatch</v>
      </c>
      <c r="C382" s="24" t="str">
        <f>IF(ABS(Table4[[#This Row],[Total_FT_Employees]] + Table4[[#This Row],[Total_PT_Employees]] - Table4[[#This Row],[Total_Tot_employees]]) &lt; 1, "OK", "Mismatch")</f>
        <v>Mismatch</v>
      </c>
      <c r="D382" s="24" t="str">
        <f>IF(ABS(Table4[[#This Row],[Public_Tot_employment]] + Table4[[#This Row],[Private_Tot_employment]] - Table4[[#This Row],[Total_Employment]]) &lt; 1, "OK", "Mismatch")</f>
        <v>OK</v>
      </c>
    </row>
    <row r="383" spans="1:4" x14ac:dyDescent="0.3">
      <c r="A383" s="24" t="str">
        <f>IF(ABS(Table4[[#This Row],[Public_FT_employees]] + Table4[[#This Row],[Public_PT_employees]] - Table4[[#This Row],[Public_Tot_employees]]) &lt; 1, "OK", "Mismatch")</f>
        <v>OK</v>
      </c>
      <c r="B383" s="24" t="str">
        <f>IF(ABS(Table4[[#This Row],[Private_FT_employees]] + Table4[[#This Row],[Private_PT_employees]] - Table4[[#This Row],[Private_Tot_employees]]) &lt; 1, "OK", "Mismatch")</f>
        <v>Mismatch</v>
      </c>
      <c r="C383" s="24" t="str">
        <f>IF(ABS(Table4[[#This Row],[Total_FT_Employees]] + Table4[[#This Row],[Total_PT_Employees]] - Table4[[#This Row],[Total_Tot_employees]]) &lt; 1, "OK", "Mismatch")</f>
        <v>Mismatch</v>
      </c>
      <c r="D383" s="24" t="str">
        <f>IF(ABS(Table4[[#This Row],[Public_Tot_employment]] + Table4[[#This Row],[Private_Tot_employment]] - Table4[[#This Row],[Total_Employment]]) &lt; 1, "OK", "Mismatch")</f>
        <v>OK</v>
      </c>
    </row>
    <row r="384" spans="1:4" x14ac:dyDescent="0.3">
      <c r="A384" s="24" t="str">
        <f>IF(ABS(Table4[[#This Row],[Public_FT_employees]] + Table4[[#This Row],[Public_PT_employees]] - Table4[[#This Row],[Public_Tot_employees]]) &lt; 1, "OK", "Mismatch")</f>
        <v>OK</v>
      </c>
      <c r="B384" s="24" t="str">
        <f>IF(ABS(Table4[[#This Row],[Private_FT_employees]] + Table4[[#This Row],[Private_PT_employees]] - Table4[[#This Row],[Private_Tot_employees]]) &lt; 1, "OK", "Mismatch")</f>
        <v>OK</v>
      </c>
      <c r="C384" s="24" t="str">
        <f>IF(ABS(Table4[[#This Row],[Total_FT_Employees]] + Table4[[#This Row],[Total_PT_Employees]] - Table4[[#This Row],[Total_Tot_employees]]) &lt; 1, "OK", "Mismatch")</f>
        <v>Mismatch</v>
      </c>
      <c r="D384" s="24" t="str">
        <f>IF(ABS(Table4[[#This Row],[Public_Tot_employment]] + Table4[[#This Row],[Private_Tot_employment]] - Table4[[#This Row],[Total_Employment]]) &lt; 1, "OK", "Mismatch")</f>
        <v>Mismatch</v>
      </c>
    </row>
    <row r="385" spans="1:4" x14ac:dyDescent="0.3">
      <c r="A385" s="24" t="str">
        <f>IF(ABS(Table4[[#This Row],[Public_FT_employees]] + Table4[[#This Row],[Public_PT_employees]] - Table4[[#This Row],[Public_Tot_employees]]) &lt; 1, "OK", "Mismatch")</f>
        <v>Mismatch</v>
      </c>
      <c r="B385" s="24" t="str">
        <f>IF(ABS(Table4[[#This Row],[Private_FT_employees]] + Table4[[#This Row],[Private_PT_employees]] - Table4[[#This Row],[Private_Tot_employees]]) &lt; 1, "OK", "Mismatch")</f>
        <v>Mismatch</v>
      </c>
      <c r="C385" s="24" t="str">
        <f>IF(ABS(Table4[[#This Row],[Total_FT_Employees]] + Table4[[#This Row],[Total_PT_Employees]] - Table4[[#This Row],[Total_Tot_employees]]) &lt; 1, "OK", "Mismatch")</f>
        <v>OK</v>
      </c>
      <c r="D385" s="24" t="str">
        <f>IF(ABS(Table4[[#This Row],[Public_Tot_employment]] + Table4[[#This Row],[Private_Tot_employment]] - Table4[[#This Row],[Total_Employment]]) &lt; 1, "OK", "Mismatch")</f>
        <v>OK</v>
      </c>
    </row>
    <row r="386" spans="1:4" x14ac:dyDescent="0.3">
      <c r="A386" s="24" t="str">
        <f>IF(ABS(Table4[[#This Row],[Public_FT_employees]] + Table4[[#This Row],[Public_PT_employees]] - Table4[[#This Row],[Public_Tot_employees]]) &lt; 1, "OK", "Mismatch")</f>
        <v>OK</v>
      </c>
      <c r="B386" s="24" t="str">
        <f>IF(ABS(Table4[[#This Row],[Private_FT_employees]] + Table4[[#This Row],[Private_PT_employees]] - Table4[[#This Row],[Private_Tot_employees]]) &lt; 1, "OK", "Mismatch")</f>
        <v>Mismatch</v>
      </c>
      <c r="C386" s="24" t="str">
        <f>IF(ABS(Table4[[#This Row],[Total_FT_Employees]] + Table4[[#This Row],[Total_PT_Employees]] - Table4[[#This Row],[Total_Tot_employees]]) &lt; 1, "OK", "Mismatch")</f>
        <v>Mismatch</v>
      </c>
      <c r="D386" s="24" t="str">
        <f>IF(ABS(Table4[[#This Row],[Public_Tot_employment]] + Table4[[#This Row],[Private_Tot_employment]] - Table4[[#This Row],[Total_Employment]]) &lt; 1, "OK", "Mismatch")</f>
        <v>OK</v>
      </c>
    </row>
    <row r="387" spans="1:4" x14ac:dyDescent="0.3">
      <c r="A387" s="24" t="str">
        <f>IF(ABS(Table4[[#This Row],[Public_FT_employees]] + Table4[[#This Row],[Public_PT_employees]] - Table4[[#This Row],[Public_Tot_employees]]) &lt; 1, "OK", "Mismatch")</f>
        <v>Mismatch</v>
      </c>
      <c r="B387" s="24" t="str">
        <f>IF(ABS(Table4[[#This Row],[Private_FT_employees]] + Table4[[#This Row],[Private_PT_employees]] - Table4[[#This Row],[Private_Tot_employees]]) &lt; 1, "OK", "Mismatch")</f>
        <v>Mismatch</v>
      </c>
      <c r="C387" s="24" t="str">
        <f>IF(ABS(Table4[[#This Row],[Total_FT_Employees]] + Table4[[#This Row],[Total_PT_Employees]] - Table4[[#This Row],[Total_Tot_employees]]) &lt; 1, "OK", "Mismatch")</f>
        <v>Mismatch</v>
      </c>
      <c r="D387" s="24" t="str">
        <f>IF(ABS(Table4[[#This Row],[Public_Tot_employment]] + Table4[[#This Row],[Private_Tot_employment]] - Table4[[#This Row],[Total_Employment]]) &lt; 1, "OK", "Mismatch")</f>
        <v>Mismatch</v>
      </c>
    </row>
    <row r="388" spans="1:4" x14ac:dyDescent="0.3">
      <c r="A388" s="24" t="str">
        <f>IF(ABS(Table4[[#This Row],[Public_FT_employees]] + Table4[[#This Row],[Public_PT_employees]] - Table4[[#This Row],[Public_Tot_employees]]) &lt; 1, "OK", "Mismatch")</f>
        <v>OK</v>
      </c>
      <c r="B388" s="24" t="str">
        <f>IF(ABS(Table4[[#This Row],[Private_FT_employees]] + Table4[[#This Row],[Private_PT_employees]] - Table4[[#This Row],[Private_Tot_employees]]) &lt; 1, "OK", "Mismatch")</f>
        <v>OK</v>
      </c>
      <c r="C388" s="24" t="str">
        <f>IF(ABS(Table4[[#This Row],[Total_FT_Employees]] + Table4[[#This Row],[Total_PT_Employees]] - Table4[[#This Row],[Total_Tot_employees]]) &lt; 1, "OK", "Mismatch")</f>
        <v>OK</v>
      </c>
      <c r="D388" s="24" t="str">
        <f>IF(ABS(Table4[[#This Row],[Public_Tot_employment]] + Table4[[#This Row],[Private_Tot_employment]] - Table4[[#This Row],[Total_Employment]]) &lt; 1, "OK", "Mismatch")</f>
        <v>OK</v>
      </c>
    </row>
    <row r="389" spans="1:4" x14ac:dyDescent="0.3">
      <c r="A389" s="24" t="str">
        <f>IF(ABS(Table4[[#This Row],[Public_FT_employees]] + Table4[[#This Row],[Public_PT_employees]] - Table4[[#This Row],[Public_Tot_employees]]) &lt; 1, "OK", "Mismatch")</f>
        <v>OK</v>
      </c>
      <c r="B389" s="24" t="str">
        <f>IF(ABS(Table4[[#This Row],[Private_FT_employees]] + Table4[[#This Row],[Private_PT_employees]] - Table4[[#This Row],[Private_Tot_employees]]) &lt; 1, "OK", "Mismatch")</f>
        <v>OK</v>
      </c>
      <c r="C389" s="24" t="str">
        <f>IF(ABS(Table4[[#This Row],[Total_FT_Employees]] + Table4[[#This Row],[Total_PT_Employees]] - Table4[[#This Row],[Total_Tot_employees]]) &lt; 1, "OK", "Mismatch")</f>
        <v>Mismatch</v>
      </c>
      <c r="D389" s="24" t="str">
        <f>IF(ABS(Table4[[#This Row],[Public_Tot_employment]] + Table4[[#This Row],[Private_Tot_employment]] - Table4[[#This Row],[Total_Employment]]) &lt; 1, "OK", "Mismatch")</f>
        <v>OK</v>
      </c>
    </row>
    <row r="390" spans="1:4" x14ac:dyDescent="0.3">
      <c r="A390" s="24" t="str">
        <f>IF(ABS(Table4[[#This Row],[Public_FT_employees]] + Table4[[#This Row],[Public_PT_employees]] - Table4[[#This Row],[Public_Tot_employees]]) &lt; 1, "OK", "Mismatch")</f>
        <v>OK</v>
      </c>
      <c r="B390" s="24" t="str">
        <f>IF(ABS(Table4[[#This Row],[Private_FT_employees]] + Table4[[#This Row],[Private_PT_employees]] - Table4[[#This Row],[Private_Tot_employees]]) &lt; 1, "OK", "Mismatch")</f>
        <v>OK</v>
      </c>
      <c r="C390" s="24" t="str">
        <f>IF(ABS(Table4[[#This Row],[Total_FT_Employees]] + Table4[[#This Row],[Total_PT_Employees]] - Table4[[#This Row],[Total_Tot_employees]]) &lt; 1, "OK", "Mismatch")</f>
        <v>OK</v>
      </c>
      <c r="D390" s="24" t="str">
        <f>IF(ABS(Table4[[#This Row],[Public_Tot_employment]] + Table4[[#This Row],[Private_Tot_employment]] - Table4[[#This Row],[Total_Employment]]) &lt; 1, "OK", "Mismatch")</f>
        <v>OK</v>
      </c>
    </row>
    <row r="391" spans="1:4" x14ac:dyDescent="0.3">
      <c r="A391" s="24" t="str">
        <f>IF(ABS(Table4[[#This Row],[Public_FT_employees]] + Table4[[#This Row],[Public_PT_employees]] - Table4[[#This Row],[Public_Tot_employees]]) &lt; 1, "OK", "Mismatch")</f>
        <v>Mismatch</v>
      </c>
      <c r="B391" s="24" t="str">
        <f>IF(ABS(Table4[[#This Row],[Private_FT_employees]] + Table4[[#This Row],[Private_PT_employees]] - Table4[[#This Row],[Private_Tot_employees]]) &lt; 1, "OK", "Mismatch")</f>
        <v>Mismatch</v>
      </c>
      <c r="C391" s="24" t="str">
        <f>IF(ABS(Table4[[#This Row],[Total_FT_Employees]] + Table4[[#This Row],[Total_PT_Employees]] - Table4[[#This Row],[Total_Tot_employees]]) &lt; 1, "OK", "Mismatch")</f>
        <v>OK</v>
      </c>
      <c r="D391" s="24" t="str">
        <f>IF(ABS(Table4[[#This Row],[Public_Tot_employment]] + Table4[[#This Row],[Private_Tot_employment]] - Table4[[#This Row],[Total_Employment]]) &lt; 1, "OK", "Mismatch")</f>
        <v>OK</v>
      </c>
    </row>
    <row r="392" spans="1:4" x14ac:dyDescent="0.3">
      <c r="A392" s="24" t="str">
        <f>IF(ABS(Table4[[#This Row],[Public_FT_employees]] + Table4[[#This Row],[Public_PT_employees]] - Table4[[#This Row],[Public_Tot_employees]]) &lt; 1, "OK", "Mismatch")</f>
        <v>Mismatch</v>
      </c>
      <c r="B392" s="24" t="str">
        <f>IF(ABS(Table4[[#This Row],[Private_FT_employees]] + Table4[[#This Row],[Private_PT_employees]] - Table4[[#This Row],[Private_Tot_employees]]) &lt; 1, "OK", "Mismatch")</f>
        <v>OK</v>
      </c>
      <c r="C392" s="24" t="str">
        <f>IF(ABS(Table4[[#This Row],[Total_FT_Employees]] + Table4[[#This Row],[Total_PT_Employees]] - Table4[[#This Row],[Total_Tot_employees]]) &lt; 1, "OK", "Mismatch")</f>
        <v>Mismatch</v>
      </c>
      <c r="D392" s="24" t="str">
        <f>IF(ABS(Table4[[#This Row],[Public_Tot_employment]] + Table4[[#This Row],[Private_Tot_employment]] - Table4[[#This Row],[Total_Employment]]) &lt; 1, "OK", "Mismatch")</f>
        <v>OK</v>
      </c>
    </row>
    <row r="393" spans="1:4" x14ac:dyDescent="0.3">
      <c r="A393" s="24" t="str">
        <f>IF(ABS(Table4[[#This Row],[Public_FT_employees]] + Table4[[#This Row],[Public_PT_employees]] - Table4[[#This Row],[Public_Tot_employees]]) &lt; 1, "OK", "Mismatch")</f>
        <v>OK</v>
      </c>
      <c r="B393" s="24" t="str">
        <f>IF(ABS(Table4[[#This Row],[Private_FT_employees]] + Table4[[#This Row],[Private_PT_employees]] - Table4[[#This Row],[Private_Tot_employees]]) &lt; 1, "OK", "Mismatch")</f>
        <v>OK</v>
      </c>
      <c r="C393" s="24" t="str">
        <f>IF(ABS(Table4[[#This Row],[Total_FT_Employees]] + Table4[[#This Row],[Total_PT_Employees]] - Table4[[#This Row],[Total_Tot_employees]]) &lt; 1, "OK", "Mismatch")</f>
        <v>OK</v>
      </c>
      <c r="D393" s="24" t="str">
        <f>IF(ABS(Table4[[#This Row],[Public_Tot_employment]] + Table4[[#This Row],[Private_Tot_employment]] - Table4[[#This Row],[Total_Employment]]) &lt; 1, "OK", "Mismatch")</f>
        <v>OK</v>
      </c>
    </row>
    <row r="394" spans="1:4" x14ac:dyDescent="0.3">
      <c r="A394" s="24" t="str">
        <f>IF(ABS(Table4[[#This Row],[Public_FT_employees]] + Table4[[#This Row],[Public_PT_employees]] - Table4[[#This Row],[Public_Tot_employees]]) &lt; 1, "OK", "Mismatch")</f>
        <v>OK</v>
      </c>
      <c r="B394" s="24" t="str">
        <f>IF(ABS(Table4[[#This Row],[Private_FT_employees]] + Table4[[#This Row],[Private_PT_employees]] - Table4[[#This Row],[Private_Tot_employees]]) &lt; 1, "OK", "Mismatch")</f>
        <v>OK</v>
      </c>
      <c r="C394" s="24" t="str">
        <f>IF(ABS(Table4[[#This Row],[Total_FT_Employees]] + Table4[[#This Row],[Total_PT_Employees]] - Table4[[#This Row],[Total_Tot_employees]]) &lt; 1, "OK", "Mismatch")</f>
        <v>OK</v>
      </c>
      <c r="D394" s="24" t="str">
        <f>IF(ABS(Table4[[#This Row],[Public_Tot_employment]] + Table4[[#This Row],[Private_Tot_employment]] - Table4[[#This Row],[Total_Employment]]) &lt; 1, "OK", "Mismatch")</f>
        <v>OK</v>
      </c>
    </row>
    <row r="395" spans="1:4" x14ac:dyDescent="0.3">
      <c r="A395" s="24" t="str">
        <f>IF(ABS(Table4[[#This Row],[Public_FT_employees]] + Table4[[#This Row],[Public_PT_employees]] - Table4[[#This Row],[Public_Tot_employees]]) &lt; 1, "OK", "Mismatch")</f>
        <v>OK</v>
      </c>
      <c r="B395" s="24" t="str">
        <f>IF(ABS(Table4[[#This Row],[Private_FT_employees]] + Table4[[#This Row],[Private_PT_employees]] - Table4[[#This Row],[Private_Tot_employees]]) &lt; 1, "OK", "Mismatch")</f>
        <v>OK</v>
      </c>
      <c r="C395" s="24" t="str">
        <f>IF(ABS(Table4[[#This Row],[Total_FT_Employees]] + Table4[[#This Row],[Total_PT_Employees]] - Table4[[#This Row],[Total_Tot_employees]]) &lt; 1, "OK", "Mismatch")</f>
        <v>Mismatch</v>
      </c>
      <c r="D395" s="24" t="str">
        <f>IF(ABS(Table4[[#This Row],[Public_Tot_employment]] + Table4[[#This Row],[Private_Tot_employment]] - Table4[[#This Row],[Total_Employment]]) &lt; 1, "OK", "Mismatch")</f>
        <v>OK</v>
      </c>
    </row>
    <row r="396" spans="1:4" x14ac:dyDescent="0.3">
      <c r="A396" s="24" t="str">
        <f>IF(ABS(Table4[[#This Row],[Public_FT_employees]] + Table4[[#This Row],[Public_PT_employees]] - Table4[[#This Row],[Public_Tot_employees]]) &lt; 1, "OK", "Mismatch")</f>
        <v>OK</v>
      </c>
      <c r="B396" s="24" t="str">
        <f>IF(ABS(Table4[[#This Row],[Private_FT_employees]] + Table4[[#This Row],[Private_PT_employees]] - Table4[[#This Row],[Private_Tot_employees]]) &lt; 1, "OK", "Mismatch")</f>
        <v>OK</v>
      </c>
      <c r="C396" s="24" t="str">
        <f>IF(ABS(Table4[[#This Row],[Total_FT_Employees]] + Table4[[#This Row],[Total_PT_Employees]] - Table4[[#This Row],[Total_Tot_employees]]) &lt; 1, "OK", "Mismatch")</f>
        <v>OK</v>
      </c>
      <c r="D396" s="24" t="str">
        <f>IF(ABS(Table4[[#This Row],[Public_Tot_employment]] + Table4[[#This Row],[Private_Tot_employment]] - Table4[[#This Row],[Total_Employment]]) &lt; 1, "OK", "Mismatch")</f>
        <v>Mismatch</v>
      </c>
    </row>
    <row r="397" spans="1:4" x14ac:dyDescent="0.3">
      <c r="A397" s="24" t="str">
        <f>IF(ABS(Table4[[#This Row],[Public_FT_employees]] + Table4[[#This Row],[Public_PT_employees]] - Table4[[#This Row],[Public_Tot_employees]]) &lt; 1, "OK", "Mismatch")</f>
        <v>OK</v>
      </c>
      <c r="B397" s="24" t="str">
        <f>IF(ABS(Table4[[#This Row],[Private_FT_employees]] + Table4[[#This Row],[Private_PT_employees]] - Table4[[#This Row],[Private_Tot_employees]]) &lt; 1, "OK", "Mismatch")</f>
        <v>OK</v>
      </c>
      <c r="C397" s="24" t="str">
        <f>IF(ABS(Table4[[#This Row],[Total_FT_Employees]] + Table4[[#This Row],[Total_PT_Employees]] - Table4[[#This Row],[Total_Tot_employees]]) &lt; 1, "OK", "Mismatch")</f>
        <v>OK</v>
      </c>
      <c r="D397" s="24" t="str">
        <f>IF(ABS(Table4[[#This Row],[Public_Tot_employment]] + Table4[[#This Row],[Private_Tot_employment]] - Table4[[#This Row],[Total_Employment]]) &lt; 1, "OK", "Mismatch")</f>
        <v>OK</v>
      </c>
    </row>
    <row r="398" spans="1:4" x14ac:dyDescent="0.3">
      <c r="A398" s="24" t="str">
        <f>IF(ABS(Table4[[#This Row],[Public_FT_employees]] + Table4[[#This Row],[Public_PT_employees]] - Table4[[#This Row],[Public_Tot_employees]]) &lt; 1, "OK", "Mismatch")</f>
        <v>OK</v>
      </c>
      <c r="B398" s="24" t="str">
        <f>IF(ABS(Table4[[#This Row],[Private_FT_employees]] + Table4[[#This Row],[Private_PT_employees]] - Table4[[#This Row],[Private_Tot_employees]]) &lt; 1, "OK", "Mismatch")</f>
        <v>OK</v>
      </c>
      <c r="C398" s="24" t="str">
        <f>IF(ABS(Table4[[#This Row],[Total_FT_Employees]] + Table4[[#This Row],[Total_PT_Employees]] - Table4[[#This Row],[Total_Tot_employees]]) &lt; 1, "OK", "Mismatch")</f>
        <v>Mismatch</v>
      </c>
      <c r="D398" s="24" t="str">
        <f>IF(ABS(Table4[[#This Row],[Public_Tot_employment]] + Table4[[#This Row],[Private_Tot_employment]] - Table4[[#This Row],[Total_Employment]]) &lt; 1, "OK", "Mismatch")</f>
        <v>OK</v>
      </c>
    </row>
    <row r="399" spans="1:4" x14ac:dyDescent="0.3">
      <c r="A399" s="24" t="str">
        <f>IF(ABS(Table4[[#This Row],[Public_FT_employees]] + Table4[[#This Row],[Public_PT_employees]] - Table4[[#This Row],[Public_Tot_employees]]) &lt; 1, "OK", "Mismatch")</f>
        <v>Mismatch</v>
      </c>
      <c r="B399" s="24" t="str">
        <f>IF(ABS(Table4[[#This Row],[Private_FT_employees]] + Table4[[#This Row],[Private_PT_employees]] - Table4[[#This Row],[Private_Tot_employees]]) &lt; 1, "OK", "Mismatch")</f>
        <v>OK</v>
      </c>
      <c r="C399" s="24" t="str">
        <f>IF(ABS(Table4[[#This Row],[Total_FT_Employees]] + Table4[[#This Row],[Total_PT_Employees]] - Table4[[#This Row],[Total_Tot_employees]]) &lt; 1, "OK", "Mismatch")</f>
        <v>OK</v>
      </c>
      <c r="D399" s="24" t="str">
        <f>IF(ABS(Table4[[#This Row],[Public_Tot_employment]] + Table4[[#This Row],[Private_Tot_employment]] - Table4[[#This Row],[Total_Employment]]) &lt; 1, "OK", "Mismatch")</f>
        <v>OK</v>
      </c>
    </row>
    <row r="400" spans="1:4" x14ac:dyDescent="0.3">
      <c r="A400" s="24" t="str">
        <f>IF(ABS(Table4[[#This Row],[Public_FT_employees]] + Table4[[#This Row],[Public_PT_employees]] - Table4[[#This Row],[Public_Tot_employees]]) &lt; 1, "OK", "Mismatch")</f>
        <v>OK</v>
      </c>
      <c r="B400" s="24" t="str">
        <f>IF(ABS(Table4[[#This Row],[Private_FT_employees]] + Table4[[#This Row],[Private_PT_employees]] - Table4[[#This Row],[Private_Tot_employees]]) &lt; 1, "OK", "Mismatch")</f>
        <v>Mismatch</v>
      </c>
      <c r="C400" s="24" t="str">
        <f>IF(ABS(Table4[[#This Row],[Total_FT_Employees]] + Table4[[#This Row],[Total_PT_Employees]] - Table4[[#This Row],[Total_Tot_employees]]) &lt; 1, "OK", "Mismatch")</f>
        <v>Mismatch</v>
      </c>
      <c r="D400" s="24" t="str">
        <f>IF(ABS(Table4[[#This Row],[Public_Tot_employment]] + Table4[[#This Row],[Private_Tot_employment]] - Table4[[#This Row],[Total_Employment]]) &lt; 1, "OK", "Mismatch")</f>
        <v>OK</v>
      </c>
    </row>
    <row r="401" spans="1:4" x14ac:dyDescent="0.3">
      <c r="A401" s="24" t="str">
        <f>IF(ABS(Table4[[#This Row],[Public_FT_employees]] + Table4[[#This Row],[Public_PT_employees]] - Table4[[#This Row],[Public_Tot_employees]]) &lt; 1, "OK", "Mismatch")</f>
        <v>OK</v>
      </c>
      <c r="B401" s="24" t="str">
        <f>IF(ABS(Table4[[#This Row],[Private_FT_employees]] + Table4[[#This Row],[Private_PT_employees]] - Table4[[#This Row],[Private_Tot_employees]]) &lt; 1, "OK", "Mismatch")</f>
        <v>OK</v>
      </c>
      <c r="C401" s="24" t="str">
        <f>IF(ABS(Table4[[#This Row],[Total_FT_Employees]] + Table4[[#This Row],[Total_PT_Employees]] - Table4[[#This Row],[Total_Tot_employees]]) &lt; 1, "OK", "Mismatch")</f>
        <v>Mismatch</v>
      </c>
      <c r="D401" s="24" t="str">
        <f>IF(ABS(Table4[[#This Row],[Public_Tot_employment]] + Table4[[#This Row],[Private_Tot_employment]] - Table4[[#This Row],[Total_Employment]]) &lt; 1, "OK", "Mismatch")</f>
        <v>OK</v>
      </c>
    </row>
    <row r="402" spans="1:4" x14ac:dyDescent="0.3">
      <c r="A402" s="24" t="str">
        <f>IF(ABS(Table4[[#This Row],[Public_FT_employees]] + Table4[[#This Row],[Public_PT_employees]] - Table4[[#This Row],[Public_Tot_employees]]) &lt; 1, "OK", "Mismatch")</f>
        <v>Mismatch</v>
      </c>
      <c r="B402" s="24" t="str">
        <f>IF(ABS(Table4[[#This Row],[Private_FT_employees]] + Table4[[#This Row],[Private_PT_employees]] - Table4[[#This Row],[Private_Tot_employees]]) &lt; 1, "OK", "Mismatch")</f>
        <v>Mismatch</v>
      </c>
      <c r="C402" s="24" t="str">
        <f>IF(ABS(Table4[[#This Row],[Total_FT_Employees]] + Table4[[#This Row],[Total_PT_Employees]] - Table4[[#This Row],[Total_Tot_employees]]) &lt; 1, "OK", "Mismatch")</f>
        <v>OK</v>
      </c>
      <c r="D402" s="24" t="str">
        <f>IF(ABS(Table4[[#This Row],[Public_Tot_employment]] + Table4[[#This Row],[Private_Tot_employment]] - Table4[[#This Row],[Total_Employment]]) &lt; 1, "OK", "Mismatch")</f>
        <v>OK</v>
      </c>
    </row>
    <row r="403" spans="1:4" x14ac:dyDescent="0.3">
      <c r="A403" s="24" t="str">
        <f>IF(ABS(Table4[[#This Row],[Public_FT_employees]] + Table4[[#This Row],[Public_PT_employees]] - Table4[[#This Row],[Public_Tot_employees]]) &lt; 1, "OK", "Mismatch")</f>
        <v>Mismatch</v>
      </c>
      <c r="B403" s="24" t="str">
        <f>IF(ABS(Table4[[#This Row],[Private_FT_employees]] + Table4[[#This Row],[Private_PT_employees]] - Table4[[#This Row],[Private_Tot_employees]]) &lt; 1, "OK", "Mismatch")</f>
        <v>OK</v>
      </c>
      <c r="C403" s="24" t="str">
        <f>IF(ABS(Table4[[#This Row],[Total_FT_Employees]] + Table4[[#This Row],[Total_PT_Employees]] - Table4[[#This Row],[Total_Tot_employees]]) &lt; 1, "OK", "Mismatch")</f>
        <v>OK</v>
      </c>
      <c r="D403" s="24" t="str">
        <f>IF(ABS(Table4[[#This Row],[Public_Tot_employment]] + Table4[[#This Row],[Private_Tot_employment]] - Table4[[#This Row],[Total_Employment]]) &lt; 1, "OK", "Mismatch")</f>
        <v>OK</v>
      </c>
    </row>
    <row r="404" spans="1:4" x14ac:dyDescent="0.3">
      <c r="A404" s="24" t="str">
        <f>IF(ABS(Table4[[#This Row],[Public_FT_employees]] + Table4[[#This Row],[Public_PT_employees]] - Table4[[#This Row],[Public_Tot_employees]]) &lt; 1, "OK", "Mismatch")</f>
        <v>Mismatch</v>
      </c>
      <c r="B404" s="24" t="str">
        <f>IF(ABS(Table4[[#This Row],[Private_FT_employees]] + Table4[[#This Row],[Private_PT_employees]] - Table4[[#This Row],[Private_Tot_employees]]) &lt; 1, "OK", "Mismatch")</f>
        <v>OK</v>
      </c>
      <c r="C404" s="24" t="str">
        <f>IF(ABS(Table4[[#This Row],[Total_FT_Employees]] + Table4[[#This Row],[Total_PT_Employees]] - Table4[[#This Row],[Total_Tot_employees]]) &lt; 1, "OK", "Mismatch")</f>
        <v>OK</v>
      </c>
      <c r="D404" s="24" t="str">
        <f>IF(ABS(Table4[[#This Row],[Public_Tot_employment]] + Table4[[#This Row],[Private_Tot_employment]] - Table4[[#This Row],[Total_Employment]]) &lt; 1, "OK", "Mismatch")</f>
        <v>Mismatch</v>
      </c>
    </row>
    <row r="405" spans="1:4" x14ac:dyDescent="0.3">
      <c r="A405" s="24" t="str">
        <f>IF(ABS(Table4[[#This Row],[Public_FT_employees]] + Table4[[#This Row],[Public_PT_employees]] - Table4[[#This Row],[Public_Tot_employees]]) &lt; 1, "OK", "Mismatch")</f>
        <v>OK</v>
      </c>
      <c r="B405" s="24" t="str">
        <f>IF(ABS(Table4[[#This Row],[Private_FT_employees]] + Table4[[#This Row],[Private_PT_employees]] - Table4[[#This Row],[Private_Tot_employees]]) &lt; 1, "OK", "Mismatch")</f>
        <v>OK</v>
      </c>
      <c r="C405" s="24" t="str">
        <f>IF(ABS(Table4[[#This Row],[Total_FT_Employees]] + Table4[[#This Row],[Total_PT_Employees]] - Table4[[#This Row],[Total_Tot_employees]]) &lt; 1, "OK", "Mismatch")</f>
        <v>OK</v>
      </c>
      <c r="D405" s="24" t="str">
        <f>IF(ABS(Table4[[#This Row],[Public_Tot_employment]] + Table4[[#This Row],[Private_Tot_employment]] - Table4[[#This Row],[Total_Employment]]) &lt; 1, "OK", "Mismatch")</f>
        <v>OK</v>
      </c>
    </row>
    <row r="406" spans="1:4" x14ac:dyDescent="0.3">
      <c r="A406" s="24" t="str">
        <f>IF(ABS(Table4[[#This Row],[Public_FT_employees]] + Table4[[#This Row],[Public_PT_employees]] - Table4[[#This Row],[Public_Tot_employees]]) &lt; 1, "OK", "Mismatch")</f>
        <v>OK</v>
      </c>
      <c r="B406" s="24" t="str">
        <f>IF(ABS(Table4[[#This Row],[Private_FT_employees]] + Table4[[#This Row],[Private_PT_employees]] - Table4[[#This Row],[Private_Tot_employees]]) &lt; 1, "OK", "Mismatch")</f>
        <v>Mismatch</v>
      </c>
      <c r="C406" s="24" t="str">
        <f>IF(ABS(Table4[[#This Row],[Total_FT_Employees]] + Table4[[#This Row],[Total_PT_Employees]] - Table4[[#This Row],[Total_Tot_employees]]) &lt; 1, "OK", "Mismatch")</f>
        <v>OK</v>
      </c>
      <c r="D406" s="24" t="str">
        <f>IF(ABS(Table4[[#This Row],[Public_Tot_employment]] + Table4[[#This Row],[Private_Tot_employment]] - Table4[[#This Row],[Total_Employment]]) &lt; 1, "OK", "Mismatch")</f>
        <v>Mismatch</v>
      </c>
    </row>
    <row r="407" spans="1:4" x14ac:dyDescent="0.3">
      <c r="A407" s="24" t="str">
        <f>IF(ABS(Table4[[#This Row],[Public_FT_employees]] + Table4[[#This Row],[Public_PT_employees]] - Table4[[#This Row],[Public_Tot_employees]]) &lt; 1, "OK", "Mismatch")</f>
        <v>OK</v>
      </c>
      <c r="B407" s="24" t="str">
        <f>IF(ABS(Table4[[#This Row],[Private_FT_employees]] + Table4[[#This Row],[Private_PT_employees]] - Table4[[#This Row],[Private_Tot_employees]]) &lt; 1, "OK", "Mismatch")</f>
        <v>OK</v>
      </c>
      <c r="C407" s="24" t="str">
        <f>IF(ABS(Table4[[#This Row],[Total_FT_Employees]] + Table4[[#This Row],[Total_PT_Employees]] - Table4[[#This Row],[Total_Tot_employees]]) &lt; 1, "OK", "Mismatch")</f>
        <v>OK</v>
      </c>
      <c r="D407" s="24" t="str">
        <f>IF(ABS(Table4[[#This Row],[Public_Tot_employment]] + Table4[[#This Row],[Private_Tot_employment]] - Table4[[#This Row],[Total_Employment]]) &lt; 1, "OK", "Mismatch")</f>
        <v>OK</v>
      </c>
    </row>
    <row r="408" spans="1:4" x14ac:dyDescent="0.3">
      <c r="A408" s="24" t="str">
        <f>IF(ABS(Table4[[#This Row],[Public_FT_employees]] + Table4[[#This Row],[Public_PT_employees]] - Table4[[#This Row],[Public_Tot_employees]]) &lt; 1, "OK", "Mismatch")</f>
        <v>OK</v>
      </c>
      <c r="B408" s="24" t="str">
        <f>IF(ABS(Table4[[#This Row],[Private_FT_employees]] + Table4[[#This Row],[Private_PT_employees]] - Table4[[#This Row],[Private_Tot_employees]]) &lt; 1, "OK", "Mismatch")</f>
        <v>OK</v>
      </c>
      <c r="C408" s="24" t="str">
        <f>IF(ABS(Table4[[#This Row],[Total_FT_Employees]] + Table4[[#This Row],[Total_PT_Employees]] - Table4[[#This Row],[Total_Tot_employees]]) &lt; 1, "OK", "Mismatch")</f>
        <v>OK</v>
      </c>
      <c r="D408" s="24" t="str">
        <f>IF(ABS(Table4[[#This Row],[Public_Tot_employment]] + Table4[[#This Row],[Private_Tot_employment]] - Table4[[#This Row],[Total_Employment]]) &lt; 1, "OK", "Mismatch")</f>
        <v>OK</v>
      </c>
    </row>
    <row r="409" spans="1:4" x14ac:dyDescent="0.3">
      <c r="A409" s="24" t="str">
        <f>IF(ABS(Table4[[#This Row],[Public_FT_employees]] + Table4[[#This Row],[Public_PT_employees]] - Table4[[#This Row],[Public_Tot_employees]]) &lt; 1, "OK", "Mismatch")</f>
        <v>OK</v>
      </c>
      <c r="B409" s="24" t="str">
        <f>IF(ABS(Table4[[#This Row],[Private_FT_employees]] + Table4[[#This Row],[Private_PT_employees]] - Table4[[#This Row],[Private_Tot_employees]]) &lt; 1, "OK", "Mismatch")</f>
        <v>OK</v>
      </c>
      <c r="C409" s="24" t="str">
        <f>IF(ABS(Table4[[#This Row],[Total_FT_Employees]] + Table4[[#This Row],[Total_PT_Employees]] - Table4[[#This Row],[Total_Tot_employees]]) &lt; 1, "OK", "Mismatch")</f>
        <v>OK</v>
      </c>
      <c r="D409" s="24" t="str">
        <f>IF(ABS(Table4[[#This Row],[Public_Tot_employment]] + Table4[[#This Row],[Private_Tot_employment]] - Table4[[#This Row],[Total_Employment]]) &lt; 1, "OK", "Mismatch")</f>
        <v>OK</v>
      </c>
    </row>
    <row r="410" spans="1:4" x14ac:dyDescent="0.3">
      <c r="A410" s="24" t="str">
        <f>IF(ABS(Table4[[#This Row],[Public_FT_employees]] + Table4[[#This Row],[Public_PT_employees]] - Table4[[#This Row],[Public_Tot_employees]]) &lt; 1, "OK", "Mismatch")</f>
        <v>Mismatch</v>
      </c>
      <c r="B410" s="24" t="str">
        <f>IF(ABS(Table4[[#This Row],[Private_FT_employees]] + Table4[[#This Row],[Private_PT_employees]] - Table4[[#This Row],[Private_Tot_employees]]) &lt; 1, "OK", "Mismatch")</f>
        <v>OK</v>
      </c>
      <c r="C410" s="24" t="str">
        <f>IF(ABS(Table4[[#This Row],[Total_FT_Employees]] + Table4[[#This Row],[Total_PT_Employees]] - Table4[[#This Row],[Total_Tot_employees]]) &lt; 1, "OK", "Mismatch")</f>
        <v>OK</v>
      </c>
      <c r="D410" s="24" t="str">
        <f>IF(ABS(Table4[[#This Row],[Public_Tot_employment]] + Table4[[#This Row],[Private_Tot_employment]] - Table4[[#This Row],[Total_Employment]]) &lt; 1, "OK", "Mismatch")</f>
        <v>OK</v>
      </c>
    </row>
    <row r="411" spans="1:4" x14ac:dyDescent="0.3">
      <c r="A411" s="24" t="str">
        <f>IF(ABS(Table4[[#This Row],[Public_FT_employees]] + Table4[[#This Row],[Public_PT_employees]] - Table4[[#This Row],[Public_Tot_employees]]) &lt; 1, "OK", "Mismatch")</f>
        <v>OK</v>
      </c>
      <c r="B411" s="24" t="str">
        <f>IF(ABS(Table4[[#This Row],[Private_FT_employees]] + Table4[[#This Row],[Private_PT_employees]] - Table4[[#This Row],[Private_Tot_employees]]) &lt; 1, "OK", "Mismatch")</f>
        <v>Mismatch</v>
      </c>
      <c r="C411" s="24" t="str">
        <f>IF(ABS(Table4[[#This Row],[Total_FT_Employees]] + Table4[[#This Row],[Total_PT_Employees]] - Table4[[#This Row],[Total_Tot_employees]]) &lt; 1, "OK", "Mismatch")</f>
        <v>Mismatch</v>
      </c>
      <c r="D411" s="24" t="str">
        <f>IF(ABS(Table4[[#This Row],[Public_Tot_employment]] + Table4[[#This Row],[Private_Tot_employment]] - Table4[[#This Row],[Total_Employment]]) &lt; 1, "OK", "Mismatch")</f>
        <v>OK</v>
      </c>
    </row>
    <row r="412" spans="1:4" x14ac:dyDescent="0.3">
      <c r="A412" s="24" t="str">
        <f>IF(ABS(Table4[[#This Row],[Public_FT_employees]] + Table4[[#This Row],[Public_PT_employees]] - Table4[[#This Row],[Public_Tot_employees]]) &lt; 1, "OK", "Mismatch")</f>
        <v>OK</v>
      </c>
      <c r="B412" s="24" t="str">
        <f>IF(ABS(Table4[[#This Row],[Private_FT_employees]] + Table4[[#This Row],[Private_PT_employees]] - Table4[[#This Row],[Private_Tot_employees]]) &lt; 1, "OK", "Mismatch")</f>
        <v>OK</v>
      </c>
      <c r="C412" s="24" t="str">
        <f>IF(ABS(Table4[[#This Row],[Total_FT_Employees]] + Table4[[#This Row],[Total_PT_Employees]] - Table4[[#This Row],[Total_Tot_employees]]) &lt; 1, "OK", "Mismatch")</f>
        <v>OK</v>
      </c>
      <c r="D412" s="24" t="str">
        <f>IF(ABS(Table4[[#This Row],[Public_Tot_employment]] + Table4[[#This Row],[Private_Tot_employment]] - Table4[[#This Row],[Total_Employment]]) &lt; 1, "OK", "Mismatch")</f>
        <v>OK</v>
      </c>
    </row>
    <row r="413" spans="1:4" x14ac:dyDescent="0.3">
      <c r="A413" s="24" t="str">
        <f>IF(ABS(Table4[[#This Row],[Public_FT_employees]] + Table4[[#This Row],[Public_PT_employees]] - Table4[[#This Row],[Public_Tot_employees]]) &lt; 1, "OK", "Mismatch")</f>
        <v>OK</v>
      </c>
      <c r="B413" s="24" t="str">
        <f>IF(ABS(Table4[[#This Row],[Private_FT_employees]] + Table4[[#This Row],[Private_PT_employees]] - Table4[[#This Row],[Private_Tot_employees]]) &lt; 1, "OK", "Mismatch")</f>
        <v>OK</v>
      </c>
      <c r="C413" s="24" t="str">
        <f>IF(ABS(Table4[[#This Row],[Total_FT_Employees]] + Table4[[#This Row],[Total_PT_Employees]] - Table4[[#This Row],[Total_Tot_employees]]) &lt; 1, "OK", "Mismatch")</f>
        <v>Mismatch</v>
      </c>
      <c r="D413" s="24" t="str">
        <f>IF(ABS(Table4[[#This Row],[Public_Tot_employment]] + Table4[[#This Row],[Private_Tot_employment]] - Table4[[#This Row],[Total_Employment]]) &lt; 1, "OK", "Mismatch")</f>
        <v>OK</v>
      </c>
    </row>
    <row r="414" spans="1:4" x14ac:dyDescent="0.3">
      <c r="A414" s="24" t="str">
        <f>IF(ABS(Table4[[#This Row],[Public_FT_employees]] + Table4[[#This Row],[Public_PT_employees]] - Table4[[#This Row],[Public_Tot_employees]]) &lt; 1, "OK", "Mismatch")</f>
        <v>OK</v>
      </c>
      <c r="B414" s="24" t="str">
        <f>IF(ABS(Table4[[#This Row],[Private_FT_employees]] + Table4[[#This Row],[Private_PT_employees]] - Table4[[#This Row],[Private_Tot_employees]]) &lt; 1, "OK", "Mismatch")</f>
        <v>OK</v>
      </c>
      <c r="C414" s="24" t="str">
        <f>IF(ABS(Table4[[#This Row],[Total_FT_Employees]] + Table4[[#This Row],[Total_PT_Employees]] - Table4[[#This Row],[Total_Tot_employees]]) &lt; 1, "OK", "Mismatch")</f>
        <v>OK</v>
      </c>
      <c r="D414" s="24" t="str">
        <f>IF(ABS(Table4[[#This Row],[Public_Tot_employment]] + Table4[[#This Row],[Private_Tot_employment]] - Table4[[#This Row],[Total_Employment]]) &lt; 1, "OK", "Mismatch")</f>
        <v>OK</v>
      </c>
    </row>
    <row r="415" spans="1:4" x14ac:dyDescent="0.3">
      <c r="A415" s="24" t="str">
        <f>IF(ABS(Table4[[#This Row],[Public_FT_employees]] + Table4[[#This Row],[Public_PT_employees]] - Table4[[#This Row],[Public_Tot_employees]]) &lt; 1, "OK", "Mismatch")</f>
        <v>OK</v>
      </c>
      <c r="B415" s="24" t="str">
        <f>IF(ABS(Table4[[#This Row],[Private_FT_employees]] + Table4[[#This Row],[Private_PT_employees]] - Table4[[#This Row],[Private_Tot_employees]]) &lt; 1, "OK", "Mismatch")</f>
        <v>Mismatch</v>
      </c>
      <c r="C415" s="24" t="str">
        <f>IF(ABS(Table4[[#This Row],[Total_FT_Employees]] + Table4[[#This Row],[Total_PT_Employees]] - Table4[[#This Row],[Total_Tot_employees]]) &lt; 1, "OK", "Mismatch")</f>
        <v>OK</v>
      </c>
      <c r="D415" s="24" t="str">
        <f>IF(ABS(Table4[[#This Row],[Public_Tot_employment]] + Table4[[#This Row],[Private_Tot_employment]] - Table4[[#This Row],[Total_Employment]]) &lt; 1, "OK", "Mismatch")</f>
        <v>OK</v>
      </c>
    </row>
    <row r="416" spans="1:4" x14ac:dyDescent="0.3">
      <c r="A416" s="24" t="str">
        <f>IF(ABS(Table4[[#This Row],[Public_FT_employees]] + Table4[[#This Row],[Public_PT_employees]] - Table4[[#This Row],[Public_Tot_employees]]) &lt; 1, "OK", "Mismatch")</f>
        <v>OK</v>
      </c>
      <c r="B416" s="24" t="str">
        <f>IF(ABS(Table4[[#This Row],[Private_FT_employees]] + Table4[[#This Row],[Private_PT_employees]] - Table4[[#This Row],[Private_Tot_employees]]) &lt; 1, "OK", "Mismatch")</f>
        <v>OK</v>
      </c>
      <c r="C416" s="24" t="str">
        <f>IF(ABS(Table4[[#This Row],[Total_FT_Employees]] + Table4[[#This Row],[Total_PT_Employees]] - Table4[[#This Row],[Total_Tot_employees]]) &lt; 1, "OK", "Mismatch")</f>
        <v>Mismatch</v>
      </c>
      <c r="D416" s="24" t="str">
        <f>IF(ABS(Table4[[#This Row],[Public_Tot_employment]] + Table4[[#This Row],[Private_Tot_employment]] - Table4[[#This Row],[Total_Employment]]) &lt; 1, "OK", "Mismatch")</f>
        <v>OK</v>
      </c>
    </row>
    <row r="417" spans="1:4" x14ac:dyDescent="0.3">
      <c r="A417" s="24" t="str">
        <f>IF(ABS(Table4[[#This Row],[Public_FT_employees]] + Table4[[#This Row],[Public_PT_employees]] - Table4[[#This Row],[Public_Tot_employees]]) &lt; 1, "OK", "Mismatch")</f>
        <v>Mismatch</v>
      </c>
      <c r="B417" s="24" t="str">
        <f>IF(ABS(Table4[[#This Row],[Private_FT_employees]] + Table4[[#This Row],[Private_PT_employees]] - Table4[[#This Row],[Private_Tot_employees]]) &lt; 1, "OK", "Mismatch")</f>
        <v>OK</v>
      </c>
      <c r="C417" s="24" t="str">
        <f>IF(ABS(Table4[[#This Row],[Total_FT_Employees]] + Table4[[#This Row],[Total_PT_Employees]] - Table4[[#This Row],[Total_Tot_employees]]) &lt; 1, "OK", "Mismatch")</f>
        <v>Mismatch</v>
      </c>
      <c r="D417" s="24" t="str">
        <f>IF(ABS(Table4[[#This Row],[Public_Tot_employment]] + Table4[[#This Row],[Private_Tot_employment]] - Table4[[#This Row],[Total_Employment]]) &lt; 1, "OK", "Mismatch")</f>
        <v>OK</v>
      </c>
    </row>
    <row r="418" spans="1:4" x14ac:dyDescent="0.3">
      <c r="A418" s="24" t="str">
        <f>IF(ABS(Table4[[#This Row],[Public_FT_employees]] + Table4[[#This Row],[Public_PT_employees]] - Table4[[#This Row],[Public_Tot_employees]]) &lt; 1, "OK", "Mismatch")</f>
        <v>OK</v>
      </c>
      <c r="B418" s="24" t="str">
        <f>IF(ABS(Table4[[#This Row],[Private_FT_employees]] + Table4[[#This Row],[Private_PT_employees]] - Table4[[#This Row],[Private_Tot_employees]]) &lt; 1, "OK", "Mismatch")</f>
        <v>OK</v>
      </c>
      <c r="C418" s="24" t="str">
        <f>IF(ABS(Table4[[#This Row],[Total_FT_Employees]] + Table4[[#This Row],[Total_PT_Employees]] - Table4[[#This Row],[Total_Tot_employees]]) &lt; 1, "OK", "Mismatch")</f>
        <v>OK</v>
      </c>
      <c r="D418" s="24" t="str">
        <f>IF(ABS(Table4[[#This Row],[Public_Tot_employment]] + Table4[[#This Row],[Private_Tot_employment]] - Table4[[#This Row],[Total_Employment]]) &lt; 1, "OK", "Mismatch")</f>
        <v>OK</v>
      </c>
    </row>
    <row r="419" spans="1:4" x14ac:dyDescent="0.3">
      <c r="A419" s="24" t="str">
        <f>IF(ABS(Table4[[#This Row],[Public_FT_employees]] + Table4[[#This Row],[Public_PT_employees]] - Table4[[#This Row],[Public_Tot_employees]]) &lt; 1, "OK", "Mismatch")</f>
        <v>OK</v>
      </c>
      <c r="B419" s="24" t="str">
        <f>IF(ABS(Table4[[#This Row],[Private_FT_employees]] + Table4[[#This Row],[Private_PT_employees]] - Table4[[#This Row],[Private_Tot_employees]]) &lt; 1, "OK", "Mismatch")</f>
        <v>OK</v>
      </c>
      <c r="C419" s="24" t="str">
        <f>IF(ABS(Table4[[#This Row],[Total_FT_Employees]] + Table4[[#This Row],[Total_PT_Employees]] - Table4[[#This Row],[Total_Tot_employees]]) &lt; 1, "OK", "Mismatch")</f>
        <v>OK</v>
      </c>
      <c r="D419" s="24" t="str">
        <f>IF(ABS(Table4[[#This Row],[Public_Tot_employment]] + Table4[[#This Row],[Private_Tot_employment]] - Table4[[#This Row],[Total_Employment]]) &lt; 1, "OK", "Mismatch")</f>
        <v>Mismatch</v>
      </c>
    </row>
    <row r="420" spans="1:4" x14ac:dyDescent="0.3">
      <c r="A420" s="24" t="str">
        <f>IF(ABS(Table4[[#This Row],[Public_FT_employees]] + Table4[[#This Row],[Public_PT_employees]] - Table4[[#This Row],[Public_Tot_employees]]) &lt; 1, "OK", "Mismatch")</f>
        <v>OK</v>
      </c>
      <c r="B420" s="24" t="str">
        <f>IF(ABS(Table4[[#This Row],[Private_FT_employees]] + Table4[[#This Row],[Private_PT_employees]] - Table4[[#This Row],[Private_Tot_employees]]) &lt; 1, "OK", "Mismatch")</f>
        <v>OK</v>
      </c>
      <c r="C420" s="24" t="str">
        <f>IF(ABS(Table4[[#This Row],[Total_FT_Employees]] + Table4[[#This Row],[Total_PT_Employees]] - Table4[[#This Row],[Total_Tot_employees]]) &lt; 1, "OK", "Mismatch")</f>
        <v>Mismatch</v>
      </c>
      <c r="D420" s="24" t="str">
        <f>IF(ABS(Table4[[#This Row],[Public_Tot_employment]] + Table4[[#This Row],[Private_Tot_employment]] - Table4[[#This Row],[Total_Employment]]) &lt; 1, "OK", "Mismatch")</f>
        <v>OK</v>
      </c>
    </row>
    <row r="421" spans="1:4" x14ac:dyDescent="0.3">
      <c r="A421" s="24" t="str">
        <f>IF(ABS(Table4[[#This Row],[Public_FT_employees]] + Table4[[#This Row],[Public_PT_employees]] - Table4[[#This Row],[Public_Tot_employees]]) &lt; 1, "OK", "Mismatch")</f>
        <v>Mismatch</v>
      </c>
      <c r="B421" s="24" t="str">
        <f>IF(ABS(Table4[[#This Row],[Private_FT_employees]] + Table4[[#This Row],[Private_PT_employees]] - Table4[[#This Row],[Private_Tot_employees]]) &lt; 1, "OK", "Mismatch")</f>
        <v>OK</v>
      </c>
      <c r="C421" s="24" t="str">
        <f>IF(ABS(Table4[[#This Row],[Total_FT_Employees]] + Table4[[#This Row],[Total_PT_Employees]] - Table4[[#This Row],[Total_Tot_employees]]) &lt; 1, "OK", "Mismatch")</f>
        <v>Mismatch</v>
      </c>
      <c r="D421" s="24" t="str">
        <f>IF(ABS(Table4[[#This Row],[Public_Tot_employment]] + Table4[[#This Row],[Private_Tot_employment]] - Table4[[#This Row],[Total_Employment]]) &lt; 1, "OK", "Mismatch")</f>
        <v>OK</v>
      </c>
    </row>
    <row r="422" spans="1:4" x14ac:dyDescent="0.3">
      <c r="A422" s="24" t="str">
        <f>IF(ABS(Table4[[#This Row],[Public_FT_employees]] + Table4[[#This Row],[Public_PT_employees]] - Table4[[#This Row],[Public_Tot_employees]]) &lt; 1, "OK", "Mismatch")</f>
        <v>Mismatch</v>
      </c>
      <c r="B422" s="24" t="str">
        <f>IF(ABS(Table4[[#This Row],[Private_FT_employees]] + Table4[[#This Row],[Private_PT_employees]] - Table4[[#This Row],[Private_Tot_employees]]) &lt; 1, "OK", "Mismatch")</f>
        <v>OK</v>
      </c>
      <c r="C422" s="24" t="str">
        <f>IF(ABS(Table4[[#This Row],[Total_FT_Employees]] + Table4[[#This Row],[Total_PT_Employees]] - Table4[[#This Row],[Total_Tot_employees]]) &lt; 1, "OK", "Mismatch")</f>
        <v>OK</v>
      </c>
      <c r="D422" s="24" t="str">
        <f>IF(ABS(Table4[[#This Row],[Public_Tot_employment]] + Table4[[#This Row],[Private_Tot_employment]] - Table4[[#This Row],[Total_Employment]]) &lt; 1, "OK", "Mismatch")</f>
        <v>OK</v>
      </c>
    </row>
    <row r="423" spans="1:4" x14ac:dyDescent="0.3">
      <c r="A423" s="24" t="str">
        <f>IF(ABS(Table4[[#This Row],[Public_FT_employees]] + Table4[[#This Row],[Public_PT_employees]] - Table4[[#This Row],[Public_Tot_employees]]) &lt; 1, "OK", "Mismatch")</f>
        <v>OK</v>
      </c>
      <c r="B423" s="24" t="str">
        <f>IF(ABS(Table4[[#This Row],[Private_FT_employees]] + Table4[[#This Row],[Private_PT_employees]] - Table4[[#This Row],[Private_Tot_employees]]) &lt; 1, "OK", "Mismatch")</f>
        <v>OK</v>
      </c>
      <c r="C423" s="24" t="str">
        <f>IF(ABS(Table4[[#This Row],[Total_FT_Employees]] + Table4[[#This Row],[Total_PT_Employees]] - Table4[[#This Row],[Total_Tot_employees]]) &lt; 1, "OK", "Mismatch")</f>
        <v>OK</v>
      </c>
      <c r="D423" s="24" t="str">
        <f>IF(ABS(Table4[[#This Row],[Public_Tot_employment]] + Table4[[#This Row],[Private_Tot_employment]] - Table4[[#This Row],[Total_Employment]]) &lt; 1, "OK", "Mismatch")</f>
        <v>Mismatch</v>
      </c>
    </row>
    <row r="424" spans="1:4" x14ac:dyDescent="0.3">
      <c r="A424" s="24" t="str">
        <f>IF(ABS(Table4[[#This Row],[Public_FT_employees]] + Table4[[#This Row],[Public_PT_employees]] - Table4[[#This Row],[Public_Tot_employees]]) &lt; 1, "OK", "Mismatch")</f>
        <v>OK</v>
      </c>
      <c r="B424" s="24" t="str">
        <f>IF(ABS(Table4[[#This Row],[Private_FT_employees]] + Table4[[#This Row],[Private_PT_employees]] - Table4[[#This Row],[Private_Tot_employees]]) &lt; 1, "OK", "Mismatch")</f>
        <v>Mismatch</v>
      </c>
      <c r="C424" s="24" t="str">
        <f>IF(ABS(Table4[[#This Row],[Total_FT_Employees]] + Table4[[#This Row],[Total_PT_Employees]] - Table4[[#This Row],[Total_Tot_employees]]) &lt; 1, "OK", "Mismatch")</f>
        <v>Mismatch</v>
      </c>
      <c r="D424" s="24" t="str">
        <f>IF(ABS(Table4[[#This Row],[Public_Tot_employment]] + Table4[[#This Row],[Private_Tot_employment]] - Table4[[#This Row],[Total_Employment]]) &lt; 1, "OK", "Mismatch")</f>
        <v>OK</v>
      </c>
    </row>
    <row r="425" spans="1:4" x14ac:dyDescent="0.3">
      <c r="A425" s="24" t="str">
        <f>IF(ABS(Table4[[#This Row],[Public_FT_employees]] + Table4[[#This Row],[Public_PT_employees]] - Table4[[#This Row],[Public_Tot_employees]]) &lt; 1, "OK", "Mismatch")</f>
        <v>OK</v>
      </c>
      <c r="B425" s="24" t="str">
        <f>IF(ABS(Table4[[#This Row],[Private_FT_employees]] + Table4[[#This Row],[Private_PT_employees]] - Table4[[#This Row],[Private_Tot_employees]]) &lt; 1, "OK", "Mismatch")</f>
        <v>Mismatch</v>
      </c>
      <c r="C425" s="24" t="str">
        <f>IF(ABS(Table4[[#This Row],[Total_FT_Employees]] + Table4[[#This Row],[Total_PT_Employees]] - Table4[[#This Row],[Total_Tot_employees]]) &lt; 1, "OK", "Mismatch")</f>
        <v>Mismatch</v>
      </c>
      <c r="D425" s="24" t="str">
        <f>IF(ABS(Table4[[#This Row],[Public_Tot_employment]] + Table4[[#This Row],[Private_Tot_employment]] - Table4[[#This Row],[Total_Employment]]) &lt; 1, "OK", "Mismatch")</f>
        <v>OK</v>
      </c>
    </row>
    <row r="426" spans="1:4" x14ac:dyDescent="0.3">
      <c r="A426" s="24" t="str">
        <f>IF(ABS(Table4[[#This Row],[Public_FT_employees]] + Table4[[#This Row],[Public_PT_employees]] - Table4[[#This Row],[Public_Tot_employees]]) &lt; 1, "OK", "Mismatch")</f>
        <v>Mismatch</v>
      </c>
      <c r="B426" s="24" t="str">
        <f>IF(ABS(Table4[[#This Row],[Private_FT_employees]] + Table4[[#This Row],[Private_PT_employees]] - Table4[[#This Row],[Private_Tot_employees]]) &lt; 1, "OK", "Mismatch")</f>
        <v>OK</v>
      </c>
      <c r="C426" s="24" t="str">
        <f>IF(ABS(Table4[[#This Row],[Total_FT_Employees]] + Table4[[#This Row],[Total_PT_Employees]] - Table4[[#This Row],[Total_Tot_employees]]) &lt; 1, "OK", "Mismatch")</f>
        <v>Mismatch</v>
      </c>
      <c r="D426" s="24" t="str">
        <f>IF(ABS(Table4[[#This Row],[Public_Tot_employment]] + Table4[[#This Row],[Private_Tot_employment]] - Table4[[#This Row],[Total_Employment]]) &lt; 1, "OK", "Mismatch")</f>
        <v>OK</v>
      </c>
    </row>
    <row r="427" spans="1:4" x14ac:dyDescent="0.3">
      <c r="A427" s="24" t="str">
        <f>IF(ABS(Table4[[#This Row],[Public_FT_employees]] + Table4[[#This Row],[Public_PT_employees]] - Table4[[#This Row],[Public_Tot_employees]]) &lt; 1, "OK", "Mismatch")</f>
        <v>OK</v>
      </c>
      <c r="B427" s="24" t="str">
        <f>IF(ABS(Table4[[#This Row],[Private_FT_employees]] + Table4[[#This Row],[Private_PT_employees]] - Table4[[#This Row],[Private_Tot_employees]]) &lt; 1, "OK", "Mismatch")</f>
        <v>OK</v>
      </c>
      <c r="C427" s="24" t="str">
        <f>IF(ABS(Table4[[#This Row],[Total_FT_Employees]] + Table4[[#This Row],[Total_PT_Employees]] - Table4[[#This Row],[Total_Tot_employees]]) &lt; 1, "OK", "Mismatch")</f>
        <v>OK</v>
      </c>
      <c r="D427" s="24" t="str">
        <f>IF(ABS(Table4[[#This Row],[Public_Tot_employment]] + Table4[[#This Row],[Private_Tot_employment]] - Table4[[#This Row],[Total_Employment]]) &lt; 1, "OK", "Mismatch")</f>
        <v>OK</v>
      </c>
    </row>
    <row r="428" spans="1:4" x14ac:dyDescent="0.3">
      <c r="A428" s="24" t="str">
        <f>IF(ABS(Table4[[#This Row],[Public_FT_employees]] + Table4[[#This Row],[Public_PT_employees]] - Table4[[#This Row],[Public_Tot_employees]]) &lt; 1, "OK", "Mismatch")</f>
        <v>Mismatch</v>
      </c>
      <c r="B428" s="24" t="str">
        <f>IF(ABS(Table4[[#This Row],[Private_FT_employees]] + Table4[[#This Row],[Private_PT_employees]] - Table4[[#This Row],[Private_Tot_employees]]) &lt; 1, "OK", "Mismatch")</f>
        <v>Mismatch</v>
      </c>
      <c r="C428" s="24" t="str">
        <f>IF(ABS(Table4[[#This Row],[Total_FT_Employees]] + Table4[[#This Row],[Total_PT_Employees]] - Table4[[#This Row],[Total_Tot_employees]]) &lt; 1, "OK", "Mismatch")</f>
        <v>OK</v>
      </c>
      <c r="D428" s="24" t="str">
        <f>IF(ABS(Table4[[#This Row],[Public_Tot_employment]] + Table4[[#This Row],[Private_Tot_employment]] - Table4[[#This Row],[Total_Employment]]) &lt; 1, "OK", "Mismatch")</f>
        <v>OK</v>
      </c>
    </row>
    <row r="429" spans="1:4" x14ac:dyDescent="0.3">
      <c r="A429" s="24" t="str">
        <f>IF(ABS(Table4[[#This Row],[Public_FT_employees]] + Table4[[#This Row],[Public_PT_employees]] - Table4[[#This Row],[Public_Tot_employees]]) &lt; 1, "OK", "Mismatch")</f>
        <v>OK</v>
      </c>
      <c r="B429" s="24" t="str">
        <f>IF(ABS(Table4[[#This Row],[Private_FT_employees]] + Table4[[#This Row],[Private_PT_employees]] - Table4[[#This Row],[Private_Tot_employees]]) &lt; 1, "OK", "Mismatch")</f>
        <v>OK</v>
      </c>
      <c r="C429" s="24" t="str">
        <f>IF(ABS(Table4[[#This Row],[Total_FT_Employees]] + Table4[[#This Row],[Total_PT_Employees]] - Table4[[#This Row],[Total_Tot_employees]]) &lt; 1, "OK", "Mismatch")</f>
        <v>OK</v>
      </c>
      <c r="D429" s="24" t="str">
        <f>IF(ABS(Table4[[#This Row],[Public_Tot_employment]] + Table4[[#This Row],[Private_Tot_employment]] - Table4[[#This Row],[Total_Employment]]) &lt; 1, "OK", "Mismatch")</f>
        <v>OK</v>
      </c>
    </row>
    <row r="430" spans="1:4" x14ac:dyDescent="0.3">
      <c r="A430" s="24" t="str">
        <f>IF(ABS(Table4[[#This Row],[Public_FT_employees]] + Table4[[#This Row],[Public_PT_employees]] - Table4[[#This Row],[Public_Tot_employees]]) &lt; 1, "OK", "Mismatch")</f>
        <v>OK</v>
      </c>
      <c r="B430" s="24" t="str">
        <f>IF(ABS(Table4[[#This Row],[Private_FT_employees]] + Table4[[#This Row],[Private_PT_employees]] - Table4[[#This Row],[Private_Tot_employees]]) &lt; 1, "OK", "Mismatch")</f>
        <v>Mismatch</v>
      </c>
      <c r="C430" s="24" t="str">
        <f>IF(ABS(Table4[[#This Row],[Total_FT_Employees]] + Table4[[#This Row],[Total_PT_Employees]] - Table4[[#This Row],[Total_Tot_employees]]) &lt; 1, "OK", "Mismatch")</f>
        <v>Mismatch</v>
      </c>
      <c r="D430" s="24" t="str">
        <f>IF(ABS(Table4[[#This Row],[Public_Tot_employment]] + Table4[[#This Row],[Private_Tot_employment]] - Table4[[#This Row],[Total_Employment]]) &lt; 1, "OK", "Mismatch")</f>
        <v>Mismatch</v>
      </c>
    </row>
    <row r="431" spans="1:4" x14ac:dyDescent="0.3">
      <c r="A431" s="24" t="str">
        <f>IF(ABS(Table4[[#This Row],[Public_FT_employees]] + Table4[[#This Row],[Public_PT_employees]] - Table4[[#This Row],[Public_Tot_employees]]) &lt; 1, "OK", "Mismatch")</f>
        <v>OK</v>
      </c>
      <c r="B431" s="24" t="str">
        <f>IF(ABS(Table4[[#This Row],[Private_FT_employees]] + Table4[[#This Row],[Private_PT_employees]] - Table4[[#This Row],[Private_Tot_employees]]) &lt; 1, "OK", "Mismatch")</f>
        <v>Mismatch</v>
      </c>
      <c r="C431" s="24" t="str">
        <f>IF(ABS(Table4[[#This Row],[Total_FT_Employees]] + Table4[[#This Row],[Total_PT_Employees]] - Table4[[#This Row],[Total_Tot_employees]]) &lt; 1, "OK", "Mismatch")</f>
        <v>Mismatch</v>
      </c>
      <c r="D431" s="24" t="str">
        <f>IF(ABS(Table4[[#This Row],[Public_Tot_employment]] + Table4[[#This Row],[Private_Tot_employment]] - Table4[[#This Row],[Total_Employment]]) &lt; 1, "OK", "Mismatch")</f>
        <v>OK</v>
      </c>
    </row>
    <row r="432" spans="1:4" x14ac:dyDescent="0.3">
      <c r="A432" s="24" t="str">
        <f>IF(ABS(Table4[[#This Row],[Public_FT_employees]] + Table4[[#This Row],[Public_PT_employees]] - Table4[[#This Row],[Public_Tot_employees]]) &lt; 1, "OK", "Mismatch")</f>
        <v>OK</v>
      </c>
      <c r="B432" s="24" t="str">
        <f>IF(ABS(Table4[[#This Row],[Private_FT_employees]] + Table4[[#This Row],[Private_PT_employees]] - Table4[[#This Row],[Private_Tot_employees]]) &lt; 1, "OK", "Mismatch")</f>
        <v>OK</v>
      </c>
      <c r="C432" s="24" t="str">
        <f>IF(ABS(Table4[[#This Row],[Total_FT_Employees]] + Table4[[#This Row],[Total_PT_Employees]] - Table4[[#This Row],[Total_Tot_employees]]) &lt; 1, "OK", "Mismatch")</f>
        <v>OK</v>
      </c>
      <c r="D432" s="24" t="str">
        <f>IF(ABS(Table4[[#This Row],[Public_Tot_employment]] + Table4[[#This Row],[Private_Tot_employment]] - Table4[[#This Row],[Total_Employment]]) &lt; 1, "OK", "Mismatch")</f>
        <v>OK</v>
      </c>
    </row>
    <row r="433" spans="1:4" x14ac:dyDescent="0.3">
      <c r="A433" s="24" t="str">
        <f>IF(ABS(Table4[[#This Row],[Public_FT_employees]] + Table4[[#This Row],[Public_PT_employees]] - Table4[[#This Row],[Public_Tot_employees]]) &lt; 1, "OK", "Mismatch")</f>
        <v>OK</v>
      </c>
      <c r="B433" s="24" t="str">
        <f>IF(ABS(Table4[[#This Row],[Private_FT_employees]] + Table4[[#This Row],[Private_PT_employees]] - Table4[[#This Row],[Private_Tot_employees]]) &lt; 1, "OK", "Mismatch")</f>
        <v>Mismatch</v>
      </c>
      <c r="C433" s="24" t="str">
        <f>IF(ABS(Table4[[#This Row],[Total_FT_Employees]] + Table4[[#This Row],[Total_PT_Employees]] - Table4[[#This Row],[Total_Tot_employees]]) &lt; 1, "OK", "Mismatch")</f>
        <v>Mismatch</v>
      </c>
      <c r="D433" s="24" t="str">
        <f>IF(ABS(Table4[[#This Row],[Public_Tot_employment]] + Table4[[#This Row],[Private_Tot_employment]] - Table4[[#This Row],[Total_Employment]]) &lt; 1, "OK", "Mismatch")</f>
        <v>OK</v>
      </c>
    </row>
    <row r="434" spans="1:4" x14ac:dyDescent="0.3">
      <c r="A434" s="24" t="str">
        <f>IF(ABS(Table4[[#This Row],[Public_FT_employees]] + Table4[[#This Row],[Public_PT_employees]] - Table4[[#This Row],[Public_Tot_employees]]) &lt; 1, "OK", "Mismatch")</f>
        <v>Mismatch</v>
      </c>
      <c r="B434" s="24" t="str">
        <f>IF(ABS(Table4[[#This Row],[Private_FT_employees]] + Table4[[#This Row],[Private_PT_employees]] - Table4[[#This Row],[Private_Tot_employees]]) &lt; 1, "OK", "Mismatch")</f>
        <v>Mismatch</v>
      </c>
      <c r="C434" s="24" t="str">
        <f>IF(ABS(Table4[[#This Row],[Total_FT_Employees]] + Table4[[#This Row],[Total_PT_Employees]] - Table4[[#This Row],[Total_Tot_employees]]) &lt; 1, "OK", "Mismatch")</f>
        <v>Mismatch</v>
      </c>
      <c r="D434" s="24" t="str">
        <f>IF(ABS(Table4[[#This Row],[Public_Tot_employment]] + Table4[[#This Row],[Private_Tot_employment]] - Table4[[#This Row],[Total_Employment]]) &lt; 1, "OK", "Mismatch")</f>
        <v>Mismatch</v>
      </c>
    </row>
    <row r="435" spans="1:4" x14ac:dyDescent="0.3">
      <c r="A435" s="24" t="str">
        <f>IF(ABS(Table4[[#This Row],[Public_FT_employees]] + Table4[[#This Row],[Public_PT_employees]] - Table4[[#This Row],[Public_Tot_employees]]) &lt; 1, "OK", "Mismatch")</f>
        <v>OK</v>
      </c>
      <c r="B435" s="24" t="str">
        <f>IF(ABS(Table4[[#This Row],[Private_FT_employees]] + Table4[[#This Row],[Private_PT_employees]] - Table4[[#This Row],[Private_Tot_employees]]) &lt; 1, "OK", "Mismatch")</f>
        <v>Mismatch</v>
      </c>
      <c r="C435" s="24" t="str">
        <f>IF(ABS(Table4[[#This Row],[Total_FT_Employees]] + Table4[[#This Row],[Total_PT_Employees]] - Table4[[#This Row],[Total_Tot_employees]]) &lt; 1, "OK", "Mismatch")</f>
        <v>Mismatch</v>
      </c>
      <c r="D435" s="24" t="str">
        <f>IF(ABS(Table4[[#This Row],[Public_Tot_employment]] + Table4[[#This Row],[Private_Tot_employment]] - Table4[[#This Row],[Total_Employment]]) &lt; 1, "OK", "Mismatch")</f>
        <v>OK</v>
      </c>
    </row>
    <row r="436" spans="1:4" x14ac:dyDescent="0.3">
      <c r="A436" s="24" t="str">
        <f>IF(ABS(Table4[[#This Row],[Public_FT_employees]] + Table4[[#This Row],[Public_PT_employees]] - Table4[[#This Row],[Public_Tot_employees]]) &lt; 1, "OK", "Mismatch")</f>
        <v>OK</v>
      </c>
      <c r="B436" s="24" t="str">
        <f>IF(ABS(Table4[[#This Row],[Private_FT_employees]] + Table4[[#This Row],[Private_PT_employees]] - Table4[[#This Row],[Private_Tot_employees]]) &lt; 1, "OK", "Mismatch")</f>
        <v>OK</v>
      </c>
      <c r="C436" s="24" t="str">
        <f>IF(ABS(Table4[[#This Row],[Total_FT_Employees]] + Table4[[#This Row],[Total_PT_Employees]] - Table4[[#This Row],[Total_Tot_employees]]) &lt; 1, "OK", "Mismatch")</f>
        <v>OK</v>
      </c>
      <c r="D436" s="24" t="str">
        <f>IF(ABS(Table4[[#This Row],[Public_Tot_employment]] + Table4[[#This Row],[Private_Tot_employment]] - Table4[[#This Row],[Total_Employment]]) &lt; 1, "OK", "Mismatch")</f>
        <v>OK</v>
      </c>
    </row>
    <row r="437" spans="1:4" x14ac:dyDescent="0.3">
      <c r="A437" s="24" t="str">
        <f>IF(ABS(Table4[[#This Row],[Public_FT_employees]] + Table4[[#This Row],[Public_PT_employees]] - Table4[[#This Row],[Public_Tot_employees]]) &lt; 1, "OK", "Mismatch")</f>
        <v>Mismatch</v>
      </c>
      <c r="B437" s="24" t="str">
        <f>IF(ABS(Table4[[#This Row],[Private_FT_employees]] + Table4[[#This Row],[Private_PT_employees]] - Table4[[#This Row],[Private_Tot_employees]]) &lt; 1, "OK", "Mismatch")</f>
        <v>Mismatch</v>
      </c>
      <c r="C437" s="24" t="str">
        <f>IF(ABS(Table4[[#This Row],[Total_FT_Employees]] + Table4[[#This Row],[Total_PT_Employees]] - Table4[[#This Row],[Total_Tot_employees]]) &lt; 1, "OK", "Mismatch")</f>
        <v>OK</v>
      </c>
      <c r="D437" s="24" t="str">
        <f>IF(ABS(Table4[[#This Row],[Public_Tot_employment]] + Table4[[#This Row],[Private_Tot_employment]] - Table4[[#This Row],[Total_Employment]]) &lt; 1, "OK", "Mismatch")</f>
        <v>OK</v>
      </c>
    </row>
    <row r="438" spans="1:4" x14ac:dyDescent="0.3">
      <c r="A438" s="24" t="str">
        <f>IF(ABS(Table4[[#This Row],[Public_FT_employees]] + Table4[[#This Row],[Public_PT_employees]] - Table4[[#This Row],[Public_Tot_employees]]) &lt; 1, "OK", "Mismatch")</f>
        <v>OK</v>
      </c>
      <c r="B438" s="24" t="str">
        <f>IF(ABS(Table4[[#This Row],[Private_FT_employees]] + Table4[[#This Row],[Private_PT_employees]] - Table4[[#This Row],[Private_Tot_employees]]) &lt; 1, "OK", "Mismatch")</f>
        <v>Mismatch</v>
      </c>
      <c r="C438" s="24" t="str">
        <f>IF(ABS(Table4[[#This Row],[Total_FT_Employees]] + Table4[[#This Row],[Total_PT_Employees]] - Table4[[#This Row],[Total_Tot_employees]]) &lt; 1, "OK", "Mismatch")</f>
        <v>OK</v>
      </c>
      <c r="D438" s="24" t="str">
        <f>IF(ABS(Table4[[#This Row],[Public_Tot_employment]] + Table4[[#This Row],[Private_Tot_employment]] - Table4[[#This Row],[Total_Employment]]) &lt; 1, "OK", "Mismatch")</f>
        <v>OK</v>
      </c>
    </row>
    <row r="439" spans="1:4" x14ac:dyDescent="0.3">
      <c r="A439" s="24" t="str">
        <f>IF(ABS(Table4[[#This Row],[Public_FT_employees]] + Table4[[#This Row],[Public_PT_employees]] - Table4[[#This Row],[Public_Tot_employees]]) &lt; 1, "OK", "Mismatch")</f>
        <v>OK</v>
      </c>
      <c r="B439" s="24" t="str">
        <f>IF(ABS(Table4[[#This Row],[Private_FT_employees]] + Table4[[#This Row],[Private_PT_employees]] - Table4[[#This Row],[Private_Tot_employees]]) &lt; 1, "OK", "Mismatch")</f>
        <v>OK</v>
      </c>
      <c r="C439" s="24" t="str">
        <f>IF(ABS(Table4[[#This Row],[Total_FT_Employees]] + Table4[[#This Row],[Total_PT_Employees]] - Table4[[#This Row],[Total_Tot_employees]]) &lt; 1, "OK", "Mismatch")</f>
        <v>OK</v>
      </c>
      <c r="D439" s="24" t="str">
        <f>IF(ABS(Table4[[#This Row],[Public_Tot_employment]] + Table4[[#This Row],[Private_Tot_employment]] - Table4[[#This Row],[Total_Employment]]) &lt; 1, "OK", "Mismatch")</f>
        <v>Mismatch</v>
      </c>
    </row>
    <row r="440" spans="1:4" x14ac:dyDescent="0.3">
      <c r="A440" s="24" t="str">
        <f>IF(ABS(Table4[[#This Row],[Public_FT_employees]] + Table4[[#This Row],[Public_PT_employees]] - Table4[[#This Row],[Public_Tot_employees]]) &lt; 1, "OK", "Mismatch")</f>
        <v>OK</v>
      </c>
      <c r="B440" s="24" t="str">
        <f>IF(ABS(Table4[[#This Row],[Private_FT_employees]] + Table4[[#This Row],[Private_PT_employees]] - Table4[[#This Row],[Private_Tot_employees]]) &lt; 1, "OK", "Mismatch")</f>
        <v>OK</v>
      </c>
      <c r="C440" s="24" t="str">
        <f>IF(ABS(Table4[[#This Row],[Total_FT_Employees]] + Table4[[#This Row],[Total_PT_Employees]] - Table4[[#This Row],[Total_Tot_employees]]) &lt; 1, "OK", "Mismatch")</f>
        <v>OK</v>
      </c>
      <c r="D440" s="24" t="str">
        <f>IF(ABS(Table4[[#This Row],[Public_Tot_employment]] + Table4[[#This Row],[Private_Tot_employment]] - Table4[[#This Row],[Total_Employment]]) &lt; 1, "OK", "Mismatch")</f>
        <v>Mismatch</v>
      </c>
    </row>
    <row r="441" spans="1:4" x14ac:dyDescent="0.3">
      <c r="A441" s="24" t="str">
        <f>IF(ABS(Table4[[#This Row],[Public_FT_employees]] + Table4[[#This Row],[Public_PT_employees]] - Table4[[#This Row],[Public_Tot_employees]]) &lt; 1, "OK", "Mismatch")</f>
        <v>OK</v>
      </c>
      <c r="B441" s="24" t="str">
        <f>IF(ABS(Table4[[#This Row],[Private_FT_employees]] + Table4[[#This Row],[Private_PT_employees]] - Table4[[#This Row],[Private_Tot_employees]]) &lt; 1, "OK", "Mismatch")</f>
        <v>OK</v>
      </c>
      <c r="C441" s="24" t="str">
        <f>IF(ABS(Table4[[#This Row],[Total_FT_Employees]] + Table4[[#This Row],[Total_PT_Employees]] - Table4[[#This Row],[Total_Tot_employees]]) &lt; 1, "OK", "Mismatch")</f>
        <v>OK</v>
      </c>
      <c r="D441" s="24" t="str">
        <f>IF(ABS(Table4[[#This Row],[Public_Tot_employment]] + Table4[[#This Row],[Private_Tot_employment]] - Table4[[#This Row],[Total_Employment]]) &lt; 1, "OK", "Mismatch")</f>
        <v>OK</v>
      </c>
    </row>
    <row r="442" spans="1:4" x14ac:dyDescent="0.3">
      <c r="A442" s="24" t="str">
        <f>IF(ABS(Table4[[#This Row],[Public_FT_employees]] + Table4[[#This Row],[Public_PT_employees]] - Table4[[#This Row],[Public_Tot_employees]]) &lt; 1, "OK", "Mismatch")</f>
        <v>OK</v>
      </c>
      <c r="B442" s="24" t="str">
        <f>IF(ABS(Table4[[#This Row],[Private_FT_employees]] + Table4[[#This Row],[Private_PT_employees]] - Table4[[#This Row],[Private_Tot_employees]]) &lt; 1, "OK", "Mismatch")</f>
        <v>OK</v>
      </c>
      <c r="C442" s="24" t="str">
        <f>IF(ABS(Table4[[#This Row],[Total_FT_Employees]] + Table4[[#This Row],[Total_PT_Employees]] - Table4[[#This Row],[Total_Tot_employees]]) &lt; 1, "OK", "Mismatch")</f>
        <v>OK</v>
      </c>
      <c r="D442" s="24" t="str">
        <f>IF(ABS(Table4[[#This Row],[Public_Tot_employment]] + Table4[[#This Row],[Private_Tot_employment]] - Table4[[#This Row],[Total_Employment]]) &lt; 1, "OK", "Mismatch")</f>
        <v>OK</v>
      </c>
    </row>
    <row r="443" spans="1:4" x14ac:dyDescent="0.3">
      <c r="A443" s="24" t="str">
        <f>IF(ABS(Table4[[#This Row],[Public_FT_employees]] + Table4[[#This Row],[Public_PT_employees]] - Table4[[#This Row],[Public_Tot_employees]]) &lt; 1, "OK", "Mismatch")</f>
        <v>OK</v>
      </c>
      <c r="B443" s="24" t="str">
        <f>IF(ABS(Table4[[#This Row],[Private_FT_employees]] + Table4[[#This Row],[Private_PT_employees]] - Table4[[#This Row],[Private_Tot_employees]]) &lt; 1, "OK", "Mismatch")</f>
        <v>OK</v>
      </c>
      <c r="C443" s="24" t="str">
        <f>IF(ABS(Table4[[#This Row],[Total_FT_Employees]] + Table4[[#This Row],[Total_PT_Employees]] - Table4[[#This Row],[Total_Tot_employees]]) &lt; 1, "OK", "Mismatch")</f>
        <v>OK</v>
      </c>
      <c r="D443" s="24" t="str">
        <f>IF(ABS(Table4[[#This Row],[Public_Tot_employment]] + Table4[[#This Row],[Private_Tot_employment]] - Table4[[#This Row],[Total_Employment]]) &lt; 1, "OK", "Mismatch")</f>
        <v>OK</v>
      </c>
    </row>
    <row r="444" spans="1:4" x14ac:dyDescent="0.3">
      <c r="A444" s="24" t="str">
        <f>IF(ABS(Table4[[#This Row],[Public_FT_employees]] + Table4[[#This Row],[Public_PT_employees]] - Table4[[#This Row],[Public_Tot_employees]]) &lt; 1, "OK", "Mismatch")</f>
        <v>OK</v>
      </c>
      <c r="B444" s="24" t="str">
        <f>IF(ABS(Table4[[#This Row],[Private_FT_employees]] + Table4[[#This Row],[Private_PT_employees]] - Table4[[#This Row],[Private_Tot_employees]]) &lt; 1, "OK", "Mismatch")</f>
        <v>OK</v>
      </c>
      <c r="C444" s="24" t="str">
        <f>IF(ABS(Table4[[#This Row],[Total_FT_Employees]] + Table4[[#This Row],[Total_PT_Employees]] - Table4[[#This Row],[Total_Tot_employees]]) &lt; 1, "OK", "Mismatch")</f>
        <v>OK</v>
      </c>
      <c r="D444" s="24" t="str">
        <f>IF(ABS(Table4[[#This Row],[Public_Tot_employment]] + Table4[[#This Row],[Private_Tot_employment]] - Table4[[#This Row],[Total_Employment]]) &lt; 1, "OK", "Mismatch")</f>
        <v>OK</v>
      </c>
    </row>
    <row r="445" spans="1:4" x14ac:dyDescent="0.3">
      <c r="A445" s="24" t="str">
        <f>IF(ABS(Table4[[#This Row],[Public_FT_employees]] + Table4[[#This Row],[Public_PT_employees]] - Table4[[#This Row],[Public_Tot_employees]]) &lt; 1, "OK", "Mismatch")</f>
        <v>OK</v>
      </c>
      <c r="B445" s="24" t="str">
        <f>IF(ABS(Table4[[#This Row],[Private_FT_employees]] + Table4[[#This Row],[Private_PT_employees]] - Table4[[#This Row],[Private_Tot_employees]]) &lt; 1, "OK", "Mismatch")</f>
        <v>OK</v>
      </c>
      <c r="C445" s="24" t="str">
        <f>IF(ABS(Table4[[#This Row],[Total_FT_Employees]] + Table4[[#This Row],[Total_PT_Employees]] - Table4[[#This Row],[Total_Tot_employees]]) &lt; 1, "OK", "Mismatch")</f>
        <v>Mismatch</v>
      </c>
      <c r="D445" s="24" t="str">
        <f>IF(ABS(Table4[[#This Row],[Public_Tot_employment]] + Table4[[#This Row],[Private_Tot_employment]] - Table4[[#This Row],[Total_Employment]]) &lt; 1, "OK", "Mismatch")</f>
        <v>OK</v>
      </c>
    </row>
    <row r="446" spans="1:4" x14ac:dyDescent="0.3">
      <c r="A446" s="24" t="str">
        <f>IF(ABS(Table4[[#This Row],[Public_FT_employees]] + Table4[[#This Row],[Public_PT_employees]] - Table4[[#This Row],[Public_Tot_employees]]) &lt; 1, "OK", "Mismatch")</f>
        <v>OK</v>
      </c>
      <c r="B446" s="24" t="str">
        <f>IF(ABS(Table4[[#This Row],[Private_FT_employees]] + Table4[[#This Row],[Private_PT_employees]] - Table4[[#This Row],[Private_Tot_employees]]) &lt; 1, "OK", "Mismatch")</f>
        <v>Mismatch</v>
      </c>
      <c r="C446" s="24" t="str">
        <f>IF(ABS(Table4[[#This Row],[Total_FT_Employees]] + Table4[[#This Row],[Total_PT_Employees]] - Table4[[#This Row],[Total_Tot_employees]]) &lt; 1, "OK", "Mismatch")</f>
        <v>OK</v>
      </c>
      <c r="D446" s="24" t="str">
        <f>IF(ABS(Table4[[#This Row],[Public_Tot_employment]] + Table4[[#This Row],[Private_Tot_employment]] - Table4[[#This Row],[Total_Employment]]) &lt; 1, "OK", "Mismatch")</f>
        <v>OK</v>
      </c>
    </row>
    <row r="447" spans="1:4" x14ac:dyDescent="0.3">
      <c r="A447" s="24" t="str">
        <f>IF(ABS(Table4[[#This Row],[Public_FT_employees]] + Table4[[#This Row],[Public_PT_employees]] - Table4[[#This Row],[Public_Tot_employees]]) &lt; 1, "OK", "Mismatch")</f>
        <v>OK</v>
      </c>
      <c r="B447" s="24" t="str">
        <f>IF(ABS(Table4[[#This Row],[Private_FT_employees]] + Table4[[#This Row],[Private_PT_employees]] - Table4[[#This Row],[Private_Tot_employees]]) &lt; 1, "OK", "Mismatch")</f>
        <v>OK</v>
      </c>
      <c r="C447" s="24" t="str">
        <f>IF(ABS(Table4[[#This Row],[Total_FT_Employees]] + Table4[[#This Row],[Total_PT_Employees]] - Table4[[#This Row],[Total_Tot_employees]]) &lt; 1, "OK", "Mismatch")</f>
        <v>OK</v>
      </c>
      <c r="D447" s="24" t="str">
        <f>IF(ABS(Table4[[#This Row],[Public_Tot_employment]] + Table4[[#This Row],[Private_Tot_employment]] - Table4[[#This Row],[Total_Employment]]) &lt; 1, "OK", "Mismatch")</f>
        <v>OK</v>
      </c>
    </row>
    <row r="448" spans="1:4" x14ac:dyDescent="0.3">
      <c r="A448" s="24" t="str">
        <f>IF(ABS(Table4[[#This Row],[Public_FT_employees]] + Table4[[#This Row],[Public_PT_employees]] - Table4[[#This Row],[Public_Tot_employees]]) &lt; 1, "OK", "Mismatch")</f>
        <v>OK</v>
      </c>
      <c r="B448" s="24" t="str">
        <f>IF(ABS(Table4[[#This Row],[Private_FT_employees]] + Table4[[#This Row],[Private_PT_employees]] - Table4[[#This Row],[Private_Tot_employees]]) &lt; 1, "OK", "Mismatch")</f>
        <v>OK</v>
      </c>
      <c r="C448" s="24" t="str">
        <f>IF(ABS(Table4[[#This Row],[Total_FT_Employees]] + Table4[[#This Row],[Total_PT_Employees]] - Table4[[#This Row],[Total_Tot_employees]]) &lt; 1, "OK", "Mismatch")</f>
        <v>OK</v>
      </c>
      <c r="D448" s="24" t="str">
        <f>IF(ABS(Table4[[#This Row],[Public_Tot_employment]] + Table4[[#This Row],[Private_Tot_employment]] - Table4[[#This Row],[Total_Employment]]) &lt; 1, "OK", "Mismatch")</f>
        <v>Mismatch</v>
      </c>
    </row>
    <row r="449" spans="1:4" x14ac:dyDescent="0.3">
      <c r="A449" s="24" t="str">
        <f>IF(ABS(Table4[[#This Row],[Public_FT_employees]] + Table4[[#This Row],[Public_PT_employees]] - Table4[[#This Row],[Public_Tot_employees]]) &lt; 1, "OK", "Mismatch")</f>
        <v>Mismatch</v>
      </c>
      <c r="B449" s="24" t="str">
        <f>IF(ABS(Table4[[#This Row],[Private_FT_employees]] + Table4[[#This Row],[Private_PT_employees]] - Table4[[#This Row],[Private_Tot_employees]]) &lt; 1, "OK", "Mismatch")</f>
        <v>OK</v>
      </c>
      <c r="C449" s="24" t="str">
        <f>IF(ABS(Table4[[#This Row],[Total_FT_Employees]] + Table4[[#This Row],[Total_PT_Employees]] - Table4[[#This Row],[Total_Tot_employees]]) &lt; 1, "OK", "Mismatch")</f>
        <v>OK</v>
      </c>
      <c r="D449" s="24" t="str">
        <f>IF(ABS(Table4[[#This Row],[Public_Tot_employment]] + Table4[[#This Row],[Private_Tot_employment]] - Table4[[#This Row],[Total_Employment]]) &lt; 1, "OK", "Mismatch")</f>
        <v>Mismatch</v>
      </c>
    </row>
    <row r="450" spans="1:4" x14ac:dyDescent="0.3">
      <c r="A450" s="24" t="str">
        <f>IF(ABS(Table4[[#This Row],[Public_FT_employees]] + Table4[[#This Row],[Public_PT_employees]] - Table4[[#This Row],[Public_Tot_employees]]) &lt; 1, "OK", "Mismatch")</f>
        <v>OK</v>
      </c>
      <c r="B450" s="24" t="str">
        <f>IF(ABS(Table4[[#This Row],[Private_FT_employees]] + Table4[[#This Row],[Private_PT_employees]] - Table4[[#This Row],[Private_Tot_employees]]) &lt; 1, "OK", "Mismatch")</f>
        <v>Mismatch</v>
      </c>
      <c r="C450" s="24" t="str">
        <f>IF(ABS(Table4[[#This Row],[Total_FT_Employees]] + Table4[[#This Row],[Total_PT_Employees]] - Table4[[#This Row],[Total_Tot_employees]]) &lt; 1, "OK", "Mismatch")</f>
        <v>OK</v>
      </c>
      <c r="D450" s="24" t="str">
        <f>IF(ABS(Table4[[#This Row],[Public_Tot_employment]] + Table4[[#This Row],[Private_Tot_employment]] - Table4[[#This Row],[Total_Employment]]) &lt; 1, "OK", "Mismatch")</f>
        <v>OK</v>
      </c>
    </row>
    <row r="451" spans="1:4" x14ac:dyDescent="0.3">
      <c r="A451" s="24" t="str">
        <f>IF(ABS(Table4[[#This Row],[Public_FT_employees]] + Table4[[#This Row],[Public_PT_employees]] - Table4[[#This Row],[Public_Tot_employees]]) &lt; 1, "OK", "Mismatch")</f>
        <v>Mismatch</v>
      </c>
      <c r="B451" s="24" t="str">
        <f>IF(ABS(Table4[[#This Row],[Private_FT_employees]] + Table4[[#This Row],[Private_PT_employees]] - Table4[[#This Row],[Private_Tot_employees]]) &lt; 1, "OK", "Mismatch")</f>
        <v>OK</v>
      </c>
      <c r="C451" s="24" t="str">
        <f>IF(ABS(Table4[[#This Row],[Total_FT_Employees]] + Table4[[#This Row],[Total_PT_Employees]] - Table4[[#This Row],[Total_Tot_employees]]) &lt; 1, "OK", "Mismatch")</f>
        <v>OK</v>
      </c>
      <c r="D451" s="24" t="str">
        <f>IF(ABS(Table4[[#This Row],[Public_Tot_employment]] + Table4[[#This Row],[Private_Tot_employment]] - Table4[[#This Row],[Total_Employment]]) &lt; 1, "OK", "Mismatch")</f>
        <v>Mismatch</v>
      </c>
    </row>
    <row r="452" spans="1:4" x14ac:dyDescent="0.3">
      <c r="A452" s="24" t="str">
        <f>IF(ABS(Table4[[#This Row],[Public_FT_employees]] + Table4[[#This Row],[Public_PT_employees]] - Table4[[#This Row],[Public_Tot_employees]]) &lt; 1, "OK", "Mismatch")</f>
        <v>Mismatch</v>
      </c>
      <c r="B452" s="24" t="str">
        <f>IF(ABS(Table4[[#This Row],[Private_FT_employees]] + Table4[[#This Row],[Private_PT_employees]] - Table4[[#This Row],[Private_Tot_employees]]) &lt; 1, "OK", "Mismatch")</f>
        <v>Mismatch</v>
      </c>
      <c r="C452" s="24" t="str">
        <f>IF(ABS(Table4[[#This Row],[Total_FT_Employees]] + Table4[[#This Row],[Total_PT_Employees]] - Table4[[#This Row],[Total_Tot_employees]]) &lt; 1, "OK", "Mismatch")</f>
        <v>Mismatch</v>
      </c>
      <c r="D452" s="24" t="str">
        <f>IF(ABS(Table4[[#This Row],[Public_Tot_employment]] + Table4[[#This Row],[Private_Tot_employment]] - Table4[[#This Row],[Total_Employment]]) &lt; 1, "OK", "Mismatch")</f>
        <v>OK</v>
      </c>
    </row>
    <row r="453" spans="1:4" x14ac:dyDescent="0.3">
      <c r="A453" s="24" t="str">
        <f>IF(ABS(Table4[[#This Row],[Public_FT_employees]] + Table4[[#This Row],[Public_PT_employees]] - Table4[[#This Row],[Public_Tot_employees]]) &lt; 1, "OK", "Mismatch")</f>
        <v>OK</v>
      </c>
      <c r="B453" s="24" t="str">
        <f>IF(ABS(Table4[[#This Row],[Private_FT_employees]] + Table4[[#This Row],[Private_PT_employees]] - Table4[[#This Row],[Private_Tot_employees]]) &lt; 1, "OK", "Mismatch")</f>
        <v>Mismatch</v>
      </c>
      <c r="C453" s="24" t="str">
        <f>IF(ABS(Table4[[#This Row],[Total_FT_Employees]] + Table4[[#This Row],[Total_PT_Employees]] - Table4[[#This Row],[Total_Tot_employees]]) &lt; 1, "OK", "Mismatch")</f>
        <v>OK</v>
      </c>
      <c r="D453" s="24" t="str">
        <f>IF(ABS(Table4[[#This Row],[Public_Tot_employment]] + Table4[[#This Row],[Private_Tot_employment]] - Table4[[#This Row],[Total_Employment]]) &lt; 1, "OK", "Mismatch")</f>
        <v>OK</v>
      </c>
    </row>
    <row r="454" spans="1:4" x14ac:dyDescent="0.3">
      <c r="A454" s="24" t="str">
        <f>IF(ABS(Table4[[#This Row],[Public_FT_employees]] + Table4[[#This Row],[Public_PT_employees]] - Table4[[#This Row],[Public_Tot_employees]]) &lt; 1, "OK", "Mismatch")</f>
        <v>OK</v>
      </c>
      <c r="B454" s="24" t="str">
        <f>IF(ABS(Table4[[#This Row],[Private_FT_employees]] + Table4[[#This Row],[Private_PT_employees]] - Table4[[#This Row],[Private_Tot_employees]]) &lt; 1, "OK", "Mismatch")</f>
        <v>OK</v>
      </c>
      <c r="C454" s="24" t="str">
        <f>IF(ABS(Table4[[#This Row],[Total_FT_Employees]] + Table4[[#This Row],[Total_PT_Employees]] - Table4[[#This Row],[Total_Tot_employees]]) &lt; 1, "OK", "Mismatch")</f>
        <v>OK</v>
      </c>
      <c r="D454" s="24" t="str">
        <f>IF(ABS(Table4[[#This Row],[Public_Tot_employment]] + Table4[[#This Row],[Private_Tot_employment]] - Table4[[#This Row],[Total_Employment]]) &lt; 1, "OK", "Mismatch")</f>
        <v>OK</v>
      </c>
    </row>
    <row r="455" spans="1:4" x14ac:dyDescent="0.3">
      <c r="A455" s="24" t="str">
        <f>IF(ABS(Table4[[#This Row],[Public_FT_employees]] + Table4[[#This Row],[Public_PT_employees]] - Table4[[#This Row],[Public_Tot_employees]]) &lt; 1, "OK", "Mismatch")</f>
        <v>OK</v>
      </c>
      <c r="B455" s="24" t="str">
        <f>IF(ABS(Table4[[#This Row],[Private_FT_employees]] + Table4[[#This Row],[Private_PT_employees]] - Table4[[#This Row],[Private_Tot_employees]]) &lt; 1, "OK", "Mismatch")</f>
        <v>OK</v>
      </c>
      <c r="C455" s="24" t="str">
        <f>IF(ABS(Table4[[#This Row],[Total_FT_Employees]] + Table4[[#This Row],[Total_PT_Employees]] - Table4[[#This Row],[Total_Tot_employees]]) &lt; 1, "OK", "Mismatch")</f>
        <v>OK</v>
      </c>
      <c r="D455" s="24" t="str">
        <f>IF(ABS(Table4[[#This Row],[Public_Tot_employment]] + Table4[[#This Row],[Private_Tot_employment]] - Table4[[#This Row],[Total_Employment]]) &lt; 1, "OK", "Mismatch")</f>
        <v>OK</v>
      </c>
    </row>
    <row r="456" spans="1:4" x14ac:dyDescent="0.3">
      <c r="A456" s="24" t="str">
        <f>IF(ABS(Table4[[#This Row],[Public_FT_employees]] + Table4[[#This Row],[Public_PT_employees]] - Table4[[#This Row],[Public_Tot_employees]]) &lt; 1, "OK", "Mismatch")</f>
        <v>OK</v>
      </c>
      <c r="B456" s="24" t="str">
        <f>IF(ABS(Table4[[#This Row],[Private_FT_employees]] + Table4[[#This Row],[Private_PT_employees]] - Table4[[#This Row],[Private_Tot_employees]]) &lt; 1, "OK", "Mismatch")</f>
        <v>OK</v>
      </c>
      <c r="C456" s="24" t="str">
        <f>IF(ABS(Table4[[#This Row],[Total_FT_Employees]] + Table4[[#This Row],[Total_PT_Employees]] - Table4[[#This Row],[Total_Tot_employees]]) &lt; 1, "OK", "Mismatch")</f>
        <v>Mismatch</v>
      </c>
      <c r="D456" s="24" t="str">
        <f>IF(ABS(Table4[[#This Row],[Public_Tot_employment]] + Table4[[#This Row],[Private_Tot_employment]] - Table4[[#This Row],[Total_Employment]]) &lt; 1, "OK", "Mismatch")</f>
        <v>OK</v>
      </c>
    </row>
    <row r="457" spans="1:4" x14ac:dyDescent="0.3">
      <c r="A457" s="24" t="str">
        <f>IF(ABS(Table4[[#This Row],[Public_FT_employees]] + Table4[[#This Row],[Public_PT_employees]] - Table4[[#This Row],[Public_Tot_employees]]) &lt; 1, "OK", "Mismatch")</f>
        <v>OK</v>
      </c>
      <c r="B457" s="24" t="str">
        <f>IF(ABS(Table4[[#This Row],[Private_FT_employees]] + Table4[[#This Row],[Private_PT_employees]] - Table4[[#This Row],[Private_Tot_employees]]) &lt; 1, "OK", "Mismatch")</f>
        <v>OK</v>
      </c>
      <c r="C457" s="24" t="str">
        <f>IF(ABS(Table4[[#This Row],[Total_FT_Employees]] + Table4[[#This Row],[Total_PT_Employees]] - Table4[[#This Row],[Total_Tot_employees]]) &lt; 1, "OK", "Mismatch")</f>
        <v>OK</v>
      </c>
      <c r="D457" s="24" t="str">
        <f>IF(ABS(Table4[[#This Row],[Public_Tot_employment]] + Table4[[#This Row],[Private_Tot_employment]] - Table4[[#This Row],[Total_Employment]]) &lt; 1, "OK", "Mismatch")</f>
        <v>OK</v>
      </c>
    </row>
    <row r="458" spans="1:4" x14ac:dyDescent="0.3">
      <c r="A458" s="24" t="str">
        <f>IF(ABS(Table4[[#This Row],[Public_FT_employees]] + Table4[[#This Row],[Public_PT_employees]] - Table4[[#This Row],[Public_Tot_employees]]) &lt; 1, "OK", "Mismatch")</f>
        <v>OK</v>
      </c>
      <c r="B458" s="24" t="str">
        <f>IF(ABS(Table4[[#This Row],[Private_FT_employees]] + Table4[[#This Row],[Private_PT_employees]] - Table4[[#This Row],[Private_Tot_employees]]) &lt; 1, "OK", "Mismatch")</f>
        <v>OK</v>
      </c>
      <c r="C458" s="24" t="str">
        <f>IF(ABS(Table4[[#This Row],[Total_FT_Employees]] + Table4[[#This Row],[Total_PT_Employees]] - Table4[[#This Row],[Total_Tot_employees]]) &lt; 1, "OK", "Mismatch")</f>
        <v>OK</v>
      </c>
      <c r="D458" s="24" t="str">
        <f>IF(ABS(Table4[[#This Row],[Public_Tot_employment]] + Table4[[#This Row],[Private_Tot_employment]] - Table4[[#This Row],[Total_Employment]]) &lt; 1, "OK", "Mismatch")</f>
        <v>OK</v>
      </c>
    </row>
    <row r="459" spans="1:4" x14ac:dyDescent="0.3">
      <c r="A459" s="24" t="str">
        <f>IF(ABS(Table4[[#This Row],[Public_FT_employees]] + Table4[[#This Row],[Public_PT_employees]] - Table4[[#This Row],[Public_Tot_employees]]) &lt; 1, "OK", "Mismatch")</f>
        <v>OK</v>
      </c>
      <c r="B459" s="24" t="str">
        <f>IF(ABS(Table4[[#This Row],[Private_FT_employees]] + Table4[[#This Row],[Private_PT_employees]] - Table4[[#This Row],[Private_Tot_employees]]) &lt; 1, "OK", "Mismatch")</f>
        <v>OK</v>
      </c>
      <c r="C459" s="24" t="str">
        <f>IF(ABS(Table4[[#This Row],[Total_FT_Employees]] + Table4[[#This Row],[Total_PT_Employees]] - Table4[[#This Row],[Total_Tot_employees]]) &lt; 1, "OK", "Mismatch")</f>
        <v>Mismatch</v>
      </c>
      <c r="D459" s="24" t="str">
        <f>IF(ABS(Table4[[#This Row],[Public_Tot_employment]] + Table4[[#This Row],[Private_Tot_employment]] - Table4[[#This Row],[Total_Employment]]) &lt; 1, "OK", "Mismatch")</f>
        <v>OK</v>
      </c>
    </row>
    <row r="460" spans="1:4" x14ac:dyDescent="0.3">
      <c r="A460" s="24" t="str">
        <f>IF(ABS(Table4[[#This Row],[Public_FT_employees]] + Table4[[#This Row],[Public_PT_employees]] - Table4[[#This Row],[Public_Tot_employees]]) &lt; 1, "OK", "Mismatch")</f>
        <v>OK</v>
      </c>
      <c r="B460" s="24" t="str">
        <f>IF(ABS(Table4[[#This Row],[Private_FT_employees]] + Table4[[#This Row],[Private_PT_employees]] - Table4[[#This Row],[Private_Tot_employees]]) &lt; 1, "OK", "Mismatch")</f>
        <v>OK</v>
      </c>
      <c r="C460" s="24" t="str">
        <f>IF(ABS(Table4[[#This Row],[Total_FT_Employees]] + Table4[[#This Row],[Total_PT_Employees]] - Table4[[#This Row],[Total_Tot_employees]]) &lt; 1, "OK", "Mismatch")</f>
        <v>OK</v>
      </c>
      <c r="D460" s="24" t="str">
        <f>IF(ABS(Table4[[#This Row],[Public_Tot_employment]] + Table4[[#This Row],[Private_Tot_employment]] - Table4[[#This Row],[Total_Employment]]) &lt; 1, "OK", "Mismatch")</f>
        <v>Mismatch</v>
      </c>
    </row>
    <row r="461" spans="1:4" x14ac:dyDescent="0.3">
      <c r="A461" s="24" t="str">
        <f>IF(ABS(Table4[[#This Row],[Public_FT_employees]] + Table4[[#This Row],[Public_PT_employees]] - Table4[[#This Row],[Public_Tot_employees]]) &lt; 1, "OK", "Mismatch")</f>
        <v>OK</v>
      </c>
      <c r="B461" s="24" t="str">
        <f>IF(ABS(Table4[[#This Row],[Private_FT_employees]] + Table4[[#This Row],[Private_PT_employees]] - Table4[[#This Row],[Private_Tot_employees]]) &lt; 1, "OK", "Mismatch")</f>
        <v>Mismatch</v>
      </c>
      <c r="C461" s="24" t="str">
        <f>IF(ABS(Table4[[#This Row],[Total_FT_Employees]] + Table4[[#This Row],[Total_PT_Employees]] - Table4[[#This Row],[Total_Tot_employees]]) &lt; 1, "OK", "Mismatch")</f>
        <v>OK</v>
      </c>
      <c r="D461" s="24" t="str">
        <f>IF(ABS(Table4[[#This Row],[Public_Tot_employment]] + Table4[[#This Row],[Private_Tot_employment]] - Table4[[#This Row],[Total_Employment]]) &lt; 1, "OK", "Mismatch")</f>
        <v>Mismatch</v>
      </c>
    </row>
    <row r="462" spans="1:4" x14ac:dyDescent="0.3">
      <c r="A462" s="24" t="str">
        <f>IF(ABS(Table4[[#This Row],[Public_FT_employees]] + Table4[[#This Row],[Public_PT_employees]] - Table4[[#This Row],[Public_Tot_employees]]) &lt; 1, "OK", "Mismatch")</f>
        <v>OK</v>
      </c>
      <c r="B462" s="24" t="str">
        <f>IF(ABS(Table4[[#This Row],[Private_FT_employees]] + Table4[[#This Row],[Private_PT_employees]] - Table4[[#This Row],[Private_Tot_employees]]) &lt; 1, "OK", "Mismatch")</f>
        <v>OK</v>
      </c>
      <c r="C462" s="24" t="str">
        <f>IF(ABS(Table4[[#This Row],[Total_FT_Employees]] + Table4[[#This Row],[Total_PT_Employees]] - Table4[[#This Row],[Total_Tot_employees]]) &lt; 1, "OK", "Mismatch")</f>
        <v>Mismatch</v>
      </c>
      <c r="D462" s="24" t="str">
        <f>IF(ABS(Table4[[#This Row],[Public_Tot_employment]] + Table4[[#This Row],[Private_Tot_employment]] - Table4[[#This Row],[Total_Employment]]) &lt; 1, "OK", "Mismatch")</f>
        <v>Mismatch</v>
      </c>
    </row>
    <row r="463" spans="1:4" x14ac:dyDescent="0.3">
      <c r="A463" s="24" t="str">
        <f>IF(ABS(Table4[[#This Row],[Public_FT_employees]] + Table4[[#This Row],[Public_PT_employees]] - Table4[[#This Row],[Public_Tot_employees]]) &lt; 1, "OK", "Mismatch")</f>
        <v>OK</v>
      </c>
      <c r="B463" s="24" t="str">
        <f>IF(ABS(Table4[[#This Row],[Private_FT_employees]] + Table4[[#This Row],[Private_PT_employees]] - Table4[[#This Row],[Private_Tot_employees]]) &lt; 1, "OK", "Mismatch")</f>
        <v>OK</v>
      </c>
      <c r="C463" s="24" t="str">
        <f>IF(ABS(Table4[[#This Row],[Total_FT_Employees]] + Table4[[#This Row],[Total_PT_Employees]] - Table4[[#This Row],[Total_Tot_employees]]) &lt; 1, "OK", "Mismatch")</f>
        <v>Mismatch</v>
      </c>
      <c r="D463" s="24" t="str">
        <f>IF(ABS(Table4[[#This Row],[Public_Tot_employment]] + Table4[[#This Row],[Private_Tot_employment]] - Table4[[#This Row],[Total_Employment]]) &lt; 1, "OK", "Mismatch")</f>
        <v>Mismatch</v>
      </c>
    </row>
    <row r="464" spans="1:4" x14ac:dyDescent="0.3">
      <c r="A464" s="24" t="str">
        <f>IF(ABS(Table4[[#This Row],[Public_FT_employees]] + Table4[[#This Row],[Public_PT_employees]] - Table4[[#This Row],[Public_Tot_employees]]) &lt; 1, "OK", "Mismatch")</f>
        <v>OK</v>
      </c>
      <c r="B464" s="24" t="str">
        <f>IF(ABS(Table4[[#This Row],[Private_FT_employees]] + Table4[[#This Row],[Private_PT_employees]] - Table4[[#This Row],[Private_Tot_employees]]) &lt; 1, "OK", "Mismatch")</f>
        <v>Mismatch</v>
      </c>
      <c r="C464" s="24" t="str">
        <f>IF(ABS(Table4[[#This Row],[Total_FT_Employees]] + Table4[[#This Row],[Total_PT_Employees]] - Table4[[#This Row],[Total_Tot_employees]]) &lt; 1, "OK", "Mismatch")</f>
        <v>OK</v>
      </c>
      <c r="D464" s="24" t="str">
        <f>IF(ABS(Table4[[#This Row],[Public_Tot_employment]] + Table4[[#This Row],[Private_Tot_employment]] - Table4[[#This Row],[Total_Employment]]) &lt; 1, "OK", "Mismatch")</f>
        <v>OK</v>
      </c>
    </row>
    <row r="465" spans="1:4" x14ac:dyDescent="0.3">
      <c r="A465" s="24" t="str">
        <f>IF(ABS(Table4[[#This Row],[Public_FT_employees]] + Table4[[#This Row],[Public_PT_employees]] - Table4[[#This Row],[Public_Tot_employees]]) &lt; 1, "OK", "Mismatch")</f>
        <v>OK</v>
      </c>
      <c r="B465" s="24" t="str">
        <f>IF(ABS(Table4[[#This Row],[Private_FT_employees]] + Table4[[#This Row],[Private_PT_employees]] - Table4[[#This Row],[Private_Tot_employees]]) &lt; 1, "OK", "Mismatch")</f>
        <v>OK</v>
      </c>
      <c r="C465" s="24" t="str">
        <f>IF(ABS(Table4[[#This Row],[Total_FT_Employees]] + Table4[[#This Row],[Total_PT_Employees]] - Table4[[#This Row],[Total_Tot_employees]]) &lt; 1, "OK", "Mismatch")</f>
        <v>OK</v>
      </c>
      <c r="D465" s="24" t="str">
        <f>IF(ABS(Table4[[#This Row],[Public_Tot_employment]] + Table4[[#This Row],[Private_Tot_employment]] - Table4[[#This Row],[Total_Employment]]) &lt; 1, "OK", "Mismatch")</f>
        <v>Mismatch</v>
      </c>
    </row>
    <row r="466" spans="1:4" x14ac:dyDescent="0.3">
      <c r="A466" s="24" t="str">
        <f>IF(ABS(Table4[[#This Row],[Public_FT_employees]] + Table4[[#This Row],[Public_PT_employees]] - Table4[[#This Row],[Public_Tot_employees]]) &lt; 1, "OK", "Mismatch")</f>
        <v>OK</v>
      </c>
      <c r="B466" s="24" t="str">
        <f>IF(ABS(Table4[[#This Row],[Private_FT_employees]] + Table4[[#This Row],[Private_PT_employees]] - Table4[[#This Row],[Private_Tot_employees]]) &lt; 1, "OK", "Mismatch")</f>
        <v>Mismatch</v>
      </c>
      <c r="C466" s="24" t="str">
        <f>IF(ABS(Table4[[#This Row],[Total_FT_Employees]] + Table4[[#This Row],[Total_PT_Employees]] - Table4[[#This Row],[Total_Tot_employees]]) &lt; 1, "OK", "Mismatch")</f>
        <v>OK</v>
      </c>
      <c r="D466" s="24" t="str">
        <f>IF(ABS(Table4[[#This Row],[Public_Tot_employment]] + Table4[[#This Row],[Private_Tot_employment]] - Table4[[#This Row],[Total_Employment]]) &lt; 1, "OK", "Mismatch")</f>
        <v>OK</v>
      </c>
    </row>
    <row r="467" spans="1:4" x14ac:dyDescent="0.3">
      <c r="A467" s="24" t="str">
        <f>IF(ABS(Table4[[#This Row],[Public_FT_employees]] + Table4[[#This Row],[Public_PT_employees]] - Table4[[#This Row],[Public_Tot_employees]]) &lt; 1, "OK", "Mismatch")</f>
        <v>Mismatch</v>
      </c>
      <c r="B467" s="24" t="str">
        <f>IF(ABS(Table4[[#This Row],[Private_FT_employees]] + Table4[[#This Row],[Private_PT_employees]] - Table4[[#This Row],[Private_Tot_employees]]) &lt; 1, "OK", "Mismatch")</f>
        <v>OK</v>
      </c>
      <c r="C467" s="24" t="str">
        <f>IF(ABS(Table4[[#This Row],[Total_FT_Employees]] + Table4[[#This Row],[Total_PT_Employees]] - Table4[[#This Row],[Total_Tot_employees]]) &lt; 1, "OK", "Mismatch")</f>
        <v>OK</v>
      </c>
      <c r="D467" s="24" t="str">
        <f>IF(ABS(Table4[[#This Row],[Public_Tot_employment]] + Table4[[#This Row],[Private_Tot_employment]] - Table4[[#This Row],[Total_Employment]]) &lt; 1, "OK", "Mismatch")</f>
        <v>OK</v>
      </c>
    </row>
    <row r="468" spans="1:4" x14ac:dyDescent="0.3">
      <c r="A468" s="24" t="str">
        <f>IF(ABS(Table4[[#This Row],[Public_FT_employees]] + Table4[[#This Row],[Public_PT_employees]] - Table4[[#This Row],[Public_Tot_employees]]) &lt; 1, "OK", "Mismatch")</f>
        <v>OK</v>
      </c>
      <c r="B468" s="24" t="str">
        <f>IF(ABS(Table4[[#This Row],[Private_FT_employees]] + Table4[[#This Row],[Private_PT_employees]] - Table4[[#This Row],[Private_Tot_employees]]) &lt; 1, "OK", "Mismatch")</f>
        <v>Mismatch</v>
      </c>
      <c r="C468" s="24" t="str">
        <f>IF(ABS(Table4[[#This Row],[Total_FT_Employees]] + Table4[[#This Row],[Total_PT_Employees]] - Table4[[#This Row],[Total_Tot_employees]]) &lt; 1, "OK", "Mismatch")</f>
        <v>Mismatch</v>
      </c>
      <c r="D468" s="24" t="str">
        <f>IF(ABS(Table4[[#This Row],[Public_Tot_employment]] + Table4[[#This Row],[Private_Tot_employment]] - Table4[[#This Row],[Total_Employment]]) &lt; 1, "OK", "Mismatch")</f>
        <v>OK</v>
      </c>
    </row>
    <row r="469" spans="1:4" x14ac:dyDescent="0.3">
      <c r="A469" s="24" t="str">
        <f>IF(ABS(Table4[[#This Row],[Public_FT_employees]] + Table4[[#This Row],[Public_PT_employees]] - Table4[[#This Row],[Public_Tot_employees]]) &lt; 1, "OK", "Mismatch")</f>
        <v>Mismatch</v>
      </c>
      <c r="B469" s="24" t="str">
        <f>IF(ABS(Table4[[#This Row],[Private_FT_employees]] + Table4[[#This Row],[Private_PT_employees]] - Table4[[#This Row],[Private_Tot_employees]]) &lt; 1, "OK", "Mismatch")</f>
        <v>Mismatch</v>
      </c>
      <c r="C469" s="24" t="str">
        <f>IF(ABS(Table4[[#This Row],[Total_FT_Employees]] + Table4[[#This Row],[Total_PT_Employees]] - Table4[[#This Row],[Total_Tot_employees]]) &lt; 1, "OK", "Mismatch")</f>
        <v>Mismatch</v>
      </c>
      <c r="D469" s="24" t="str">
        <f>IF(ABS(Table4[[#This Row],[Public_Tot_employment]] + Table4[[#This Row],[Private_Tot_employment]] - Table4[[#This Row],[Total_Employment]]) &lt; 1, "OK", "Mismatch")</f>
        <v>OK</v>
      </c>
    </row>
    <row r="470" spans="1:4" x14ac:dyDescent="0.3">
      <c r="A470" s="24" t="str">
        <f>IF(ABS(Table4[[#This Row],[Public_FT_employees]] + Table4[[#This Row],[Public_PT_employees]] - Table4[[#This Row],[Public_Tot_employees]]) &lt; 1, "OK", "Mismatch")</f>
        <v>OK</v>
      </c>
      <c r="B470" s="24" t="str">
        <f>IF(ABS(Table4[[#This Row],[Private_FT_employees]] + Table4[[#This Row],[Private_PT_employees]] - Table4[[#This Row],[Private_Tot_employees]]) &lt; 1, "OK", "Mismatch")</f>
        <v>Mismatch</v>
      </c>
      <c r="C470" s="24" t="str">
        <f>IF(ABS(Table4[[#This Row],[Total_FT_Employees]] + Table4[[#This Row],[Total_PT_Employees]] - Table4[[#This Row],[Total_Tot_employees]]) &lt; 1, "OK", "Mismatch")</f>
        <v>Mismatch</v>
      </c>
      <c r="D470" s="24" t="str">
        <f>IF(ABS(Table4[[#This Row],[Public_Tot_employment]] + Table4[[#This Row],[Private_Tot_employment]] - Table4[[#This Row],[Total_Employment]]) &lt; 1, "OK", "Mismatch")</f>
        <v>Mismatch</v>
      </c>
    </row>
    <row r="471" spans="1:4" x14ac:dyDescent="0.3">
      <c r="A471" s="24" t="str">
        <f>IF(ABS(Table4[[#This Row],[Public_FT_employees]] + Table4[[#This Row],[Public_PT_employees]] - Table4[[#This Row],[Public_Tot_employees]]) &lt; 1, "OK", "Mismatch")</f>
        <v>Mismatch</v>
      </c>
      <c r="B471" s="24" t="str">
        <f>IF(ABS(Table4[[#This Row],[Private_FT_employees]] + Table4[[#This Row],[Private_PT_employees]] - Table4[[#This Row],[Private_Tot_employees]]) &lt; 1, "OK", "Mismatch")</f>
        <v>Mismatch</v>
      </c>
      <c r="C471" s="24" t="str">
        <f>IF(ABS(Table4[[#This Row],[Total_FT_Employees]] + Table4[[#This Row],[Total_PT_Employees]] - Table4[[#This Row],[Total_Tot_employees]]) &lt; 1, "OK", "Mismatch")</f>
        <v>OK</v>
      </c>
      <c r="D471" s="24" t="str">
        <f>IF(ABS(Table4[[#This Row],[Public_Tot_employment]] + Table4[[#This Row],[Private_Tot_employment]] - Table4[[#This Row],[Total_Employment]]) &lt; 1, "OK", "Mismatch")</f>
        <v>OK</v>
      </c>
    </row>
    <row r="472" spans="1:4" x14ac:dyDescent="0.3">
      <c r="A472" s="24" t="str">
        <f>IF(ABS(Table4[[#This Row],[Public_FT_employees]] + Table4[[#This Row],[Public_PT_employees]] - Table4[[#This Row],[Public_Tot_employees]]) &lt; 1, "OK", "Mismatch")</f>
        <v>Mismatch</v>
      </c>
      <c r="B472" s="24" t="str">
        <f>IF(ABS(Table4[[#This Row],[Private_FT_employees]] + Table4[[#This Row],[Private_PT_employees]] - Table4[[#This Row],[Private_Tot_employees]]) &lt; 1, "OK", "Mismatch")</f>
        <v>OK</v>
      </c>
      <c r="C472" s="24" t="str">
        <f>IF(ABS(Table4[[#This Row],[Total_FT_Employees]] + Table4[[#This Row],[Total_PT_Employees]] - Table4[[#This Row],[Total_Tot_employees]]) &lt; 1, "OK", "Mismatch")</f>
        <v>OK</v>
      </c>
      <c r="D472" s="24" t="str">
        <f>IF(ABS(Table4[[#This Row],[Public_Tot_employment]] + Table4[[#This Row],[Private_Tot_employment]] - Table4[[#This Row],[Total_Employment]]) &lt; 1, "OK", "Mismatch")</f>
        <v>OK</v>
      </c>
    </row>
    <row r="473" spans="1:4" x14ac:dyDescent="0.3">
      <c r="A473" s="24" t="str">
        <f>IF(ABS(Table4[[#This Row],[Public_FT_employees]] + Table4[[#This Row],[Public_PT_employees]] - Table4[[#This Row],[Public_Tot_employees]]) &lt; 1, "OK", "Mismatch")</f>
        <v>OK</v>
      </c>
      <c r="B473" s="24" t="str">
        <f>IF(ABS(Table4[[#This Row],[Private_FT_employees]] + Table4[[#This Row],[Private_PT_employees]] - Table4[[#This Row],[Private_Tot_employees]]) &lt; 1, "OK", "Mismatch")</f>
        <v>Mismatch</v>
      </c>
      <c r="C473" s="24" t="str">
        <f>IF(ABS(Table4[[#This Row],[Total_FT_Employees]] + Table4[[#This Row],[Total_PT_Employees]] - Table4[[#This Row],[Total_Tot_employees]]) &lt; 1, "OK", "Mismatch")</f>
        <v>Mismatch</v>
      </c>
      <c r="D473" s="24" t="str">
        <f>IF(ABS(Table4[[#This Row],[Public_Tot_employment]] + Table4[[#This Row],[Private_Tot_employment]] - Table4[[#This Row],[Total_Employment]]) &lt; 1, "OK", "Mismatch")</f>
        <v>Mismatch</v>
      </c>
    </row>
    <row r="474" spans="1:4" x14ac:dyDescent="0.3">
      <c r="A474" s="24" t="str">
        <f>IF(ABS(Table4[[#This Row],[Public_FT_employees]] + Table4[[#This Row],[Public_PT_employees]] - Table4[[#This Row],[Public_Tot_employees]]) &lt; 1, "OK", "Mismatch")</f>
        <v>OK</v>
      </c>
      <c r="B474" s="24" t="str">
        <f>IF(ABS(Table4[[#This Row],[Private_FT_employees]] + Table4[[#This Row],[Private_PT_employees]] - Table4[[#This Row],[Private_Tot_employees]]) &lt; 1, "OK", "Mismatch")</f>
        <v>OK</v>
      </c>
      <c r="C474" s="24" t="str">
        <f>IF(ABS(Table4[[#This Row],[Total_FT_Employees]] + Table4[[#This Row],[Total_PT_Employees]] - Table4[[#This Row],[Total_Tot_employees]]) &lt; 1, "OK", "Mismatch")</f>
        <v>Mismatch</v>
      </c>
      <c r="D474" s="24" t="str">
        <f>IF(ABS(Table4[[#This Row],[Public_Tot_employment]] + Table4[[#This Row],[Private_Tot_employment]] - Table4[[#This Row],[Total_Employment]]) &lt; 1, "OK", "Mismatch")</f>
        <v>OK</v>
      </c>
    </row>
    <row r="475" spans="1:4" x14ac:dyDescent="0.3">
      <c r="A475" s="24" t="str">
        <f>IF(ABS(Table4[[#This Row],[Public_FT_employees]] + Table4[[#This Row],[Public_PT_employees]] - Table4[[#This Row],[Public_Tot_employees]]) &lt; 1, "OK", "Mismatch")</f>
        <v>OK</v>
      </c>
      <c r="B475" s="24" t="str">
        <f>IF(ABS(Table4[[#This Row],[Private_FT_employees]] + Table4[[#This Row],[Private_PT_employees]] - Table4[[#This Row],[Private_Tot_employees]]) &lt; 1, "OK", "Mismatch")</f>
        <v>OK</v>
      </c>
      <c r="C475" s="24" t="str">
        <f>IF(ABS(Table4[[#This Row],[Total_FT_Employees]] + Table4[[#This Row],[Total_PT_Employees]] - Table4[[#This Row],[Total_Tot_employees]]) &lt; 1, "OK", "Mismatch")</f>
        <v>Mismatch</v>
      </c>
      <c r="D475" s="24" t="str">
        <f>IF(ABS(Table4[[#This Row],[Public_Tot_employment]] + Table4[[#This Row],[Private_Tot_employment]] - Table4[[#This Row],[Total_Employment]]) &lt; 1, "OK", "Mismatch")</f>
        <v>OK</v>
      </c>
    </row>
    <row r="476" spans="1:4" x14ac:dyDescent="0.3">
      <c r="A476" s="24" t="str">
        <f>IF(ABS(Table4[[#This Row],[Public_FT_employees]] + Table4[[#This Row],[Public_PT_employees]] - Table4[[#This Row],[Public_Tot_employees]]) &lt; 1, "OK", "Mismatch")</f>
        <v>OK</v>
      </c>
      <c r="B476" s="24" t="str">
        <f>IF(ABS(Table4[[#This Row],[Private_FT_employees]] + Table4[[#This Row],[Private_PT_employees]] - Table4[[#This Row],[Private_Tot_employees]]) &lt; 1, "OK", "Mismatch")</f>
        <v>OK</v>
      </c>
      <c r="C476" s="24" t="str">
        <f>IF(ABS(Table4[[#This Row],[Total_FT_Employees]] + Table4[[#This Row],[Total_PT_Employees]] - Table4[[#This Row],[Total_Tot_employees]]) &lt; 1, "OK", "Mismatch")</f>
        <v>OK</v>
      </c>
      <c r="D476" s="24" t="str">
        <f>IF(ABS(Table4[[#This Row],[Public_Tot_employment]] + Table4[[#This Row],[Private_Tot_employment]] - Table4[[#This Row],[Total_Employment]]) &lt; 1, "OK", "Mismatch")</f>
        <v>OK</v>
      </c>
    </row>
    <row r="477" spans="1:4" x14ac:dyDescent="0.3">
      <c r="A477" s="24" t="str">
        <f>IF(ABS(Table4[[#This Row],[Public_FT_employees]] + Table4[[#This Row],[Public_PT_employees]] - Table4[[#This Row],[Public_Tot_employees]]) &lt; 1, "OK", "Mismatch")</f>
        <v>OK</v>
      </c>
      <c r="B477" s="24" t="str">
        <f>IF(ABS(Table4[[#This Row],[Private_FT_employees]] + Table4[[#This Row],[Private_PT_employees]] - Table4[[#This Row],[Private_Tot_employees]]) &lt; 1, "OK", "Mismatch")</f>
        <v>Mismatch</v>
      </c>
      <c r="C477" s="24" t="str">
        <f>IF(ABS(Table4[[#This Row],[Total_FT_Employees]] + Table4[[#This Row],[Total_PT_Employees]] - Table4[[#This Row],[Total_Tot_employees]]) &lt; 1, "OK", "Mismatch")</f>
        <v>Mismatch</v>
      </c>
      <c r="D477" s="24" t="str">
        <f>IF(ABS(Table4[[#This Row],[Public_Tot_employment]] + Table4[[#This Row],[Private_Tot_employment]] - Table4[[#This Row],[Total_Employment]]) &lt; 1, "OK", "Mismatch")</f>
        <v>Mismatch</v>
      </c>
    </row>
    <row r="478" spans="1:4" x14ac:dyDescent="0.3">
      <c r="A478" s="24" t="str">
        <f>IF(ABS(Table4[[#This Row],[Public_FT_employees]] + Table4[[#This Row],[Public_PT_employees]] - Table4[[#This Row],[Public_Tot_employees]]) &lt; 1, "OK", "Mismatch")</f>
        <v>Mismatch</v>
      </c>
      <c r="B478" s="24" t="str">
        <f>IF(ABS(Table4[[#This Row],[Private_FT_employees]] + Table4[[#This Row],[Private_PT_employees]] - Table4[[#This Row],[Private_Tot_employees]]) &lt; 1, "OK", "Mismatch")</f>
        <v>Mismatch</v>
      </c>
      <c r="C478" s="24" t="str">
        <f>IF(ABS(Table4[[#This Row],[Total_FT_Employees]] + Table4[[#This Row],[Total_PT_Employees]] - Table4[[#This Row],[Total_Tot_employees]]) &lt; 1, "OK", "Mismatch")</f>
        <v>Mismatch</v>
      </c>
      <c r="D478" s="24" t="str">
        <f>IF(ABS(Table4[[#This Row],[Public_Tot_employment]] + Table4[[#This Row],[Private_Tot_employment]] - Table4[[#This Row],[Total_Employment]]) &lt; 1, "OK", "Mismatch")</f>
        <v>OK</v>
      </c>
    </row>
    <row r="479" spans="1:4" x14ac:dyDescent="0.3">
      <c r="A479" s="24" t="str">
        <f>IF(ABS(Table4[[#This Row],[Public_FT_employees]] + Table4[[#This Row],[Public_PT_employees]] - Table4[[#This Row],[Public_Tot_employees]]) &lt; 1, "OK", "Mismatch")</f>
        <v>OK</v>
      </c>
      <c r="B479" s="24" t="str">
        <f>IF(ABS(Table4[[#This Row],[Private_FT_employees]] + Table4[[#This Row],[Private_PT_employees]] - Table4[[#This Row],[Private_Tot_employees]]) &lt; 1, "OK", "Mismatch")</f>
        <v>OK</v>
      </c>
      <c r="C479" s="24" t="str">
        <f>IF(ABS(Table4[[#This Row],[Total_FT_Employees]] + Table4[[#This Row],[Total_PT_Employees]] - Table4[[#This Row],[Total_Tot_employees]]) &lt; 1, "OK", "Mismatch")</f>
        <v>OK</v>
      </c>
      <c r="D479" s="24" t="str">
        <f>IF(ABS(Table4[[#This Row],[Public_Tot_employment]] + Table4[[#This Row],[Private_Tot_employment]] - Table4[[#This Row],[Total_Employment]]) &lt; 1, "OK", "Mismatch")</f>
        <v>OK</v>
      </c>
    </row>
    <row r="480" spans="1:4" x14ac:dyDescent="0.3">
      <c r="A480" s="24" t="str">
        <f>IF(ABS(Table4[[#This Row],[Public_FT_employees]] + Table4[[#This Row],[Public_PT_employees]] - Table4[[#This Row],[Public_Tot_employees]]) &lt; 1, "OK", "Mismatch")</f>
        <v>OK</v>
      </c>
      <c r="B480" s="24" t="str">
        <f>IF(ABS(Table4[[#This Row],[Private_FT_employees]] + Table4[[#This Row],[Private_PT_employees]] - Table4[[#This Row],[Private_Tot_employees]]) &lt; 1, "OK", "Mismatch")</f>
        <v>Mismatch</v>
      </c>
      <c r="C480" s="24" t="str">
        <f>IF(ABS(Table4[[#This Row],[Total_FT_Employees]] + Table4[[#This Row],[Total_PT_Employees]] - Table4[[#This Row],[Total_Tot_employees]]) &lt; 1, "OK", "Mismatch")</f>
        <v>OK</v>
      </c>
      <c r="D480" s="24" t="str">
        <f>IF(ABS(Table4[[#This Row],[Public_Tot_employment]] + Table4[[#This Row],[Private_Tot_employment]] - Table4[[#This Row],[Total_Employment]]) &lt; 1, "OK", "Mismatch")</f>
        <v>OK</v>
      </c>
    </row>
    <row r="481" spans="1:4" x14ac:dyDescent="0.3">
      <c r="A481" s="24" t="str">
        <f>IF(ABS(Table4[[#This Row],[Public_FT_employees]] + Table4[[#This Row],[Public_PT_employees]] - Table4[[#This Row],[Public_Tot_employees]]) &lt; 1, "OK", "Mismatch")</f>
        <v>OK</v>
      </c>
      <c r="B481" s="24" t="str">
        <f>IF(ABS(Table4[[#This Row],[Private_FT_employees]] + Table4[[#This Row],[Private_PT_employees]] - Table4[[#This Row],[Private_Tot_employees]]) &lt; 1, "OK", "Mismatch")</f>
        <v>Mismatch</v>
      </c>
      <c r="C481" s="24" t="str">
        <f>IF(ABS(Table4[[#This Row],[Total_FT_Employees]] + Table4[[#This Row],[Total_PT_Employees]] - Table4[[#This Row],[Total_Tot_employees]]) &lt; 1, "OK", "Mismatch")</f>
        <v>Mismatch</v>
      </c>
      <c r="D481" s="24" t="str">
        <f>IF(ABS(Table4[[#This Row],[Public_Tot_employment]] + Table4[[#This Row],[Private_Tot_employment]] - Table4[[#This Row],[Total_Employment]]) &lt; 1, "OK", "Mismatch")</f>
        <v>OK</v>
      </c>
    </row>
    <row r="482" spans="1:4" x14ac:dyDescent="0.3">
      <c r="A482" s="24" t="str">
        <f>IF(ABS(Table4[[#This Row],[Public_FT_employees]] + Table4[[#This Row],[Public_PT_employees]] - Table4[[#This Row],[Public_Tot_employees]]) &lt; 1, "OK", "Mismatch")</f>
        <v>OK</v>
      </c>
      <c r="B482" s="24" t="str">
        <f>IF(ABS(Table4[[#This Row],[Private_FT_employees]] + Table4[[#This Row],[Private_PT_employees]] - Table4[[#This Row],[Private_Tot_employees]]) &lt; 1, "OK", "Mismatch")</f>
        <v>Mismatch</v>
      </c>
      <c r="C482" s="24" t="str">
        <f>IF(ABS(Table4[[#This Row],[Total_FT_Employees]] + Table4[[#This Row],[Total_PT_Employees]] - Table4[[#This Row],[Total_Tot_employees]]) &lt; 1, "OK", "Mismatch")</f>
        <v>Mismatch</v>
      </c>
      <c r="D482" s="24" t="str">
        <f>IF(ABS(Table4[[#This Row],[Public_Tot_employment]] + Table4[[#This Row],[Private_Tot_employment]] - Table4[[#This Row],[Total_Employment]]) &lt; 1, "OK", "Mismatch")</f>
        <v>OK</v>
      </c>
    </row>
    <row r="483" spans="1:4" x14ac:dyDescent="0.3">
      <c r="A483" s="24" t="str">
        <f>IF(ABS(Table4[[#This Row],[Public_FT_employees]] + Table4[[#This Row],[Public_PT_employees]] - Table4[[#This Row],[Public_Tot_employees]]) &lt; 1, "OK", "Mismatch")</f>
        <v>OK</v>
      </c>
      <c r="B483" s="24" t="str">
        <f>IF(ABS(Table4[[#This Row],[Private_FT_employees]] + Table4[[#This Row],[Private_PT_employees]] - Table4[[#This Row],[Private_Tot_employees]]) &lt; 1, "OK", "Mismatch")</f>
        <v>Mismatch</v>
      </c>
      <c r="C483" s="24" t="str">
        <f>IF(ABS(Table4[[#This Row],[Total_FT_Employees]] + Table4[[#This Row],[Total_PT_Employees]] - Table4[[#This Row],[Total_Tot_employees]]) &lt; 1, "OK", "Mismatch")</f>
        <v>Mismatch</v>
      </c>
      <c r="D483" s="24" t="str">
        <f>IF(ABS(Table4[[#This Row],[Public_Tot_employment]] + Table4[[#This Row],[Private_Tot_employment]] - Table4[[#This Row],[Total_Employment]]) &lt; 1, "OK", "Mismatch")</f>
        <v>Mismatch</v>
      </c>
    </row>
    <row r="484" spans="1:4" x14ac:dyDescent="0.3">
      <c r="A484" s="24" t="str">
        <f>IF(ABS(Table4[[#This Row],[Public_FT_employees]] + Table4[[#This Row],[Public_PT_employees]] - Table4[[#This Row],[Public_Tot_employees]]) &lt; 1, "OK", "Mismatch")</f>
        <v>OK</v>
      </c>
      <c r="B484" s="24" t="str">
        <f>IF(ABS(Table4[[#This Row],[Private_FT_employees]] + Table4[[#This Row],[Private_PT_employees]] - Table4[[#This Row],[Private_Tot_employees]]) &lt; 1, "OK", "Mismatch")</f>
        <v>OK</v>
      </c>
      <c r="C484" s="24" t="str">
        <f>IF(ABS(Table4[[#This Row],[Total_FT_Employees]] + Table4[[#This Row],[Total_PT_Employees]] - Table4[[#This Row],[Total_Tot_employees]]) &lt; 1, "OK", "Mismatch")</f>
        <v>OK</v>
      </c>
      <c r="D484" s="24" t="str">
        <f>IF(ABS(Table4[[#This Row],[Public_Tot_employment]] + Table4[[#This Row],[Private_Tot_employment]] - Table4[[#This Row],[Total_Employment]]) &lt; 1, "OK", "Mismatch")</f>
        <v>Mismatch</v>
      </c>
    </row>
    <row r="485" spans="1:4" x14ac:dyDescent="0.3">
      <c r="A485" s="24" t="str">
        <f>IF(ABS(Table4[[#This Row],[Public_FT_employees]] + Table4[[#This Row],[Public_PT_employees]] - Table4[[#This Row],[Public_Tot_employees]]) &lt; 1, "OK", "Mismatch")</f>
        <v>Mismatch</v>
      </c>
      <c r="B485" s="24" t="str">
        <f>IF(ABS(Table4[[#This Row],[Private_FT_employees]] + Table4[[#This Row],[Private_PT_employees]] - Table4[[#This Row],[Private_Tot_employees]]) &lt; 1, "OK", "Mismatch")</f>
        <v>OK</v>
      </c>
      <c r="C485" s="24" t="str">
        <f>IF(ABS(Table4[[#This Row],[Total_FT_Employees]] + Table4[[#This Row],[Total_PT_Employees]] - Table4[[#This Row],[Total_Tot_employees]]) &lt; 1, "OK", "Mismatch")</f>
        <v>OK</v>
      </c>
      <c r="D485" s="24" t="str">
        <f>IF(ABS(Table4[[#This Row],[Public_Tot_employment]] + Table4[[#This Row],[Private_Tot_employment]] - Table4[[#This Row],[Total_Employment]]) &lt; 1, "OK", "Mismatch")</f>
        <v>OK</v>
      </c>
    </row>
    <row r="486" spans="1:4" x14ac:dyDescent="0.3">
      <c r="A486" s="24" t="str">
        <f>IF(ABS(Table4[[#This Row],[Public_FT_employees]] + Table4[[#This Row],[Public_PT_employees]] - Table4[[#This Row],[Public_Tot_employees]]) &lt; 1, "OK", "Mismatch")</f>
        <v>OK</v>
      </c>
      <c r="B486" s="24" t="str">
        <f>IF(ABS(Table4[[#This Row],[Private_FT_employees]] + Table4[[#This Row],[Private_PT_employees]] - Table4[[#This Row],[Private_Tot_employees]]) &lt; 1, "OK", "Mismatch")</f>
        <v>Mismatch</v>
      </c>
      <c r="C486" s="24" t="str">
        <f>IF(ABS(Table4[[#This Row],[Total_FT_Employees]] + Table4[[#This Row],[Total_PT_Employees]] - Table4[[#This Row],[Total_Tot_employees]]) &lt; 1, "OK", "Mismatch")</f>
        <v>OK</v>
      </c>
      <c r="D486" s="24" t="str">
        <f>IF(ABS(Table4[[#This Row],[Public_Tot_employment]] + Table4[[#This Row],[Private_Tot_employment]] - Table4[[#This Row],[Total_Employment]]) &lt; 1, "OK", "Mismatch")</f>
        <v>OK</v>
      </c>
    </row>
    <row r="487" spans="1:4" x14ac:dyDescent="0.3">
      <c r="A487" s="24" t="str">
        <f>IF(ABS(Table4[[#This Row],[Public_FT_employees]] + Table4[[#This Row],[Public_PT_employees]] - Table4[[#This Row],[Public_Tot_employees]]) &lt; 1, "OK", "Mismatch")</f>
        <v>OK</v>
      </c>
      <c r="B487" s="24" t="str">
        <f>IF(ABS(Table4[[#This Row],[Private_FT_employees]] + Table4[[#This Row],[Private_PT_employees]] - Table4[[#This Row],[Private_Tot_employees]]) &lt; 1, "OK", "Mismatch")</f>
        <v>OK</v>
      </c>
      <c r="C487" s="24" t="str">
        <f>IF(ABS(Table4[[#This Row],[Total_FT_Employees]] + Table4[[#This Row],[Total_PT_Employees]] - Table4[[#This Row],[Total_Tot_employees]]) &lt; 1, "OK", "Mismatch")</f>
        <v>OK</v>
      </c>
      <c r="D487" s="24" t="str">
        <f>IF(ABS(Table4[[#This Row],[Public_Tot_employment]] + Table4[[#This Row],[Private_Tot_employment]] - Table4[[#This Row],[Total_Employment]]) &lt; 1, "OK", "Mismatch")</f>
        <v>Mismatch</v>
      </c>
    </row>
    <row r="488" spans="1:4" x14ac:dyDescent="0.3">
      <c r="A488" s="24" t="str">
        <f>IF(ABS(Table4[[#This Row],[Public_FT_employees]] + Table4[[#This Row],[Public_PT_employees]] - Table4[[#This Row],[Public_Tot_employees]]) &lt; 1, "OK", "Mismatch")</f>
        <v>OK</v>
      </c>
      <c r="B488" s="24" t="str">
        <f>IF(ABS(Table4[[#This Row],[Private_FT_employees]] + Table4[[#This Row],[Private_PT_employees]] - Table4[[#This Row],[Private_Tot_employees]]) &lt; 1, "OK", "Mismatch")</f>
        <v>OK</v>
      </c>
      <c r="C488" s="24" t="str">
        <f>IF(ABS(Table4[[#This Row],[Total_FT_Employees]] + Table4[[#This Row],[Total_PT_Employees]] - Table4[[#This Row],[Total_Tot_employees]]) &lt; 1, "OK", "Mismatch")</f>
        <v>OK</v>
      </c>
      <c r="D488" s="24" t="str">
        <f>IF(ABS(Table4[[#This Row],[Public_Tot_employment]] + Table4[[#This Row],[Private_Tot_employment]] - Table4[[#This Row],[Total_Employment]]) &lt; 1, "OK", "Mismatch")</f>
        <v>OK</v>
      </c>
    </row>
    <row r="489" spans="1:4" x14ac:dyDescent="0.3">
      <c r="A489" s="24" t="str">
        <f>IF(ABS(Table4[[#This Row],[Public_FT_employees]] + Table4[[#This Row],[Public_PT_employees]] - Table4[[#This Row],[Public_Tot_employees]]) &lt; 1, "OK", "Mismatch")</f>
        <v>OK</v>
      </c>
      <c r="B489" s="24" t="str">
        <f>IF(ABS(Table4[[#This Row],[Private_FT_employees]] + Table4[[#This Row],[Private_PT_employees]] - Table4[[#This Row],[Private_Tot_employees]]) &lt; 1, "OK", "Mismatch")</f>
        <v>OK</v>
      </c>
      <c r="C489" s="24" t="str">
        <f>IF(ABS(Table4[[#This Row],[Total_FT_Employees]] + Table4[[#This Row],[Total_PT_Employees]] - Table4[[#This Row],[Total_Tot_employees]]) &lt; 1, "OK", "Mismatch")</f>
        <v>OK</v>
      </c>
      <c r="D489" s="24" t="str">
        <f>IF(ABS(Table4[[#This Row],[Public_Tot_employment]] + Table4[[#This Row],[Private_Tot_employment]] - Table4[[#This Row],[Total_Employment]]) &lt; 1, "OK", "Mismatch")</f>
        <v>OK</v>
      </c>
    </row>
    <row r="490" spans="1:4" x14ac:dyDescent="0.3">
      <c r="A490" s="24" t="str">
        <f>IF(ABS(Table4[[#This Row],[Public_FT_employees]] + Table4[[#This Row],[Public_PT_employees]] - Table4[[#This Row],[Public_Tot_employees]]) &lt; 1, "OK", "Mismatch")</f>
        <v>OK</v>
      </c>
      <c r="B490" s="24" t="str">
        <f>IF(ABS(Table4[[#This Row],[Private_FT_employees]] + Table4[[#This Row],[Private_PT_employees]] - Table4[[#This Row],[Private_Tot_employees]]) &lt; 1, "OK", "Mismatch")</f>
        <v>OK</v>
      </c>
      <c r="C490" s="24" t="str">
        <f>IF(ABS(Table4[[#This Row],[Total_FT_Employees]] + Table4[[#This Row],[Total_PT_Employees]] - Table4[[#This Row],[Total_Tot_employees]]) &lt; 1, "OK", "Mismatch")</f>
        <v>OK</v>
      </c>
      <c r="D490" s="24" t="str">
        <f>IF(ABS(Table4[[#This Row],[Public_Tot_employment]] + Table4[[#This Row],[Private_Tot_employment]] - Table4[[#This Row],[Total_Employment]]) &lt; 1, "OK", "Mismatch")</f>
        <v>Mismatch</v>
      </c>
    </row>
    <row r="491" spans="1:4" x14ac:dyDescent="0.3">
      <c r="A491" s="24" t="str">
        <f>IF(ABS(Table4[[#This Row],[Public_FT_employees]] + Table4[[#This Row],[Public_PT_employees]] - Table4[[#This Row],[Public_Tot_employees]]) &lt; 1, "OK", "Mismatch")</f>
        <v>OK</v>
      </c>
      <c r="B491" s="24" t="str">
        <f>IF(ABS(Table4[[#This Row],[Private_FT_employees]] + Table4[[#This Row],[Private_PT_employees]] - Table4[[#This Row],[Private_Tot_employees]]) &lt; 1, "OK", "Mismatch")</f>
        <v>OK</v>
      </c>
      <c r="C491" s="24" t="str">
        <f>IF(ABS(Table4[[#This Row],[Total_FT_Employees]] + Table4[[#This Row],[Total_PT_Employees]] - Table4[[#This Row],[Total_Tot_employees]]) &lt; 1, "OK", "Mismatch")</f>
        <v>OK</v>
      </c>
      <c r="D491" s="24" t="str">
        <f>IF(ABS(Table4[[#This Row],[Public_Tot_employment]] + Table4[[#This Row],[Private_Tot_employment]] - Table4[[#This Row],[Total_Employment]]) &lt; 1, "OK", "Mismatch")</f>
        <v>OK</v>
      </c>
    </row>
    <row r="492" spans="1:4" x14ac:dyDescent="0.3">
      <c r="A492" s="24" t="str">
        <f>IF(ABS(Table4[[#This Row],[Public_FT_employees]] + Table4[[#This Row],[Public_PT_employees]] - Table4[[#This Row],[Public_Tot_employees]]) &lt; 1, "OK", "Mismatch")</f>
        <v>OK</v>
      </c>
      <c r="B492" s="24" t="str">
        <f>IF(ABS(Table4[[#This Row],[Private_FT_employees]] + Table4[[#This Row],[Private_PT_employees]] - Table4[[#This Row],[Private_Tot_employees]]) &lt; 1, "OK", "Mismatch")</f>
        <v>OK</v>
      </c>
      <c r="C492" s="24" t="str">
        <f>IF(ABS(Table4[[#This Row],[Total_FT_Employees]] + Table4[[#This Row],[Total_PT_Employees]] - Table4[[#This Row],[Total_Tot_employees]]) &lt; 1, "OK", "Mismatch")</f>
        <v>OK</v>
      </c>
      <c r="D492" s="24" t="str">
        <f>IF(ABS(Table4[[#This Row],[Public_Tot_employment]] + Table4[[#This Row],[Private_Tot_employment]] - Table4[[#This Row],[Total_Employment]]) &lt; 1, "OK", "Mismatch")</f>
        <v>OK</v>
      </c>
    </row>
    <row r="493" spans="1:4" x14ac:dyDescent="0.3">
      <c r="A493" s="24" t="str">
        <f>IF(ABS(Table4[[#This Row],[Public_FT_employees]] + Table4[[#This Row],[Public_PT_employees]] - Table4[[#This Row],[Public_Tot_employees]]) &lt; 1, "OK", "Mismatch")</f>
        <v>OK</v>
      </c>
      <c r="B493" s="24" t="str">
        <f>IF(ABS(Table4[[#This Row],[Private_FT_employees]] + Table4[[#This Row],[Private_PT_employees]] - Table4[[#This Row],[Private_Tot_employees]]) &lt; 1, "OK", "Mismatch")</f>
        <v>OK</v>
      </c>
      <c r="C493" s="24" t="str">
        <f>IF(ABS(Table4[[#This Row],[Total_FT_Employees]] + Table4[[#This Row],[Total_PT_Employees]] - Table4[[#This Row],[Total_Tot_employees]]) &lt; 1, "OK", "Mismatch")</f>
        <v>OK</v>
      </c>
      <c r="D493" s="24" t="str">
        <f>IF(ABS(Table4[[#This Row],[Public_Tot_employment]] + Table4[[#This Row],[Private_Tot_employment]] - Table4[[#This Row],[Total_Employment]]) &lt; 1, "OK", "Mismatch")</f>
        <v>OK</v>
      </c>
    </row>
    <row r="494" spans="1:4" x14ac:dyDescent="0.3">
      <c r="A494" s="24" t="str">
        <f>IF(ABS(Table4[[#This Row],[Public_FT_employees]] + Table4[[#This Row],[Public_PT_employees]] - Table4[[#This Row],[Public_Tot_employees]]) &lt; 1, "OK", "Mismatch")</f>
        <v>OK</v>
      </c>
      <c r="B494" s="24" t="str">
        <f>IF(ABS(Table4[[#This Row],[Private_FT_employees]] + Table4[[#This Row],[Private_PT_employees]] - Table4[[#This Row],[Private_Tot_employees]]) &lt; 1, "OK", "Mismatch")</f>
        <v>OK</v>
      </c>
      <c r="C494" s="24" t="str">
        <f>IF(ABS(Table4[[#This Row],[Total_FT_Employees]] + Table4[[#This Row],[Total_PT_Employees]] - Table4[[#This Row],[Total_Tot_employees]]) &lt; 1, "OK", "Mismatch")</f>
        <v>OK</v>
      </c>
      <c r="D494" s="24" t="str">
        <f>IF(ABS(Table4[[#This Row],[Public_Tot_employment]] + Table4[[#This Row],[Private_Tot_employment]] - Table4[[#This Row],[Total_Employment]]) &lt; 1, "OK", "Mismatch")</f>
        <v>OK</v>
      </c>
    </row>
    <row r="495" spans="1:4" x14ac:dyDescent="0.3">
      <c r="A495" s="24" t="str">
        <f>IF(ABS(Table4[[#This Row],[Public_FT_employees]] + Table4[[#This Row],[Public_PT_employees]] - Table4[[#This Row],[Public_Tot_employees]]) &lt; 1, "OK", "Mismatch")</f>
        <v>OK</v>
      </c>
      <c r="B495" s="24" t="str">
        <f>IF(ABS(Table4[[#This Row],[Private_FT_employees]] + Table4[[#This Row],[Private_PT_employees]] - Table4[[#This Row],[Private_Tot_employees]]) &lt; 1, "OK", "Mismatch")</f>
        <v>OK</v>
      </c>
      <c r="C495" s="24" t="str">
        <f>IF(ABS(Table4[[#This Row],[Total_FT_Employees]] + Table4[[#This Row],[Total_PT_Employees]] - Table4[[#This Row],[Total_Tot_employees]]) &lt; 1, "OK", "Mismatch")</f>
        <v>Mismatch</v>
      </c>
      <c r="D495" s="24" t="str">
        <f>IF(ABS(Table4[[#This Row],[Public_Tot_employment]] + Table4[[#This Row],[Private_Tot_employment]] - Table4[[#This Row],[Total_Employment]]) &lt; 1, "OK", "Mismatch")</f>
        <v>OK</v>
      </c>
    </row>
    <row r="496" spans="1:4" x14ac:dyDescent="0.3">
      <c r="A496" s="24" t="str">
        <f>IF(ABS(Table4[[#This Row],[Public_FT_employees]] + Table4[[#This Row],[Public_PT_employees]] - Table4[[#This Row],[Public_Tot_employees]]) &lt; 1, "OK", "Mismatch")</f>
        <v>OK</v>
      </c>
      <c r="B496" s="24" t="str">
        <f>IF(ABS(Table4[[#This Row],[Private_FT_employees]] + Table4[[#This Row],[Private_PT_employees]] - Table4[[#This Row],[Private_Tot_employees]]) &lt; 1, "OK", "Mismatch")</f>
        <v>OK</v>
      </c>
      <c r="C496" s="24" t="str">
        <f>IF(ABS(Table4[[#This Row],[Total_FT_Employees]] + Table4[[#This Row],[Total_PT_Employees]] - Table4[[#This Row],[Total_Tot_employees]]) &lt; 1, "OK", "Mismatch")</f>
        <v>OK</v>
      </c>
      <c r="D496" s="24" t="str">
        <f>IF(ABS(Table4[[#This Row],[Public_Tot_employment]] + Table4[[#This Row],[Private_Tot_employment]] - Table4[[#This Row],[Total_Employment]]) &lt; 1, "OK", "Mismatch")</f>
        <v>OK</v>
      </c>
    </row>
    <row r="497" spans="1:4" x14ac:dyDescent="0.3">
      <c r="A497" s="24" t="str">
        <f>IF(ABS(Table4[[#This Row],[Public_FT_employees]] + Table4[[#This Row],[Public_PT_employees]] - Table4[[#This Row],[Public_Tot_employees]]) &lt; 1, "OK", "Mismatch")</f>
        <v>OK</v>
      </c>
      <c r="B497" s="24" t="str">
        <f>IF(ABS(Table4[[#This Row],[Private_FT_employees]] + Table4[[#This Row],[Private_PT_employees]] - Table4[[#This Row],[Private_Tot_employees]]) &lt; 1, "OK", "Mismatch")</f>
        <v>OK</v>
      </c>
      <c r="C497" s="24" t="str">
        <f>IF(ABS(Table4[[#This Row],[Total_FT_Employees]] + Table4[[#This Row],[Total_PT_Employees]] - Table4[[#This Row],[Total_Tot_employees]]) &lt; 1, "OK", "Mismatch")</f>
        <v>OK</v>
      </c>
      <c r="D497" s="24" t="str">
        <f>IF(ABS(Table4[[#This Row],[Public_Tot_employment]] + Table4[[#This Row],[Private_Tot_employment]] - Table4[[#This Row],[Total_Employment]]) &lt; 1, "OK", "Mismatch")</f>
        <v>OK</v>
      </c>
    </row>
    <row r="498" spans="1:4" x14ac:dyDescent="0.3">
      <c r="A498" s="24" t="str">
        <f>IF(ABS(Table4[[#This Row],[Public_FT_employees]] + Table4[[#This Row],[Public_PT_employees]] - Table4[[#This Row],[Public_Tot_employees]]) &lt; 1, "OK", "Mismatch")</f>
        <v>Mismatch</v>
      </c>
      <c r="B498" s="24" t="str">
        <f>IF(ABS(Table4[[#This Row],[Private_FT_employees]] + Table4[[#This Row],[Private_PT_employees]] - Table4[[#This Row],[Private_Tot_employees]]) &lt; 1, "OK", "Mismatch")</f>
        <v>Mismatch</v>
      </c>
      <c r="C498" s="24" t="str">
        <f>IF(ABS(Table4[[#This Row],[Total_FT_Employees]] + Table4[[#This Row],[Total_PT_Employees]] - Table4[[#This Row],[Total_Tot_employees]]) &lt; 1, "OK", "Mismatch")</f>
        <v>OK</v>
      </c>
      <c r="D498" s="24" t="str">
        <f>IF(ABS(Table4[[#This Row],[Public_Tot_employment]] + Table4[[#This Row],[Private_Tot_employment]] - Table4[[#This Row],[Total_Employment]]) &lt; 1, "OK", "Mismatch")</f>
        <v>OK</v>
      </c>
    </row>
    <row r="499" spans="1:4" x14ac:dyDescent="0.3">
      <c r="A499" s="24" t="str">
        <f>IF(ABS(Table4[[#This Row],[Public_FT_employees]] + Table4[[#This Row],[Public_PT_employees]] - Table4[[#This Row],[Public_Tot_employees]]) &lt; 1, "OK", "Mismatch")</f>
        <v>Mismatch</v>
      </c>
      <c r="B499" s="24" t="str">
        <f>IF(ABS(Table4[[#This Row],[Private_FT_employees]] + Table4[[#This Row],[Private_PT_employees]] - Table4[[#This Row],[Private_Tot_employees]]) &lt; 1, "OK", "Mismatch")</f>
        <v>OK</v>
      </c>
      <c r="C499" s="24" t="str">
        <f>IF(ABS(Table4[[#This Row],[Total_FT_Employees]] + Table4[[#This Row],[Total_PT_Employees]] - Table4[[#This Row],[Total_Tot_employees]]) &lt; 1, "OK", "Mismatch")</f>
        <v>OK</v>
      </c>
      <c r="D499" s="24" t="str">
        <f>IF(ABS(Table4[[#This Row],[Public_Tot_employment]] + Table4[[#This Row],[Private_Tot_employment]] - Table4[[#This Row],[Total_Employment]]) &lt; 1, "OK", "Mismatch")</f>
        <v>Mismatch</v>
      </c>
    </row>
    <row r="500" spans="1:4" x14ac:dyDescent="0.3">
      <c r="A500" s="24" t="str">
        <f>IF(ABS(Table4[[#This Row],[Public_FT_employees]] + Table4[[#This Row],[Public_PT_employees]] - Table4[[#This Row],[Public_Tot_employees]]) &lt; 1, "OK", "Mismatch")</f>
        <v>OK</v>
      </c>
      <c r="B500" s="24" t="str">
        <f>IF(ABS(Table4[[#This Row],[Private_FT_employees]] + Table4[[#This Row],[Private_PT_employees]] - Table4[[#This Row],[Private_Tot_employees]]) &lt; 1, "OK", "Mismatch")</f>
        <v>OK</v>
      </c>
      <c r="C500" s="24" t="str">
        <f>IF(ABS(Table4[[#This Row],[Total_FT_Employees]] + Table4[[#This Row],[Total_PT_Employees]] - Table4[[#This Row],[Total_Tot_employees]]) &lt; 1, "OK", "Mismatch")</f>
        <v>OK</v>
      </c>
      <c r="D500" s="24" t="str">
        <f>IF(ABS(Table4[[#This Row],[Public_Tot_employment]] + Table4[[#This Row],[Private_Tot_employment]] - Table4[[#This Row],[Total_Employment]]) &lt; 1, "OK", "Mismatch")</f>
        <v>Mismatch</v>
      </c>
    </row>
    <row r="501" spans="1:4" x14ac:dyDescent="0.3">
      <c r="A501" s="24" t="str">
        <f>IF(ABS(Table4[[#This Row],[Public_FT_employees]] + Table4[[#This Row],[Public_PT_employees]] - Table4[[#This Row],[Public_Tot_employees]]) &lt; 1, "OK", "Mismatch")</f>
        <v>OK</v>
      </c>
      <c r="B501" s="24" t="str">
        <f>IF(ABS(Table4[[#This Row],[Private_FT_employees]] + Table4[[#This Row],[Private_PT_employees]] - Table4[[#This Row],[Private_Tot_employees]]) &lt; 1, "OK", "Mismatch")</f>
        <v>OK</v>
      </c>
      <c r="C501" s="24" t="str">
        <f>IF(ABS(Table4[[#This Row],[Total_FT_Employees]] + Table4[[#This Row],[Total_PT_Employees]] - Table4[[#This Row],[Total_Tot_employees]]) &lt; 1, "OK", "Mismatch")</f>
        <v>OK</v>
      </c>
      <c r="D501" s="24" t="str">
        <f>IF(ABS(Table4[[#This Row],[Public_Tot_employment]] + Table4[[#This Row],[Private_Tot_employment]] - Table4[[#This Row],[Total_Employment]]) &lt; 1, "OK", "Mismatch")</f>
        <v>OK</v>
      </c>
    </row>
    <row r="502" spans="1:4" x14ac:dyDescent="0.3">
      <c r="A502" s="24" t="str">
        <f>IF(ABS(Table4[[#This Row],[Public_FT_employees]] + Table4[[#This Row],[Public_PT_employees]] - Table4[[#This Row],[Public_Tot_employees]]) &lt; 1, "OK", "Mismatch")</f>
        <v>OK</v>
      </c>
      <c r="B502" s="24" t="str">
        <f>IF(ABS(Table4[[#This Row],[Private_FT_employees]] + Table4[[#This Row],[Private_PT_employees]] - Table4[[#This Row],[Private_Tot_employees]]) &lt; 1, "OK", "Mismatch")</f>
        <v>OK</v>
      </c>
      <c r="C502" s="24" t="str">
        <f>IF(ABS(Table4[[#This Row],[Total_FT_Employees]] + Table4[[#This Row],[Total_PT_Employees]] - Table4[[#This Row],[Total_Tot_employees]]) &lt; 1, "OK", "Mismatch")</f>
        <v>OK</v>
      </c>
      <c r="D502" s="24" t="str">
        <f>IF(ABS(Table4[[#This Row],[Public_Tot_employment]] + Table4[[#This Row],[Private_Tot_employment]] - Table4[[#This Row],[Total_Employment]]) &lt; 1, "OK", "Mismatch")</f>
        <v>OK</v>
      </c>
    </row>
    <row r="503" spans="1:4" x14ac:dyDescent="0.3">
      <c r="A503" s="24" t="str">
        <f>IF(ABS(Table4[[#This Row],[Public_FT_employees]] + Table4[[#This Row],[Public_PT_employees]] - Table4[[#This Row],[Public_Tot_employees]]) &lt; 1, "OK", "Mismatch")</f>
        <v>Mismatch</v>
      </c>
      <c r="B503" s="24" t="str">
        <f>IF(ABS(Table4[[#This Row],[Private_FT_employees]] + Table4[[#This Row],[Private_PT_employees]] - Table4[[#This Row],[Private_Tot_employees]]) &lt; 1, "OK", "Mismatch")</f>
        <v>Mismatch</v>
      </c>
      <c r="C503" s="24" t="str">
        <f>IF(ABS(Table4[[#This Row],[Total_FT_Employees]] + Table4[[#This Row],[Total_PT_Employees]] - Table4[[#This Row],[Total_Tot_employees]]) &lt; 1, "OK", "Mismatch")</f>
        <v>OK</v>
      </c>
      <c r="D503" s="24" t="str">
        <f>IF(ABS(Table4[[#This Row],[Public_Tot_employment]] + Table4[[#This Row],[Private_Tot_employment]] - Table4[[#This Row],[Total_Employment]]) &lt; 1, "OK", "Mismatch")</f>
        <v>OK</v>
      </c>
    </row>
    <row r="504" spans="1:4" x14ac:dyDescent="0.3">
      <c r="A504" s="24" t="str">
        <f>IF(ABS(Table4[[#This Row],[Public_FT_employees]] + Table4[[#This Row],[Public_PT_employees]] - Table4[[#This Row],[Public_Tot_employees]]) &lt; 1, "OK", "Mismatch")</f>
        <v>Mismatch</v>
      </c>
      <c r="B504" s="24" t="str">
        <f>IF(ABS(Table4[[#This Row],[Private_FT_employees]] + Table4[[#This Row],[Private_PT_employees]] - Table4[[#This Row],[Private_Tot_employees]]) &lt; 1, "OK", "Mismatch")</f>
        <v>OK</v>
      </c>
      <c r="C504" s="24" t="str">
        <f>IF(ABS(Table4[[#This Row],[Total_FT_Employees]] + Table4[[#This Row],[Total_PT_Employees]] - Table4[[#This Row],[Total_Tot_employees]]) &lt; 1, "OK", "Mismatch")</f>
        <v>OK</v>
      </c>
      <c r="D504" s="24" t="str">
        <f>IF(ABS(Table4[[#This Row],[Public_Tot_employment]] + Table4[[#This Row],[Private_Tot_employment]] - Table4[[#This Row],[Total_Employment]]) &lt; 1, "OK", "Mismatch")</f>
        <v>OK</v>
      </c>
    </row>
    <row r="505" spans="1:4" x14ac:dyDescent="0.3">
      <c r="A505" s="24" t="str">
        <f>IF(ABS(Table4[[#This Row],[Public_FT_employees]] + Table4[[#This Row],[Public_PT_employees]] - Table4[[#This Row],[Public_Tot_employees]]) &lt; 1, "OK", "Mismatch")</f>
        <v>Mismatch</v>
      </c>
      <c r="B505" s="24" t="str">
        <f>IF(ABS(Table4[[#This Row],[Private_FT_employees]] + Table4[[#This Row],[Private_PT_employees]] - Table4[[#This Row],[Private_Tot_employees]]) &lt; 1, "OK", "Mismatch")</f>
        <v>Mismatch</v>
      </c>
      <c r="C505" s="24" t="str">
        <f>IF(ABS(Table4[[#This Row],[Total_FT_Employees]] + Table4[[#This Row],[Total_PT_Employees]] - Table4[[#This Row],[Total_Tot_employees]]) &lt; 1, "OK", "Mismatch")</f>
        <v>OK</v>
      </c>
      <c r="D505" s="24" t="str">
        <f>IF(ABS(Table4[[#This Row],[Public_Tot_employment]] + Table4[[#This Row],[Private_Tot_employment]] - Table4[[#This Row],[Total_Employment]]) &lt; 1, "OK", "Mismatch")</f>
        <v>OK</v>
      </c>
    </row>
    <row r="506" spans="1:4" x14ac:dyDescent="0.3">
      <c r="A506" s="24" t="str">
        <f>IF(ABS(Table4[[#This Row],[Public_FT_employees]] + Table4[[#This Row],[Public_PT_employees]] - Table4[[#This Row],[Public_Tot_employees]]) &lt; 1, "OK", "Mismatch")</f>
        <v>Mismatch</v>
      </c>
      <c r="B506" s="24" t="str">
        <f>IF(ABS(Table4[[#This Row],[Private_FT_employees]] + Table4[[#This Row],[Private_PT_employees]] - Table4[[#This Row],[Private_Tot_employees]]) &lt; 1, "OK", "Mismatch")</f>
        <v>Mismatch</v>
      </c>
      <c r="C506" s="24" t="str">
        <f>IF(ABS(Table4[[#This Row],[Total_FT_Employees]] + Table4[[#This Row],[Total_PT_Employees]] - Table4[[#This Row],[Total_Tot_employees]]) &lt; 1, "OK", "Mismatch")</f>
        <v>OK</v>
      </c>
      <c r="D506" s="24" t="str">
        <f>IF(ABS(Table4[[#This Row],[Public_Tot_employment]] + Table4[[#This Row],[Private_Tot_employment]] - Table4[[#This Row],[Total_Employment]]) &lt; 1, "OK", "Mismatch")</f>
        <v>OK</v>
      </c>
    </row>
    <row r="507" spans="1:4" x14ac:dyDescent="0.3">
      <c r="A507" s="24" t="str">
        <f>IF(ABS(Table4[[#This Row],[Public_FT_employees]] + Table4[[#This Row],[Public_PT_employees]] - Table4[[#This Row],[Public_Tot_employees]]) &lt; 1, "OK", "Mismatch")</f>
        <v>OK</v>
      </c>
      <c r="B507" s="24" t="str">
        <f>IF(ABS(Table4[[#This Row],[Private_FT_employees]] + Table4[[#This Row],[Private_PT_employees]] - Table4[[#This Row],[Private_Tot_employees]]) &lt; 1, "OK", "Mismatch")</f>
        <v>OK</v>
      </c>
      <c r="C507" s="24" t="str">
        <f>IF(ABS(Table4[[#This Row],[Total_FT_Employees]] + Table4[[#This Row],[Total_PT_Employees]] - Table4[[#This Row],[Total_Tot_employees]]) &lt; 1, "OK", "Mismatch")</f>
        <v>OK</v>
      </c>
      <c r="D507" s="24" t="str">
        <f>IF(ABS(Table4[[#This Row],[Public_Tot_employment]] + Table4[[#This Row],[Private_Tot_employment]] - Table4[[#This Row],[Total_Employment]]) &lt; 1, "OK", "Mismatch")</f>
        <v>OK</v>
      </c>
    </row>
    <row r="508" spans="1:4" x14ac:dyDescent="0.3">
      <c r="A508" s="24" t="str">
        <f>IF(ABS(Table4[[#This Row],[Public_FT_employees]] + Table4[[#This Row],[Public_PT_employees]] - Table4[[#This Row],[Public_Tot_employees]]) &lt; 1, "OK", "Mismatch")</f>
        <v>OK</v>
      </c>
      <c r="B508" s="24" t="str">
        <f>IF(ABS(Table4[[#This Row],[Private_FT_employees]] + Table4[[#This Row],[Private_PT_employees]] - Table4[[#This Row],[Private_Tot_employees]]) &lt; 1, "OK", "Mismatch")</f>
        <v>Mismatch</v>
      </c>
      <c r="C508" s="24" t="str">
        <f>IF(ABS(Table4[[#This Row],[Total_FT_Employees]] + Table4[[#This Row],[Total_PT_Employees]] - Table4[[#This Row],[Total_Tot_employees]]) &lt; 1, "OK", "Mismatch")</f>
        <v>Mismatch</v>
      </c>
      <c r="D508" s="24" t="str">
        <f>IF(ABS(Table4[[#This Row],[Public_Tot_employment]] + Table4[[#This Row],[Private_Tot_employment]] - Table4[[#This Row],[Total_Employment]]) &lt; 1, "OK", "Mismatch")</f>
        <v>OK</v>
      </c>
    </row>
    <row r="509" spans="1:4" x14ac:dyDescent="0.3">
      <c r="A509" s="24" t="str">
        <f>IF(ABS(Table4[[#This Row],[Public_FT_employees]] + Table4[[#This Row],[Public_PT_employees]] - Table4[[#This Row],[Public_Tot_employees]]) &lt; 1, "OK", "Mismatch")</f>
        <v>OK</v>
      </c>
      <c r="B509" s="24" t="str">
        <f>IF(ABS(Table4[[#This Row],[Private_FT_employees]] + Table4[[#This Row],[Private_PT_employees]] - Table4[[#This Row],[Private_Tot_employees]]) &lt; 1, "OK", "Mismatch")</f>
        <v>OK</v>
      </c>
      <c r="C509" s="24" t="str">
        <f>IF(ABS(Table4[[#This Row],[Total_FT_Employees]] + Table4[[#This Row],[Total_PT_Employees]] - Table4[[#This Row],[Total_Tot_employees]]) &lt; 1, "OK", "Mismatch")</f>
        <v>OK</v>
      </c>
      <c r="D509" s="24" t="str">
        <f>IF(ABS(Table4[[#This Row],[Public_Tot_employment]] + Table4[[#This Row],[Private_Tot_employment]] - Table4[[#This Row],[Total_Employment]]) &lt; 1, "OK", "Mismatch")</f>
        <v>OK</v>
      </c>
    </row>
    <row r="510" spans="1:4" x14ac:dyDescent="0.3">
      <c r="A510" s="24" t="str">
        <f>IF(ABS(Table4[[#This Row],[Public_FT_employees]] + Table4[[#This Row],[Public_PT_employees]] - Table4[[#This Row],[Public_Tot_employees]]) &lt; 1, "OK", "Mismatch")</f>
        <v>OK</v>
      </c>
      <c r="B510" s="24" t="str">
        <f>IF(ABS(Table4[[#This Row],[Private_FT_employees]] + Table4[[#This Row],[Private_PT_employees]] - Table4[[#This Row],[Private_Tot_employees]]) &lt; 1, "OK", "Mismatch")</f>
        <v>OK</v>
      </c>
      <c r="C510" s="24" t="str">
        <f>IF(ABS(Table4[[#This Row],[Total_FT_Employees]] + Table4[[#This Row],[Total_PT_Employees]] - Table4[[#This Row],[Total_Tot_employees]]) &lt; 1, "OK", "Mismatch")</f>
        <v>OK</v>
      </c>
      <c r="D510" s="24" t="str">
        <f>IF(ABS(Table4[[#This Row],[Public_Tot_employment]] + Table4[[#This Row],[Private_Tot_employment]] - Table4[[#This Row],[Total_Employment]]) &lt; 1, "OK", "Mismatch")</f>
        <v>OK</v>
      </c>
    </row>
    <row r="511" spans="1:4" x14ac:dyDescent="0.3">
      <c r="A511" s="24" t="str">
        <f>IF(ABS(Table4[[#This Row],[Public_FT_employees]] + Table4[[#This Row],[Public_PT_employees]] - Table4[[#This Row],[Public_Tot_employees]]) &lt; 1, "OK", "Mismatch")</f>
        <v>OK</v>
      </c>
      <c r="B511" s="24" t="str">
        <f>IF(ABS(Table4[[#This Row],[Private_FT_employees]] + Table4[[#This Row],[Private_PT_employees]] - Table4[[#This Row],[Private_Tot_employees]]) &lt; 1, "OK", "Mismatch")</f>
        <v>OK</v>
      </c>
      <c r="C511" s="24" t="str">
        <f>IF(ABS(Table4[[#This Row],[Total_FT_Employees]] + Table4[[#This Row],[Total_PT_Employees]] - Table4[[#This Row],[Total_Tot_employees]]) &lt; 1, "OK", "Mismatch")</f>
        <v>OK</v>
      </c>
      <c r="D511" s="24" t="str">
        <f>IF(ABS(Table4[[#This Row],[Public_Tot_employment]] + Table4[[#This Row],[Private_Tot_employment]] - Table4[[#This Row],[Total_Employment]]) &lt; 1, "OK", "Mismatch")</f>
        <v>Mismatch</v>
      </c>
    </row>
    <row r="512" spans="1:4" x14ac:dyDescent="0.3">
      <c r="A512" s="24" t="str">
        <f>IF(ABS(Table4[[#This Row],[Public_FT_employees]] + Table4[[#This Row],[Public_PT_employees]] - Table4[[#This Row],[Public_Tot_employees]]) &lt; 1, "OK", "Mismatch")</f>
        <v>OK</v>
      </c>
      <c r="B512" s="24" t="str">
        <f>IF(ABS(Table4[[#This Row],[Private_FT_employees]] + Table4[[#This Row],[Private_PT_employees]] - Table4[[#This Row],[Private_Tot_employees]]) &lt; 1, "OK", "Mismatch")</f>
        <v>Mismatch</v>
      </c>
      <c r="C512" s="24" t="str">
        <f>IF(ABS(Table4[[#This Row],[Total_FT_Employees]] + Table4[[#This Row],[Total_PT_Employees]] - Table4[[#This Row],[Total_Tot_employees]]) &lt; 1, "OK", "Mismatch")</f>
        <v>Mismatch</v>
      </c>
      <c r="D512" s="24" t="str">
        <f>IF(ABS(Table4[[#This Row],[Public_Tot_employment]] + Table4[[#This Row],[Private_Tot_employment]] - Table4[[#This Row],[Total_Employment]]) &lt; 1, "OK", "Mismatch")</f>
        <v>OK</v>
      </c>
    </row>
    <row r="513" spans="1:4" x14ac:dyDescent="0.3">
      <c r="A513" s="24" t="str">
        <f>IF(ABS(Table4[[#This Row],[Public_FT_employees]] + Table4[[#This Row],[Public_PT_employees]] - Table4[[#This Row],[Public_Tot_employees]]) &lt; 1, "OK", "Mismatch")</f>
        <v>OK</v>
      </c>
      <c r="B513" s="24" t="str">
        <f>IF(ABS(Table4[[#This Row],[Private_FT_employees]] + Table4[[#This Row],[Private_PT_employees]] - Table4[[#This Row],[Private_Tot_employees]]) &lt; 1, "OK", "Mismatch")</f>
        <v>Mismatch</v>
      </c>
      <c r="C513" s="24" t="str">
        <f>IF(ABS(Table4[[#This Row],[Total_FT_Employees]] + Table4[[#This Row],[Total_PT_Employees]] - Table4[[#This Row],[Total_Tot_employees]]) &lt; 1, "OK", "Mismatch")</f>
        <v>OK</v>
      </c>
      <c r="D513" s="24" t="str">
        <f>IF(ABS(Table4[[#This Row],[Public_Tot_employment]] + Table4[[#This Row],[Private_Tot_employment]] - Table4[[#This Row],[Total_Employment]]) &lt; 1, "OK", "Mismatch")</f>
        <v>OK</v>
      </c>
    </row>
    <row r="514" spans="1:4" x14ac:dyDescent="0.3">
      <c r="A514" s="24" t="str">
        <f>IF(ABS(Table4[[#This Row],[Public_FT_employees]] + Table4[[#This Row],[Public_PT_employees]] - Table4[[#This Row],[Public_Tot_employees]]) &lt; 1, "OK", "Mismatch")</f>
        <v>OK</v>
      </c>
      <c r="B514" s="24" t="str">
        <f>IF(ABS(Table4[[#This Row],[Private_FT_employees]] + Table4[[#This Row],[Private_PT_employees]] - Table4[[#This Row],[Private_Tot_employees]]) &lt; 1, "OK", "Mismatch")</f>
        <v>OK</v>
      </c>
      <c r="C514" s="24" t="str">
        <f>IF(ABS(Table4[[#This Row],[Total_FT_Employees]] + Table4[[#This Row],[Total_PT_Employees]] - Table4[[#This Row],[Total_Tot_employees]]) &lt; 1, "OK", "Mismatch")</f>
        <v>OK</v>
      </c>
      <c r="D514" s="24" t="str">
        <f>IF(ABS(Table4[[#This Row],[Public_Tot_employment]] + Table4[[#This Row],[Private_Tot_employment]] - Table4[[#This Row],[Total_Employment]]) &lt; 1, "OK", "Mismatch")</f>
        <v>OK</v>
      </c>
    </row>
    <row r="515" spans="1:4" x14ac:dyDescent="0.3">
      <c r="A515" s="24" t="str">
        <f>IF(ABS(Table4[[#This Row],[Public_FT_employees]] + Table4[[#This Row],[Public_PT_employees]] - Table4[[#This Row],[Public_Tot_employees]]) &lt; 1, "OK", "Mismatch")</f>
        <v>Mismatch</v>
      </c>
      <c r="B515" s="24" t="str">
        <f>IF(ABS(Table4[[#This Row],[Private_FT_employees]] + Table4[[#This Row],[Private_PT_employees]] - Table4[[#This Row],[Private_Tot_employees]]) &lt; 1, "OK", "Mismatch")</f>
        <v>OK</v>
      </c>
      <c r="C515" s="24" t="str">
        <f>IF(ABS(Table4[[#This Row],[Total_FT_Employees]] + Table4[[#This Row],[Total_PT_Employees]] - Table4[[#This Row],[Total_Tot_employees]]) &lt; 1, "OK", "Mismatch")</f>
        <v>Mismatch</v>
      </c>
      <c r="D515" s="24" t="str">
        <f>IF(ABS(Table4[[#This Row],[Public_Tot_employment]] + Table4[[#This Row],[Private_Tot_employment]] - Table4[[#This Row],[Total_Employment]]) &lt; 1, "OK", "Mismatch")</f>
        <v>OK</v>
      </c>
    </row>
    <row r="516" spans="1:4" x14ac:dyDescent="0.3">
      <c r="A516" s="24" t="str">
        <f>IF(ABS(Table4[[#This Row],[Public_FT_employees]] + Table4[[#This Row],[Public_PT_employees]] - Table4[[#This Row],[Public_Tot_employees]]) &lt; 1, "OK", "Mismatch")</f>
        <v>Mismatch</v>
      </c>
      <c r="B516" s="24" t="str">
        <f>IF(ABS(Table4[[#This Row],[Private_FT_employees]] + Table4[[#This Row],[Private_PT_employees]] - Table4[[#This Row],[Private_Tot_employees]]) &lt; 1, "OK", "Mismatch")</f>
        <v>Mismatch</v>
      </c>
      <c r="C516" s="24" t="str">
        <f>IF(ABS(Table4[[#This Row],[Total_FT_Employees]] + Table4[[#This Row],[Total_PT_Employees]] - Table4[[#This Row],[Total_Tot_employees]]) &lt; 1, "OK", "Mismatch")</f>
        <v>OK</v>
      </c>
      <c r="D516" s="24" t="str">
        <f>IF(ABS(Table4[[#This Row],[Public_Tot_employment]] + Table4[[#This Row],[Private_Tot_employment]] - Table4[[#This Row],[Total_Employment]]) &lt; 1, "OK", "Mismatch")</f>
        <v>Mismatch</v>
      </c>
    </row>
    <row r="517" spans="1:4" x14ac:dyDescent="0.3">
      <c r="A517" s="24" t="str">
        <f>IF(ABS(Table4[[#This Row],[Public_FT_employees]] + Table4[[#This Row],[Public_PT_employees]] - Table4[[#This Row],[Public_Tot_employees]]) &lt; 1, "OK", "Mismatch")</f>
        <v>Mismatch</v>
      </c>
      <c r="B517" s="24" t="str">
        <f>IF(ABS(Table4[[#This Row],[Private_FT_employees]] + Table4[[#This Row],[Private_PT_employees]] - Table4[[#This Row],[Private_Tot_employees]]) &lt; 1, "OK", "Mismatch")</f>
        <v>Mismatch</v>
      </c>
      <c r="C517" s="24" t="str">
        <f>IF(ABS(Table4[[#This Row],[Total_FT_Employees]] + Table4[[#This Row],[Total_PT_Employees]] - Table4[[#This Row],[Total_Tot_employees]]) &lt; 1, "OK", "Mismatch")</f>
        <v>Mismatch</v>
      </c>
      <c r="D517" s="24" t="str">
        <f>IF(ABS(Table4[[#This Row],[Public_Tot_employment]] + Table4[[#This Row],[Private_Tot_employment]] - Table4[[#This Row],[Total_Employment]]) &lt; 1, "OK", "Mismatch")</f>
        <v>Mismatch</v>
      </c>
    </row>
    <row r="518" spans="1:4" x14ac:dyDescent="0.3">
      <c r="A518" s="24" t="str">
        <f>IF(ABS(Table4[[#This Row],[Public_FT_employees]] + Table4[[#This Row],[Public_PT_employees]] - Table4[[#This Row],[Public_Tot_employees]]) &lt; 1, "OK", "Mismatch")</f>
        <v>Mismatch</v>
      </c>
      <c r="B518" s="24" t="str">
        <f>IF(ABS(Table4[[#This Row],[Private_FT_employees]] + Table4[[#This Row],[Private_PT_employees]] - Table4[[#This Row],[Private_Tot_employees]]) &lt; 1, "OK", "Mismatch")</f>
        <v>Mismatch</v>
      </c>
      <c r="C518" s="24" t="str">
        <f>IF(ABS(Table4[[#This Row],[Total_FT_Employees]] + Table4[[#This Row],[Total_PT_Employees]] - Table4[[#This Row],[Total_Tot_employees]]) &lt; 1, "OK", "Mismatch")</f>
        <v>Mismatch</v>
      </c>
      <c r="D518" s="24" t="str">
        <f>IF(ABS(Table4[[#This Row],[Public_Tot_employment]] + Table4[[#This Row],[Private_Tot_employment]] - Table4[[#This Row],[Total_Employment]]) &lt; 1, "OK", "Mismatch")</f>
        <v>OK</v>
      </c>
    </row>
    <row r="519" spans="1:4" x14ac:dyDescent="0.3">
      <c r="A519" s="24" t="str">
        <f>IF(ABS(Table4[[#This Row],[Public_FT_employees]] + Table4[[#This Row],[Public_PT_employees]] - Table4[[#This Row],[Public_Tot_employees]]) &lt; 1, "OK", "Mismatch")</f>
        <v>OK</v>
      </c>
      <c r="B519" s="24" t="str">
        <f>IF(ABS(Table4[[#This Row],[Private_FT_employees]] + Table4[[#This Row],[Private_PT_employees]] - Table4[[#This Row],[Private_Tot_employees]]) &lt; 1, "OK", "Mismatch")</f>
        <v>OK</v>
      </c>
      <c r="C519" s="24" t="str">
        <f>IF(ABS(Table4[[#This Row],[Total_FT_Employees]] + Table4[[#This Row],[Total_PT_Employees]] - Table4[[#This Row],[Total_Tot_employees]]) &lt; 1, "OK", "Mismatch")</f>
        <v>Mismatch</v>
      </c>
      <c r="D519" s="24" t="str">
        <f>IF(ABS(Table4[[#This Row],[Public_Tot_employment]] + Table4[[#This Row],[Private_Tot_employment]] - Table4[[#This Row],[Total_Employment]]) &lt; 1, "OK", "Mismatch")</f>
        <v>OK</v>
      </c>
    </row>
    <row r="520" spans="1:4" x14ac:dyDescent="0.3">
      <c r="A520" s="24" t="str">
        <f>IF(ABS(Table4[[#This Row],[Public_FT_employees]] + Table4[[#This Row],[Public_PT_employees]] - Table4[[#This Row],[Public_Tot_employees]]) &lt; 1, "OK", "Mismatch")</f>
        <v>Mismatch</v>
      </c>
      <c r="B520" s="24" t="str">
        <f>IF(ABS(Table4[[#This Row],[Private_FT_employees]] + Table4[[#This Row],[Private_PT_employees]] - Table4[[#This Row],[Private_Tot_employees]]) &lt; 1, "OK", "Mismatch")</f>
        <v>Mismatch</v>
      </c>
      <c r="C520" s="24" t="str">
        <f>IF(ABS(Table4[[#This Row],[Total_FT_Employees]] + Table4[[#This Row],[Total_PT_Employees]] - Table4[[#This Row],[Total_Tot_employees]]) &lt; 1, "OK", "Mismatch")</f>
        <v>Mismatch</v>
      </c>
      <c r="D520" s="24" t="str">
        <f>IF(ABS(Table4[[#This Row],[Public_Tot_employment]] + Table4[[#This Row],[Private_Tot_employment]] - Table4[[#This Row],[Total_Employment]]) &lt; 1, "OK", "Mismatch")</f>
        <v>Mismatch</v>
      </c>
    </row>
    <row r="521" spans="1:4" x14ac:dyDescent="0.3">
      <c r="A521" s="24" t="str">
        <f>IF(ABS(Table4[[#This Row],[Public_FT_employees]] + Table4[[#This Row],[Public_PT_employees]] - Table4[[#This Row],[Public_Tot_employees]]) &lt; 1, "OK", "Mismatch")</f>
        <v>OK</v>
      </c>
      <c r="B521" s="24" t="str">
        <f>IF(ABS(Table4[[#This Row],[Private_FT_employees]] + Table4[[#This Row],[Private_PT_employees]] - Table4[[#This Row],[Private_Tot_employees]]) &lt; 1, "OK", "Mismatch")</f>
        <v>OK</v>
      </c>
      <c r="C521" s="24" t="str">
        <f>IF(ABS(Table4[[#This Row],[Total_FT_Employees]] + Table4[[#This Row],[Total_PT_Employees]] - Table4[[#This Row],[Total_Tot_employees]]) &lt; 1, "OK", "Mismatch")</f>
        <v>OK</v>
      </c>
      <c r="D521" s="24" t="str">
        <f>IF(ABS(Table4[[#This Row],[Public_Tot_employment]] + Table4[[#This Row],[Private_Tot_employment]] - Table4[[#This Row],[Total_Employment]]) &lt; 1, "OK", "Mismatch")</f>
        <v>OK</v>
      </c>
    </row>
    <row r="522" spans="1:4" x14ac:dyDescent="0.3">
      <c r="A522" s="24" t="str">
        <f>IF(ABS(Table4[[#This Row],[Public_FT_employees]] + Table4[[#This Row],[Public_PT_employees]] - Table4[[#This Row],[Public_Tot_employees]]) &lt; 1, "OK", "Mismatch")</f>
        <v>OK</v>
      </c>
      <c r="B522" s="24" t="str">
        <f>IF(ABS(Table4[[#This Row],[Private_FT_employees]] + Table4[[#This Row],[Private_PT_employees]] - Table4[[#This Row],[Private_Tot_employees]]) &lt; 1, "OK", "Mismatch")</f>
        <v>OK</v>
      </c>
      <c r="C522" s="24" t="str">
        <f>IF(ABS(Table4[[#This Row],[Total_FT_Employees]] + Table4[[#This Row],[Total_PT_Employees]] - Table4[[#This Row],[Total_Tot_employees]]) &lt; 1, "OK", "Mismatch")</f>
        <v>Mismatch</v>
      </c>
      <c r="D522" s="24" t="str">
        <f>IF(ABS(Table4[[#This Row],[Public_Tot_employment]] + Table4[[#This Row],[Private_Tot_employment]] - Table4[[#This Row],[Total_Employment]]) &lt; 1, "OK", "Mismatch")</f>
        <v>OK</v>
      </c>
    </row>
    <row r="523" spans="1:4" x14ac:dyDescent="0.3">
      <c r="A523" s="24" t="str">
        <f>IF(ABS(Table4[[#This Row],[Public_FT_employees]] + Table4[[#This Row],[Public_PT_employees]] - Table4[[#This Row],[Public_Tot_employees]]) &lt; 1, "OK", "Mismatch")</f>
        <v>OK</v>
      </c>
      <c r="B523" s="24" t="str">
        <f>IF(ABS(Table4[[#This Row],[Private_FT_employees]] + Table4[[#This Row],[Private_PT_employees]] - Table4[[#This Row],[Private_Tot_employees]]) &lt; 1, "OK", "Mismatch")</f>
        <v>OK</v>
      </c>
      <c r="C523" s="24" t="str">
        <f>IF(ABS(Table4[[#This Row],[Total_FT_Employees]] + Table4[[#This Row],[Total_PT_Employees]] - Table4[[#This Row],[Total_Tot_employees]]) &lt; 1, "OK", "Mismatch")</f>
        <v>OK</v>
      </c>
      <c r="D523" s="24" t="str">
        <f>IF(ABS(Table4[[#This Row],[Public_Tot_employment]] + Table4[[#This Row],[Private_Tot_employment]] - Table4[[#This Row],[Total_Employment]]) &lt; 1, "OK", "Mismatch")</f>
        <v>OK</v>
      </c>
    </row>
    <row r="524" spans="1:4" x14ac:dyDescent="0.3">
      <c r="A524" s="24" t="str">
        <f>IF(ABS(Table4[[#This Row],[Public_FT_employees]] + Table4[[#This Row],[Public_PT_employees]] - Table4[[#This Row],[Public_Tot_employees]]) &lt; 1, "OK", "Mismatch")</f>
        <v>Mismatch</v>
      </c>
      <c r="B524" s="24" t="str">
        <f>IF(ABS(Table4[[#This Row],[Private_FT_employees]] + Table4[[#This Row],[Private_PT_employees]] - Table4[[#This Row],[Private_Tot_employees]]) &lt; 1, "OK", "Mismatch")</f>
        <v>Mismatch</v>
      </c>
      <c r="C524" s="24" t="str">
        <f>IF(ABS(Table4[[#This Row],[Total_FT_Employees]] + Table4[[#This Row],[Total_PT_Employees]] - Table4[[#This Row],[Total_Tot_employees]]) &lt; 1, "OK", "Mismatch")</f>
        <v>Mismatch</v>
      </c>
      <c r="D524" s="24" t="str">
        <f>IF(ABS(Table4[[#This Row],[Public_Tot_employment]] + Table4[[#This Row],[Private_Tot_employment]] - Table4[[#This Row],[Total_Employment]]) &lt; 1, "OK", "Mismatch")</f>
        <v>OK</v>
      </c>
    </row>
    <row r="525" spans="1:4" x14ac:dyDescent="0.3">
      <c r="A525" s="24" t="str">
        <f>IF(ABS(Table4[[#This Row],[Public_FT_employees]] + Table4[[#This Row],[Public_PT_employees]] - Table4[[#This Row],[Public_Tot_employees]]) &lt; 1, "OK", "Mismatch")</f>
        <v>OK</v>
      </c>
      <c r="B525" s="24" t="str">
        <f>IF(ABS(Table4[[#This Row],[Private_FT_employees]] + Table4[[#This Row],[Private_PT_employees]] - Table4[[#This Row],[Private_Tot_employees]]) &lt; 1, "OK", "Mismatch")</f>
        <v>Mismatch</v>
      </c>
      <c r="C525" s="24" t="str">
        <f>IF(ABS(Table4[[#This Row],[Total_FT_Employees]] + Table4[[#This Row],[Total_PT_Employees]] - Table4[[#This Row],[Total_Tot_employees]]) &lt; 1, "OK", "Mismatch")</f>
        <v>Mismatch</v>
      </c>
      <c r="D525" s="24" t="str">
        <f>IF(ABS(Table4[[#This Row],[Public_Tot_employment]] + Table4[[#This Row],[Private_Tot_employment]] - Table4[[#This Row],[Total_Employment]]) &lt; 1, "OK", "Mismatch")</f>
        <v>OK</v>
      </c>
    </row>
    <row r="526" spans="1:4" x14ac:dyDescent="0.3">
      <c r="A526" s="24" t="str">
        <f>IF(ABS(Table4[[#This Row],[Public_FT_employees]] + Table4[[#This Row],[Public_PT_employees]] - Table4[[#This Row],[Public_Tot_employees]]) &lt; 1, "OK", "Mismatch")</f>
        <v>Mismatch</v>
      </c>
      <c r="B526" s="24" t="str">
        <f>IF(ABS(Table4[[#This Row],[Private_FT_employees]] + Table4[[#This Row],[Private_PT_employees]] - Table4[[#This Row],[Private_Tot_employees]]) &lt; 1, "OK", "Mismatch")</f>
        <v>Mismatch</v>
      </c>
      <c r="C526" s="24" t="str">
        <f>IF(ABS(Table4[[#This Row],[Total_FT_Employees]] + Table4[[#This Row],[Total_PT_Employees]] - Table4[[#This Row],[Total_Tot_employees]]) &lt; 1, "OK", "Mismatch")</f>
        <v>OK</v>
      </c>
      <c r="D526" s="24" t="str">
        <f>IF(ABS(Table4[[#This Row],[Public_Tot_employment]] + Table4[[#This Row],[Private_Tot_employment]] - Table4[[#This Row],[Total_Employment]]) &lt; 1, "OK", "Mismatch")</f>
        <v>Mismatch</v>
      </c>
    </row>
    <row r="527" spans="1:4" x14ac:dyDescent="0.3">
      <c r="A527" s="24" t="str">
        <f>IF(ABS(Table4[[#This Row],[Public_FT_employees]] + Table4[[#This Row],[Public_PT_employees]] - Table4[[#This Row],[Public_Tot_employees]]) &lt; 1, "OK", "Mismatch")</f>
        <v>OK</v>
      </c>
      <c r="B527" s="24" t="str">
        <f>IF(ABS(Table4[[#This Row],[Private_FT_employees]] + Table4[[#This Row],[Private_PT_employees]] - Table4[[#This Row],[Private_Tot_employees]]) &lt; 1, "OK", "Mismatch")</f>
        <v>OK</v>
      </c>
      <c r="C527" s="24" t="str">
        <f>IF(ABS(Table4[[#This Row],[Total_FT_Employees]] + Table4[[#This Row],[Total_PT_Employees]] - Table4[[#This Row],[Total_Tot_employees]]) &lt; 1, "OK", "Mismatch")</f>
        <v>OK</v>
      </c>
      <c r="D527" s="24" t="str">
        <f>IF(ABS(Table4[[#This Row],[Public_Tot_employment]] + Table4[[#This Row],[Private_Tot_employment]] - Table4[[#This Row],[Total_Employment]]) &lt; 1, "OK", "Mismatch")</f>
        <v>OK</v>
      </c>
    </row>
    <row r="528" spans="1:4" x14ac:dyDescent="0.3">
      <c r="A528" s="24" t="str">
        <f>IF(ABS(Table4[[#This Row],[Public_FT_employees]] + Table4[[#This Row],[Public_PT_employees]] - Table4[[#This Row],[Public_Tot_employees]]) &lt; 1, "OK", "Mismatch")</f>
        <v>OK</v>
      </c>
      <c r="B528" s="24" t="str">
        <f>IF(ABS(Table4[[#This Row],[Private_FT_employees]] + Table4[[#This Row],[Private_PT_employees]] - Table4[[#This Row],[Private_Tot_employees]]) &lt; 1, "OK", "Mismatch")</f>
        <v>OK</v>
      </c>
      <c r="C528" s="24" t="str">
        <f>IF(ABS(Table4[[#This Row],[Total_FT_Employees]] + Table4[[#This Row],[Total_PT_Employees]] - Table4[[#This Row],[Total_Tot_employees]]) &lt; 1, "OK", "Mismatch")</f>
        <v>OK</v>
      </c>
      <c r="D528" s="24" t="str">
        <f>IF(ABS(Table4[[#This Row],[Public_Tot_employment]] + Table4[[#This Row],[Private_Tot_employment]] - Table4[[#This Row],[Total_Employment]]) &lt; 1, "OK", "Mismatch")</f>
        <v>OK</v>
      </c>
    </row>
    <row r="529" spans="1:4" x14ac:dyDescent="0.3">
      <c r="A529" s="24" t="str">
        <f>IF(ABS(Table4[[#This Row],[Public_FT_employees]] + Table4[[#This Row],[Public_PT_employees]] - Table4[[#This Row],[Public_Tot_employees]]) &lt; 1, "OK", "Mismatch")</f>
        <v>OK</v>
      </c>
      <c r="B529" s="24" t="str">
        <f>IF(ABS(Table4[[#This Row],[Private_FT_employees]] + Table4[[#This Row],[Private_PT_employees]] - Table4[[#This Row],[Private_Tot_employees]]) &lt; 1, "OK", "Mismatch")</f>
        <v>Mismatch</v>
      </c>
      <c r="C529" s="24" t="str">
        <f>IF(ABS(Table4[[#This Row],[Total_FT_Employees]] + Table4[[#This Row],[Total_PT_Employees]] - Table4[[#This Row],[Total_Tot_employees]]) &lt; 1, "OK", "Mismatch")</f>
        <v>Mismatch</v>
      </c>
      <c r="D529" s="24" t="str">
        <f>IF(ABS(Table4[[#This Row],[Public_Tot_employment]] + Table4[[#This Row],[Private_Tot_employment]] - Table4[[#This Row],[Total_Employment]]) &lt; 1, "OK", "Mismatch")</f>
        <v>OK</v>
      </c>
    </row>
    <row r="530" spans="1:4" x14ac:dyDescent="0.3">
      <c r="A530" s="24" t="str">
        <f>IF(ABS(Table4[[#This Row],[Public_FT_employees]] + Table4[[#This Row],[Public_PT_employees]] - Table4[[#This Row],[Public_Tot_employees]]) &lt; 1, "OK", "Mismatch")</f>
        <v>OK</v>
      </c>
      <c r="B530" s="24" t="str">
        <f>IF(ABS(Table4[[#This Row],[Private_FT_employees]] + Table4[[#This Row],[Private_PT_employees]] - Table4[[#This Row],[Private_Tot_employees]]) &lt; 1, "OK", "Mismatch")</f>
        <v>Mismatch</v>
      </c>
      <c r="C530" s="24" t="str">
        <f>IF(ABS(Table4[[#This Row],[Total_FT_Employees]] + Table4[[#This Row],[Total_PT_Employees]] - Table4[[#This Row],[Total_Tot_employees]]) &lt; 1, "OK", "Mismatch")</f>
        <v>Mismatch</v>
      </c>
      <c r="D530" s="24" t="str">
        <f>IF(ABS(Table4[[#This Row],[Public_Tot_employment]] + Table4[[#This Row],[Private_Tot_employment]] - Table4[[#This Row],[Total_Employment]]) &lt; 1, "OK", "Mismatch")</f>
        <v>OK</v>
      </c>
    </row>
    <row r="531" spans="1:4" x14ac:dyDescent="0.3">
      <c r="A531" s="24" t="str">
        <f>IF(ABS(Table4[[#This Row],[Public_FT_employees]] + Table4[[#This Row],[Public_PT_employees]] - Table4[[#This Row],[Public_Tot_employees]]) &lt; 1, "OK", "Mismatch")</f>
        <v>OK</v>
      </c>
      <c r="B531" s="24" t="str">
        <f>IF(ABS(Table4[[#This Row],[Private_FT_employees]] + Table4[[#This Row],[Private_PT_employees]] - Table4[[#This Row],[Private_Tot_employees]]) &lt; 1, "OK", "Mismatch")</f>
        <v>Mismatch</v>
      </c>
      <c r="C531" s="24" t="str">
        <f>IF(ABS(Table4[[#This Row],[Total_FT_Employees]] + Table4[[#This Row],[Total_PT_Employees]] - Table4[[#This Row],[Total_Tot_employees]]) &lt; 1, "OK", "Mismatch")</f>
        <v>OK</v>
      </c>
      <c r="D531" s="24" t="str">
        <f>IF(ABS(Table4[[#This Row],[Public_Tot_employment]] + Table4[[#This Row],[Private_Tot_employment]] - Table4[[#This Row],[Total_Employment]]) &lt; 1, "OK", "Mismatch")</f>
        <v>Mismatch</v>
      </c>
    </row>
  </sheetData>
  <conditionalFormatting sqref="D1:D1048576 A4:C531">
    <cfRule type="cellIs" dxfId="1" priority="2" operator="equal">
      <formula>"mismatch"</formula>
    </cfRule>
  </conditionalFormatting>
  <conditionalFormatting sqref="G3:I3">
    <cfRule type="cellIs" dxfId="0" priority="1" operator="equal">
      <formula>"mismatch"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753E-9FE5-42CB-B690-CB6803B9A40C}">
  <dimension ref="A1:C93"/>
  <sheetViews>
    <sheetView topLeftCell="A98" workbookViewId="0">
      <selection activeCell="A88" sqref="A88:C93"/>
    </sheetView>
  </sheetViews>
  <sheetFormatPr defaultRowHeight="14.4" x14ac:dyDescent="0.3"/>
  <cols>
    <col min="1" max="1" width="25.5546875" bestFit="1" customWidth="1"/>
    <col min="2" max="2" width="23.77734375" bestFit="1" customWidth="1"/>
    <col min="3" max="3" width="29.6640625" bestFit="1" customWidth="1"/>
  </cols>
  <sheetData>
    <row r="1" spans="1:2" x14ac:dyDescent="0.3">
      <c r="A1" s="28" t="s">
        <v>182</v>
      </c>
      <c r="B1" t="s">
        <v>184</v>
      </c>
    </row>
    <row r="2" spans="1:2" x14ac:dyDescent="0.3">
      <c r="A2" s="29" t="s">
        <v>29</v>
      </c>
      <c r="B2">
        <v>565005</v>
      </c>
    </row>
    <row r="3" spans="1:2" x14ac:dyDescent="0.3">
      <c r="A3" s="29" t="s">
        <v>31</v>
      </c>
      <c r="B3">
        <v>1392643</v>
      </c>
    </row>
    <row r="4" spans="1:2" x14ac:dyDescent="0.3">
      <c r="A4" s="29" t="s">
        <v>33</v>
      </c>
      <c r="B4">
        <v>784136</v>
      </c>
    </row>
    <row r="5" spans="1:2" x14ac:dyDescent="0.3">
      <c r="A5" s="29" t="s">
        <v>35</v>
      </c>
      <c r="B5">
        <v>1250551</v>
      </c>
    </row>
    <row r="6" spans="1:2" x14ac:dyDescent="0.3">
      <c r="A6" s="29" t="s">
        <v>37</v>
      </c>
      <c r="B6">
        <v>1172106</v>
      </c>
    </row>
    <row r="7" spans="1:2" x14ac:dyDescent="0.3">
      <c r="A7" s="29" t="s">
        <v>39</v>
      </c>
      <c r="B7">
        <v>3730445</v>
      </c>
    </row>
    <row r="8" spans="1:2" x14ac:dyDescent="0.3">
      <c r="A8" s="29" t="s">
        <v>27</v>
      </c>
      <c r="B8">
        <v>4803853</v>
      </c>
    </row>
    <row r="9" spans="1:2" x14ac:dyDescent="0.3">
      <c r="A9" s="29" t="s">
        <v>41</v>
      </c>
      <c r="B9">
        <v>1328655</v>
      </c>
    </row>
    <row r="10" spans="1:2" x14ac:dyDescent="0.3">
      <c r="A10" s="29" t="s">
        <v>43</v>
      </c>
      <c r="B10">
        <v>1392585</v>
      </c>
    </row>
    <row r="11" spans="1:2" x14ac:dyDescent="0.3">
      <c r="A11" s="29" t="s">
        <v>107</v>
      </c>
      <c r="B11">
        <v>29415132</v>
      </c>
    </row>
    <row r="12" spans="1:2" x14ac:dyDescent="0.3">
      <c r="A12" s="29" t="s">
        <v>103</v>
      </c>
      <c r="B12">
        <v>22640373</v>
      </c>
    </row>
    <row r="13" spans="1:2" x14ac:dyDescent="0.3">
      <c r="A13" s="29" t="s">
        <v>45</v>
      </c>
      <c r="B13">
        <v>1114096</v>
      </c>
    </row>
    <row r="14" spans="1:2" x14ac:dyDescent="0.3">
      <c r="A14" s="29" t="s">
        <v>47</v>
      </c>
      <c r="B14">
        <v>854269</v>
      </c>
    </row>
    <row r="15" spans="1:2" x14ac:dyDescent="0.3">
      <c r="A15" s="29" t="s">
        <v>49</v>
      </c>
      <c r="B15">
        <v>1189110</v>
      </c>
    </row>
    <row r="16" spans="1:2" x14ac:dyDescent="0.3">
      <c r="A16" s="29" t="s">
        <v>51</v>
      </c>
      <c r="B16">
        <v>1457297</v>
      </c>
    </row>
    <row r="17" spans="1:2" x14ac:dyDescent="0.3">
      <c r="A17" s="29" t="s">
        <v>53</v>
      </c>
      <c r="B17">
        <v>733404</v>
      </c>
    </row>
    <row r="18" spans="1:2" x14ac:dyDescent="0.3">
      <c r="A18" s="29" t="s">
        <v>55</v>
      </c>
      <c r="B18">
        <v>784420</v>
      </c>
    </row>
    <row r="19" spans="1:2" x14ac:dyDescent="0.3">
      <c r="A19" s="29" t="s">
        <v>57</v>
      </c>
      <c r="B19">
        <v>880647</v>
      </c>
    </row>
    <row r="20" spans="1:2" x14ac:dyDescent="0.3">
      <c r="A20" s="29" t="s">
        <v>59</v>
      </c>
      <c r="B20">
        <v>2098082</v>
      </c>
    </row>
    <row r="21" spans="1:2" x14ac:dyDescent="0.3">
      <c r="A21" s="29" t="s">
        <v>61</v>
      </c>
      <c r="B21">
        <v>1630094</v>
      </c>
    </row>
    <row r="22" spans="1:2" x14ac:dyDescent="0.3">
      <c r="A22" s="29" t="s">
        <v>93</v>
      </c>
      <c r="B22">
        <v>33176453</v>
      </c>
    </row>
    <row r="23" spans="1:2" x14ac:dyDescent="0.3">
      <c r="A23" s="29" t="s">
        <v>63</v>
      </c>
      <c r="B23">
        <v>2342792</v>
      </c>
    </row>
    <row r="24" spans="1:2" x14ac:dyDescent="0.3">
      <c r="A24" s="29" t="s">
        <v>65</v>
      </c>
      <c r="B24">
        <v>1410385</v>
      </c>
    </row>
    <row r="25" spans="1:2" x14ac:dyDescent="0.3">
      <c r="A25" s="29" t="s">
        <v>67</v>
      </c>
      <c r="B25">
        <v>861412</v>
      </c>
    </row>
    <row r="26" spans="1:2" x14ac:dyDescent="0.3">
      <c r="A26" s="29" t="s">
        <v>69</v>
      </c>
      <c r="B26">
        <v>1584950</v>
      </c>
    </row>
    <row r="27" spans="1:2" x14ac:dyDescent="0.3">
      <c r="A27" s="29" t="s">
        <v>71</v>
      </c>
      <c r="B27">
        <v>719304</v>
      </c>
    </row>
    <row r="28" spans="1:2" x14ac:dyDescent="0.3">
      <c r="A28" s="29" t="s">
        <v>109</v>
      </c>
      <c r="B28">
        <v>53349093</v>
      </c>
    </row>
    <row r="29" spans="1:2" x14ac:dyDescent="0.3">
      <c r="A29" s="29" t="s">
        <v>73</v>
      </c>
      <c r="B29">
        <v>857218</v>
      </c>
    </row>
    <row r="30" spans="1:2" x14ac:dyDescent="0.3">
      <c r="A30" s="29" t="s">
        <v>75</v>
      </c>
      <c r="B30">
        <v>1043828</v>
      </c>
    </row>
    <row r="31" spans="1:2" x14ac:dyDescent="0.3">
      <c r="A31" s="29" t="s">
        <v>97</v>
      </c>
      <c r="B31">
        <v>11714492</v>
      </c>
    </row>
    <row r="32" spans="1:2" x14ac:dyDescent="0.3">
      <c r="A32" s="29" t="s">
        <v>99</v>
      </c>
      <c r="B32">
        <v>35612590</v>
      </c>
    </row>
    <row r="33" spans="1:2" x14ac:dyDescent="0.3">
      <c r="A33" s="29" t="s">
        <v>95</v>
      </c>
      <c r="B33">
        <v>20167922</v>
      </c>
    </row>
    <row r="34" spans="1:2" x14ac:dyDescent="0.3">
      <c r="A34" s="29" t="s">
        <v>77</v>
      </c>
      <c r="B34">
        <v>820022</v>
      </c>
    </row>
    <row r="35" spans="1:2" x14ac:dyDescent="0.3">
      <c r="A35" s="29" t="s">
        <v>79</v>
      </c>
      <c r="B35">
        <v>865551</v>
      </c>
    </row>
    <row r="36" spans="1:2" x14ac:dyDescent="0.3">
      <c r="A36" s="29" t="s">
        <v>117</v>
      </c>
      <c r="B36">
        <v>27813734</v>
      </c>
    </row>
    <row r="37" spans="1:2" x14ac:dyDescent="0.3">
      <c r="A37" s="29" t="s">
        <v>111</v>
      </c>
      <c r="B37">
        <v>45052011</v>
      </c>
    </row>
    <row r="38" spans="1:2" x14ac:dyDescent="0.3">
      <c r="A38" s="29" t="s">
        <v>113</v>
      </c>
      <c r="B38">
        <v>27389892</v>
      </c>
    </row>
    <row r="39" spans="1:2" x14ac:dyDescent="0.3">
      <c r="A39" s="29" t="s">
        <v>81</v>
      </c>
      <c r="B39">
        <v>2386099</v>
      </c>
    </row>
    <row r="40" spans="1:2" x14ac:dyDescent="0.3">
      <c r="A40" s="29" t="s">
        <v>83</v>
      </c>
      <c r="B40">
        <v>775163</v>
      </c>
    </row>
    <row r="41" spans="1:2" x14ac:dyDescent="0.3">
      <c r="A41" s="29" t="s">
        <v>85</v>
      </c>
      <c r="B41">
        <v>2882814</v>
      </c>
    </row>
    <row r="42" spans="1:2" x14ac:dyDescent="0.3">
      <c r="A42" s="29" t="s">
        <v>115</v>
      </c>
      <c r="B42">
        <v>14289187</v>
      </c>
    </row>
    <row r="43" spans="1:2" x14ac:dyDescent="0.3">
      <c r="A43" s="29" t="s">
        <v>87</v>
      </c>
      <c r="B43">
        <v>741271</v>
      </c>
    </row>
    <row r="44" spans="1:2" x14ac:dyDescent="0.3">
      <c r="A44" s="29" t="s">
        <v>89</v>
      </c>
      <c r="B44">
        <v>1260451</v>
      </c>
    </row>
    <row r="45" spans="1:2" x14ac:dyDescent="0.3">
      <c r="A45" s="29" t="s">
        <v>105</v>
      </c>
      <c r="B45">
        <v>27660827</v>
      </c>
    </row>
    <row r="46" spans="1:2" x14ac:dyDescent="0.3">
      <c r="A46" s="29" t="s">
        <v>91</v>
      </c>
      <c r="B46">
        <v>7631721</v>
      </c>
    </row>
    <row r="47" spans="1:2" x14ac:dyDescent="0.3">
      <c r="A47" s="29" t="s">
        <v>101</v>
      </c>
      <c r="B47">
        <v>26046450</v>
      </c>
    </row>
    <row r="48" spans="1:2" x14ac:dyDescent="0.3">
      <c r="A48" s="29" t="s">
        <v>183</v>
      </c>
      <c r="B48">
        <v>427672535</v>
      </c>
    </row>
    <row r="51" spans="1:2" x14ac:dyDescent="0.3">
      <c r="A51" s="38" t="s">
        <v>187</v>
      </c>
    </row>
    <row r="53" spans="1:2" x14ac:dyDescent="0.3">
      <c r="A53" s="28" t="s">
        <v>20</v>
      </c>
      <c r="B53" t="s">
        <v>121</v>
      </c>
    </row>
    <row r="55" spans="1:2" x14ac:dyDescent="0.3">
      <c r="A55" s="28" t="s">
        <v>130</v>
      </c>
      <c r="B55" t="s">
        <v>184</v>
      </c>
    </row>
    <row r="56" spans="1:2" x14ac:dyDescent="0.3">
      <c r="A56">
        <v>2009</v>
      </c>
      <c r="B56" s="23">
        <v>27858190</v>
      </c>
    </row>
    <row r="57" spans="1:2" x14ac:dyDescent="0.3">
      <c r="A57">
        <v>2010</v>
      </c>
      <c r="B57" s="23">
        <v>27671593</v>
      </c>
    </row>
    <row r="58" spans="1:2" x14ac:dyDescent="0.3">
      <c r="A58">
        <v>2011</v>
      </c>
      <c r="B58" s="23">
        <v>27796450</v>
      </c>
    </row>
    <row r="59" spans="1:2" x14ac:dyDescent="0.3">
      <c r="A59">
        <v>2012</v>
      </c>
      <c r="B59" s="23">
        <v>27905428</v>
      </c>
    </row>
    <row r="60" spans="1:2" x14ac:dyDescent="0.3">
      <c r="A60">
        <v>2013</v>
      </c>
      <c r="B60" s="23">
        <v>28217456</v>
      </c>
    </row>
    <row r="61" spans="1:2" x14ac:dyDescent="0.3">
      <c r="A61">
        <v>2014</v>
      </c>
      <c r="B61" s="23">
        <v>28970019</v>
      </c>
    </row>
    <row r="62" spans="1:2" x14ac:dyDescent="0.3">
      <c r="A62">
        <v>2015</v>
      </c>
      <c r="B62" s="23">
        <v>29819189</v>
      </c>
    </row>
    <row r="63" spans="1:2" x14ac:dyDescent="0.3">
      <c r="A63">
        <v>2016</v>
      </c>
      <c r="B63" s="23">
        <v>30250152</v>
      </c>
    </row>
    <row r="64" spans="1:2" x14ac:dyDescent="0.3">
      <c r="A64">
        <v>2017</v>
      </c>
      <c r="B64" s="23">
        <v>30593189</v>
      </c>
    </row>
    <row r="65" spans="1:2" x14ac:dyDescent="0.3">
      <c r="A65">
        <v>2018</v>
      </c>
      <c r="B65" s="23">
        <v>30814545</v>
      </c>
    </row>
    <row r="66" spans="1:2" x14ac:dyDescent="0.3">
      <c r="A66">
        <v>2019</v>
      </c>
      <c r="B66" s="23">
        <v>31087571</v>
      </c>
    </row>
    <row r="67" spans="1:2" x14ac:dyDescent="0.3">
      <c r="A67" t="s">
        <v>183</v>
      </c>
      <c r="B67" s="23">
        <v>320983782</v>
      </c>
    </row>
    <row r="72" spans="1:2" x14ac:dyDescent="0.3">
      <c r="A72" s="37" t="s">
        <v>191</v>
      </c>
    </row>
    <row r="74" spans="1:2" x14ac:dyDescent="0.3">
      <c r="A74" s="28" t="s">
        <v>190</v>
      </c>
    </row>
    <row r="75" spans="1:2" x14ac:dyDescent="0.3">
      <c r="A75" t="s">
        <v>188</v>
      </c>
      <c r="B75" s="23">
        <v>190096190</v>
      </c>
    </row>
    <row r="76" spans="1:2" x14ac:dyDescent="0.3">
      <c r="A76" t="s">
        <v>189</v>
      </c>
      <c r="B76" s="23">
        <v>817399115</v>
      </c>
    </row>
    <row r="88" spans="1:3" x14ac:dyDescent="0.3">
      <c r="A88" s="28" t="s">
        <v>182</v>
      </c>
      <c r="B88" t="s">
        <v>192</v>
      </c>
      <c r="C88" t="s">
        <v>193</v>
      </c>
    </row>
    <row r="89" spans="1:3" x14ac:dyDescent="0.3">
      <c r="A89" s="29" t="s">
        <v>172</v>
      </c>
      <c r="B89" s="40">
        <v>309</v>
      </c>
      <c r="C89" s="40">
        <v>219</v>
      </c>
    </row>
    <row r="90" spans="1:3" x14ac:dyDescent="0.3">
      <c r="A90" s="29" t="s">
        <v>170</v>
      </c>
      <c r="B90" s="40">
        <v>396</v>
      </c>
      <c r="C90" s="40">
        <v>132</v>
      </c>
    </row>
    <row r="91" spans="1:3" x14ac:dyDescent="0.3">
      <c r="A91" s="29" t="s">
        <v>169</v>
      </c>
      <c r="B91" s="40">
        <v>399</v>
      </c>
      <c r="C91" s="40">
        <v>129</v>
      </c>
    </row>
    <row r="92" spans="1:3" x14ac:dyDescent="0.3">
      <c r="A92" s="29" t="s">
        <v>171</v>
      </c>
      <c r="B92" s="40">
        <v>299</v>
      </c>
      <c r="C92" s="40">
        <v>229</v>
      </c>
    </row>
    <row r="93" spans="1:3" x14ac:dyDescent="0.3">
      <c r="A93" s="29" t="s">
        <v>183</v>
      </c>
      <c r="B93" s="40">
        <v>1403</v>
      </c>
      <c r="C93" s="40">
        <v>709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readme</vt:lpstr>
      <vt:lpstr>workplace</vt:lpstr>
      <vt:lpstr>summary</vt:lpstr>
      <vt:lpstr>Validation</vt:lpstr>
      <vt:lpstr>Pivot sheet</vt:lpstr>
      <vt:lpstr>workplace!Connection1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Chowdary Jagarlamudi</dc:creator>
  <cp:lastModifiedBy>Lokesh Chowdary Jagarlamudi</cp:lastModifiedBy>
  <dcterms:created xsi:type="dcterms:W3CDTF">2025-11-06T17:05:51Z</dcterms:created>
  <dcterms:modified xsi:type="dcterms:W3CDTF">2025-11-09T17:55:17Z</dcterms:modified>
</cp:coreProperties>
</file>